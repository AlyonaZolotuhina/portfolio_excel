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4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p2\OneDrive\Desktop\"/>
    </mc:Choice>
  </mc:AlternateContent>
  <xr:revisionPtr revIDLastSave="0" documentId="13_ncr:1_{9DA9B720-2A54-4F91-AA6E-49E4117D8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тро" sheetId="5" r:id="rId1"/>
    <sheet name="продажи" sheetId="1" r:id="rId2"/>
    <sheet name="Платежеспособность стран" sheetId="21" r:id="rId3"/>
    <sheet name="Продажи магазинов" sheetId="7" r:id="rId4"/>
    <sheet name="Выгода клиентам" sheetId="8" r:id="rId5"/>
    <sheet name="Суммарные продажи по магазинам" sheetId="9" r:id="rId6"/>
    <sheet name="Анализ цен по поставщикам " sheetId="12" r:id="rId7"/>
    <sheet name="Суммарные продажи по поставщика" sheetId="13" r:id="rId8"/>
    <sheet name="Суммарные продажи по категориям" sheetId="14" r:id="rId9"/>
    <sheet name="Среднее количество по категория" sheetId="15" r:id="rId10"/>
    <sheet name="товар" sheetId="2" r:id="rId11"/>
    <sheet name="Лояльность клиентов" sheetId="16" r:id="rId12"/>
    <sheet name="клиенты" sheetId="4" r:id="rId13"/>
    <sheet name="География клиентов" sheetId="11" r:id="rId14"/>
    <sheet name="коды стран" sheetId="3" r:id="rId15"/>
    <sheet name="Продолжит.нахождения клиентов" sheetId="17" r:id="rId16"/>
    <sheet name="Частотность имен" sheetId="20" r:id="rId17"/>
  </sheets>
  <definedNames>
    <definedName name="_xlchart.v1.0" hidden="1">продажи!$O$2:$O$1001</definedName>
    <definedName name="Клиенты">Таблица4[#All]</definedName>
  </definedNames>
  <calcPr calcId="191029"/>
  <pivotCaches>
    <pivotCache cacheId="30" r:id="rId18"/>
    <pivotCache cacheId="3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L7" i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N2" i="1" l="1"/>
  <c r="H3" i="4" l="1"/>
  <c r="I3" i="4" s="1"/>
  <c r="H2" i="4"/>
  <c r="I2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O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F2" i="4"/>
  <c r="G2" i="4" s="1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L2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M918" i="1" s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M942" i="1" s="1"/>
  <c r="I943" i="1"/>
  <c r="I944" i="1"/>
  <c r="I945" i="1"/>
  <c r="I946" i="1"/>
  <c r="I947" i="1"/>
  <c r="I948" i="1"/>
  <c r="I949" i="1"/>
  <c r="I950" i="1"/>
  <c r="I951" i="1"/>
  <c r="I952" i="1"/>
  <c r="I953" i="1"/>
  <c r="I954" i="1"/>
  <c r="M954" i="1" s="1"/>
  <c r="I955" i="1"/>
  <c r="I956" i="1"/>
  <c r="I957" i="1"/>
  <c r="I958" i="1"/>
  <c r="I959" i="1"/>
  <c r="I960" i="1"/>
  <c r="I961" i="1"/>
  <c r="I962" i="1"/>
  <c r="I963" i="1"/>
  <c r="I964" i="1"/>
  <c r="I965" i="1"/>
  <c r="I966" i="1"/>
  <c r="M966" i="1" s="1"/>
  <c r="I967" i="1"/>
  <c r="I968" i="1"/>
  <c r="I969" i="1"/>
  <c r="I970" i="1"/>
  <c r="I971" i="1"/>
  <c r="I972" i="1"/>
  <c r="I973" i="1"/>
  <c r="I974" i="1"/>
  <c r="I975" i="1"/>
  <c r="I976" i="1"/>
  <c r="I977" i="1"/>
  <c r="I978" i="1"/>
  <c r="M978" i="1" s="1"/>
  <c r="I979" i="1"/>
  <c r="I980" i="1"/>
  <c r="I981" i="1"/>
  <c r="I982" i="1"/>
  <c r="I983" i="1"/>
  <c r="I984" i="1"/>
  <c r="I985" i="1"/>
  <c r="I986" i="1"/>
  <c r="I987" i="1"/>
  <c r="I988" i="1"/>
  <c r="I989" i="1"/>
  <c r="I990" i="1"/>
  <c r="M990" i="1" s="1"/>
  <c r="I991" i="1"/>
  <c r="I992" i="1"/>
  <c r="I993" i="1"/>
  <c r="I994" i="1"/>
  <c r="I995" i="1"/>
  <c r="I996" i="1"/>
  <c r="I997" i="1"/>
  <c r="I998" i="1"/>
  <c r="I999" i="1"/>
  <c r="I1000" i="1"/>
  <c r="I1001" i="1"/>
  <c r="M930" i="1" l="1"/>
  <c r="M906" i="1"/>
  <c r="M882" i="1"/>
  <c r="J870" i="1"/>
  <c r="K870" i="1" s="1"/>
  <c r="J858" i="1"/>
  <c r="K858" i="1" s="1"/>
  <c r="J594" i="1"/>
  <c r="K594" i="1" s="1"/>
  <c r="J702" i="1"/>
  <c r="K702" i="1" s="1"/>
  <c r="J522" i="1"/>
  <c r="K522" i="1" s="1"/>
  <c r="J385" i="1"/>
  <c r="K385" i="1" s="1"/>
  <c r="J337" i="1"/>
  <c r="K337" i="1" s="1"/>
  <c r="J301" i="1"/>
  <c r="K301" i="1" s="1"/>
  <c r="J265" i="1"/>
  <c r="K265" i="1" s="1"/>
  <c r="J229" i="1"/>
  <c r="K229" i="1" s="1"/>
  <c r="J193" i="1"/>
  <c r="K193" i="1" s="1"/>
  <c r="J786" i="1"/>
  <c r="K786" i="1" s="1"/>
  <c r="J558" i="1"/>
  <c r="K558" i="1" s="1"/>
  <c r="J738" i="1"/>
  <c r="K738" i="1" s="1"/>
  <c r="J510" i="1"/>
  <c r="K510" i="1" s="1"/>
  <c r="M131" i="1"/>
  <c r="J726" i="1"/>
  <c r="K726" i="1" s="1"/>
  <c r="J822" i="1"/>
  <c r="K822" i="1" s="1"/>
  <c r="M498" i="1"/>
  <c r="J834" i="1"/>
  <c r="K834" i="1" s="1"/>
  <c r="J654" i="1"/>
  <c r="K654" i="1" s="1"/>
  <c r="J690" i="1"/>
  <c r="K690" i="1" s="1"/>
  <c r="J846" i="1"/>
  <c r="K846" i="1" s="1"/>
  <c r="J666" i="1"/>
  <c r="K666" i="1" s="1"/>
  <c r="J450" i="1"/>
  <c r="K450" i="1" s="1"/>
  <c r="J774" i="1"/>
  <c r="K774" i="1" s="1"/>
  <c r="J546" i="1"/>
  <c r="K546" i="1" s="1"/>
  <c r="J678" i="1"/>
  <c r="K678" i="1" s="1"/>
  <c r="J425" i="1"/>
  <c r="K425" i="1" s="1"/>
  <c r="J810" i="1"/>
  <c r="K810" i="1" s="1"/>
  <c r="J570" i="1"/>
  <c r="K570" i="1" s="1"/>
  <c r="J411" i="1"/>
  <c r="K411" i="1" s="1"/>
  <c r="J714" i="1"/>
  <c r="K714" i="1" s="1"/>
  <c r="J534" i="1"/>
  <c r="K534" i="1" s="1"/>
  <c r="J398" i="1"/>
  <c r="K398" i="1" s="1"/>
  <c r="M894" i="1"/>
  <c r="M798" i="1"/>
  <c r="M997" i="1"/>
  <c r="J997" i="1"/>
  <c r="K997" i="1" s="1"/>
  <c r="M973" i="1"/>
  <c r="J973" i="1"/>
  <c r="K973" i="1" s="1"/>
  <c r="M937" i="1"/>
  <c r="J937" i="1"/>
  <c r="K937" i="1" s="1"/>
  <c r="M901" i="1"/>
  <c r="J901" i="1"/>
  <c r="K901" i="1" s="1"/>
  <c r="M877" i="1"/>
  <c r="J877" i="1"/>
  <c r="K877" i="1" s="1"/>
  <c r="M865" i="1"/>
  <c r="J865" i="1"/>
  <c r="K865" i="1" s="1"/>
  <c r="M841" i="1"/>
  <c r="J841" i="1"/>
  <c r="K841" i="1" s="1"/>
  <c r="M996" i="1"/>
  <c r="J996" i="1"/>
  <c r="K996" i="1" s="1"/>
  <c r="M984" i="1"/>
  <c r="J984" i="1"/>
  <c r="K984" i="1" s="1"/>
  <c r="M972" i="1"/>
  <c r="J972" i="1"/>
  <c r="K972" i="1" s="1"/>
  <c r="M960" i="1"/>
  <c r="J960" i="1"/>
  <c r="K960" i="1" s="1"/>
  <c r="M948" i="1"/>
  <c r="J948" i="1"/>
  <c r="K948" i="1" s="1"/>
  <c r="M936" i="1"/>
  <c r="J936" i="1"/>
  <c r="K936" i="1" s="1"/>
  <c r="M924" i="1"/>
  <c r="J924" i="1"/>
  <c r="K924" i="1" s="1"/>
  <c r="M912" i="1"/>
  <c r="J912" i="1"/>
  <c r="K912" i="1" s="1"/>
  <c r="M900" i="1"/>
  <c r="J900" i="1"/>
  <c r="K900" i="1" s="1"/>
  <c r="M888" i="1"/>
  <c r="J888" i="1"/>
  <c r="K888" i="1" s="1"/>
  <c r="M876" i="1"/>
  <c r="J876" i="1"/>
  <c r="K876" i="1" s="1"/>
  <c r="M864" i="1"/>
  <c r="J864" i="1"/>
  <c r="K864" i="1" s="1"/>
  <c r="M852" i="1"/>
  <c r="J852" i="1"/>
  <c r="K852" i="1" s="1"/>
  <c r="M840" i="1"/>
  <c r="J840" i="1"/>
  <c r="K840" i="1" s="1"/>
  <c r="M828" i="1"/>
  <c r="J828" i="1"/>
  <c r="K828" i="1" s="1"/>
  <c r="M816" i="1"/>
  <c r="J816" i="1"/>
  <c r="K816" i="1" s="1"/>
  <c r="M804" i="1"/>
  <c r="J804" i="1"/>
  <c r="K804" i="1" s="1"/>
  <c r="M792" i="1"/>
  <c r="J792" i="1"/>
  <c r="K792" i="1" s="1"/>
  <c r="M780" i="1"/>
  <c r="J780" i="1"/>
  <c r="K780" i="1" s="1"/>
  <c r="M768" i="1"/>
  <c r="J768" i="1"/>
  <c r="K768" i="1" s="1"/>
  <c r="M756" i="1"/>
  <c r="J756" i="1"/>
  <c r="K756" i="1" s="1"/>
  <c r="J744" i="1"/>
  <c r="K744" i="1" s="1"/>
  <c r="M744" i="1"/>
  <c r="M732" i="1"/>
  <c r="J732" i="1"/>
  <c r="K732" i="1" s="1"/>
  <c r="M720" i="1"/>
  <c r="J720" i="1"/>
  <c r="K720" i="1" s="1"/>
  <c r="M708" i="1"/>
  <c r="J708" i="1"/>
  <c r="K708" i="1" s="1"/>
  <c r="M696" i="1"/>
  <c r="J696" i="1"/>
  <c r="K696" i="1" s="1"/>
  <c r="M684" i="1"/>
  <c r="J684" i="1"/>
  <c r="K684" i="1" s="1"/>
  <c r="M672" i="1"/>
  <c r="J672" i="1"/>
  <c r="K672" i="1" s="1"/>
  <c r="M660" i="1"/>
  <c r="J660" i="1"/>
  <c r="K660" i="1" s="1"/>
  <c r="M648" i="1"/>
  <c r="J648" i="1"/>
  <c r="K648" i="1" s="1"/>
  <c r="M636" i="1"/>
  <c r="J636" i="1"/>
  <c r="K636" i="1" s="1"/>
  <c r="M624" i="1"/>
  <c r="J624" i="1"/>
  <c r="K624" i="1" s="1"/>
  <c r="M612" i="1"/>
  <c r="J612" i="1"/>
  <c r="K612" i="1" s="1"/>
  <c r="M600" i="1"/>
  <c r="J600" i="1"/>
  <c r="K600" i="1" s="1"/>
  <c r="M588" i="1"/>
  <c r="J588" i="1"/>
  <c r="K588" i="1" s="1"/>
  <c r="M576" i="1"/>
  <c r="J576" i="1"/>
  <c r="K576" i="1" s="1"/>
  <c r="M564" i="1"/>
  <c r="J564" i="1"/>
  <c r="K564" i="1" s="1"/>
  <c r="M552" i="1"/>
  <c r="J552" i="1"/>
  <c r="K552" i="1" s="1"/>
  <c r="M540" i="1"/>
  <c r="J540" i="1"/>
  <c r="K540" i="1" s="1"/>
  <c r="M528" i="1"/>
  <c r="J528" i="1"/>
  <c r="K528" i="1" s="1"/>
  <c r="M516" i="1"/>
  <c r="J516" i="1"/>
  <c r="K516" i="1" s="1"/>
  <c r="M504" i="1"/>
  <c r="J504" i="1"/>
  <c r="K504" i="1" s="1"/>
  <c r="M492" i="1"/>
  <c r="J492" i="1"/>
  <c r="K492" i="1" s="1"/>
  <c r="M480" i="1"/>
  <c r="J480" i="1"/>
  <c r="K480" i="1" s="1"/>
  <c r="M468" i="1"/>
  <c r="J468" i="1"/>
  <c r="K468" i="1" s="1"/>
  <c r="M456" i="1"/>
  <c r="J456" i="1"/>
  <c r="K456" i="1" s="1"/>
  <c r="M444" i="1"/>
  <c r="J444" i="1"/>
  <c r="K444" i="1" s="1"/>
  <c r="M432" i="1"/>
  <c r="J432" i="1"/>
  <c r="K432" i="1" s="1"/>
  <c r="M420" i="1"/>
  <c r="J420" i="1"/>
  <c r="K420" i="1" s="1"/>
  <c r="M408" i="1"/>
  <c r="J408" i="1"/>
  <c r="K408" i="1" s="1"/>
  <c r="M396" i="1"/>
  <c r="J396" i="1"/>
  <c r="K396" i="1" s="1"/>
  <c r="M384" i="1"/>
  <c r="J384" i="1"/>
  <c r="K384" i="1" s="1"/>
  <c r="M372" i="1"/>
  <c r="M360" i="1"/>
  <c r="J360" i="1"/>
  <c r="K360" i="1" s="1"/>
  <c r="M348" i="1"/>
  <c r="J348" i="1"/>
  <c r="K348" i="1" s="1"/>
  <c r="M336" i="1"/>
  <c r="J336" i="1"/>
  <c r="K336" i="1" s="1"/>
  <c r="M324" i="1"/>
  <c r="J324" i="1"/>
  <c r="K324" i="1" s="1"/>
  <c r="M312" i="1"/>
  <c r="J312" i="1"/>
  <c r="K312" i="1" s="1"/>
  <c r="M300" i="1"/>
  <c r="J300" i="1"/>
  <c r="K300" i="1" s="1"/>
  <c r="M288" i="1"/>
  <c r="J288" i="1"/>
  <c r="K288" i="1" s="1"/>
  <c r="M276" i="1"/>
  <c r="J276" i="1"/>
  <c r="K276" i="1" s="1"/>
  <c r="M264" i="1"/>
  <c r="J264" i="1"/>
  <c r="K264" i="1" s="1"/>
  <c r="M252" i="1"/>
  <c r="J252" i="1"/>
  <c r="K252" i="1" s="1"/>
  <c r="M240" i="1"/>
  <c r="J240" i="1"/>
  <c r="K240" i="1" s="1"/>
  <c r="M228" i="1"/>
  <c r="J228" i="1"/>
  <c r="K228" i="1" s="1"/>
  <c r="M216" i="1"/>
  <c r="J216" i="1"/>
  <c r="K216" i="1" s="1"/>
  <c r="M204" i="1"/>
  <c r="J204" i="1"/>
  <c r="K204" i="1" s="1"/>
  <c r="M192" i="1"/>
  <c r="J192" i="1"/>
  <c r="K192" i="1" s="1"/>
  <c r="M180" i="1"/>
  <c r="J180" i="1"/>
  <c r="K180" i="1" s="1"/>
  <c r="M168" i="1"/>
  <c r="J168" i="1"/>
  <c r="K168" i="1" s="1"/>
  <c r="M156" i="1"/>
  <c r="J156" i="1"/>
  <c r="K156" i="1" s="1"/>
  <c r="M144" i="1"/>
  <c r="J144" i="1"/>
  <c r="K144" i="1" s="1"/>
  <c r="M132" i="1"/>
  <c r="J132" i="1"/>
  <c r="K132" i="1" s="1"/>
  <c r="M120" i="1"/>
  <c r="J120" i="1"/>
  <c r="K120" i="1" s="1"/>
  <c r="M108" i="1"/>
  <c r="J108" i="1"/>
  <c r="K108" i="1" s="1"/>
  <c r="M96" i="1"/>
  <c r="J96" i="1"/>
  <c r="K96" i="1" s="1"/>
  <c r="M84" i="1"/>
  <c r="J84" i="1"/>
  <c r="K84" i="1" s="1"/>
  <c r="M72" i="1"/>
  <c r="M60" i="1"/>
  <c r="J60" i="1"/>
  <c r="K60" i="1" s="1"/>
  <c r="M48" i="1"/>
  <c r="J48" i="1"/>
  <c r="K48" i="1" s="1"/>
  <c r="M36" i="1"/>
  <c r="J36" i="1"/>
  <c r="K36" i="1" s="1"/>
  <c r="M24" i="1"/>
  <c r="J24" i="1"/>
  <c r="K24" i="1" s="1"/>
  <c r="M12" i="1"/>
  <c r="J12" i="1"/>
  <c r="K12" i="1" s="1"/>
  <c r="J882" i="1"/>
  <c r="K882" i="1" s="1"/>
  <c r="M983" i="1"/>
  <c r="J983" i="1"/>
  <c r="K983" i="1" s="1"/>
  <c r="M959" i="1"/>
  <c r="J959" i="1"/>
  <c r="K959" i="1" s="1"/>
  <c r="M947" i="1"/>
  <c r="J947" i="1"/>
  <c r="K947" i="1" s="1"/>
  <c r="M923" i="1"/>
  <c r="J923" i="1"/>
  <c r="K923" i="1" s="1"/>
  <c r="M911" i="1"/>
  <c r="J911" i="1"/>
  <c r="K911" i="1" s="1"/>
  <c r="M887" i="1"/>
  <c r="J887" i="1"/>
  <c r="K887" i="1" s="1"/>
  <c r="M851" i="1"/>
  <c r="J851" i="1"/>
  <c r="K851" i="1" s="1"/>
  <c r="M839" i="1"/>
  <c r="J839" i="1"/>
  <c r="K839" i="1" s="1"/>
  <c r="M803" i="1"/>
  <c r="J803" i="1"/>
  <c r="K803" i="1" s="1"/>
  <c r="M791" i="1"/>
  <c r="J791" i="1"/>
  <c r="K791" i="1" s="1"/>
  <c r="M767" i="1"/>
  <c r="J767" i="1"/>
  <c r="K767" i="1" s="1"/>
  <c r="M743" i="1"/>
  <c r="J743" i="1"/>
  <c r="K743" i="1" s="1"/>
  <c r="M731" i="1"/>
  <c r="J731" i="1"/>
  <c r="K731" i="1" s="1"/>
  <c r="M707" i="1"/>
  <c r="J707" i="1"/>
  <c r="K707" i="1" s="1"/>
  <c r="M695" i="1"/>
  <c r="J695" i="1"/>
  <c r="K695" i="1" s="1"/>
  <c r="M659" i="1"/>
  <c r="J659" i="1"/>
  <c r="K659" i="1" s="1"/>
  <c r="M635" i="1"/>
  <c r="J635" i="1"/>
  <c r="K635" i="1" s="1"/>
  <c r="M611" i="1"/>
  <c r="J611" i="1"/>
  <c r="K611" i="1" s="1"/>
  <c r="M599" i="1"/>
  <c r="J599" i="1"/>
  <c r="K599" i="1" s="1"/>
  <c r="M575" i="1"/>
  <c r="J575" i="1"/>
  <c r="K575" i="1" s="1"/>
  <c r="M551" i="1"/>
  <c r="J551" i="1"/>
  <c r="K551" i="1" s="1"/>
  <c r="M515" i="1"/>
  <c r="J515" i="1"/>
  <c r="K515" i="1" s="1"/>
  <c r="M491" i="1"/>
  <c r="J491" i="1"/>
  <c r="K491" i="1" s="1"/>
  <c r="M479" i="1"/>
  <c r="J479" i="1"/>
  <c r="K479" i="1" s="1"/>
  <c r="M455" i="1"/>
  <c r="J455" i="1"/>
  <c r="K455" i="1" s="1"/>
  <c r="M419" i="1"/>
  <c r="J419" i="1"/>
  <c r="K419" i="1" s="1"/>
  <c r="M395" i="1"/>
  <c r="J395" i="1"/>
  <c r="K395" i="1" s="1"/>
  <c r="M383" i="1"/>
  <c r="J383" i="1"/>
  <c r="K383" i="1" s="1"/>
  <c r="M359" i="1"/>
  <c r="J359" i="1"/>
  <c r="K359" i="1" s="1"/>
  <c r="M335" i="1"/>
  <c r="J335" i="1"/>
  <c r="K335" i="1" s="1"/>
  <c r="M311" i="1"/>
  <c r="J311" i="1"/>
  <c r="K311" i="1" s="1"/>
  <c r="M287" i="1"/>
  <c r="J287" i="1"/>
  <c r="K287" i="1" s="1"/>
  <c r="M263" i="1"/>
  <c r="J263" i="1"/>
  <c r="K263" i="1" s="1"/>
  <c r="M239" i="1"/>
  <c r="J239" i="1"/>
  <c r="K239" i="1" s="1"/>
  <c r="M203" i="1"/>
  <c r="J203" i="1"/>
  <c r="K203" i="1" s="1"/>
  <c r="M179" i="1"/>
  <c r="J179" i="1"/>
  <c r="K179" i="1" s="1"/>
  <c r="M143" i="1"/>
  <c r="J143" i="1"/>
  <c r="K143" i="1" s="1"/>
  <c r="M95" i="1"/>
  <c r="J95" i="1"/>
  <c r="K95" i="1" s="1"/>
  <c r="M59" i="1"/>
  <c r="J59" i="1"/>
  <c r="K59" i="1" s="1"/>
  <c r="M23" i="1"/>
  <c r="J23" i="1"/>
  <c r="K23" i="1" s="1"/>
  <c r="J582" i="1"/>
  <c r="K582" i="1" s="1"/>
  <c r="M994" i="1"/>
  <c r="J994" i="1"/>
  <c r="K994" i="1" s="1"/>
  <c r="M958" i="1"/>
  <c r="J958" i="1"/>
  <c r="K958" i="1" s="1"/>
  <c r="M886" i="1"/>
  <c r="J886" i="1"/>
  <c r="K886" i="1" s="1"/>
  <c r="M814" i="1"/>
  <c r="J814" i="1"/>
  <c r="K814" i="1" s="1"/>
  <c r="M790" i="1"/>
  <c r="J790" i="1"/>
  <c r="K790" i="1" s="1"/>
  <c r="M766" i="1"/>
  <c r="J766" i="1"/>
  <c r="K766" i="1" s="1"/>
  <c r="M706" i="1"/>
  <c r="J706" i="1"/>
  <c r="K706" i="1" s="1"/>
  <c r="M622" i="1"/>
  <c r="J622" i="1"/>
  <c r="K622" i="1" s="1"/>
  <c r="M574" i="1"/>
  <c r="J574" i="1"/>
  <c r="K574" i="1" s="1"/>
  <c r="M550" i="1"/>
  <c r="J550" i="1"/>
  <c r="K550" i="1" s="1"/>
  <c r="M526" i="1"/>
  <c r="J526" i="1"/>
  <c r="K526" i="1" s="1"/>
  <c r="M514" i="1"/>
  <c r="J514" i="1"/>
  <c r="K514" i="1" s="1"/>
  <c r="M502" i="1"/>
  <c r="J502" i="1"/>
  <c r="K502" i="1" s="1"/>
  <c r="M490" i="1"/>
  <c r="J490" i="1"/>
  <c r="K490" i="1" s="1"/>
  <c r="M478" i="1"/>
  <c r="J478" i="1"/>
  <c r="K478" i="1" s="1"/>
  <c r="M466" i="1"/>
  <c r="J466" i="1"/>
  <c r="K466" i="1" s="1"/>
  <c r="M454" i="1"/>
  <c r="J454" i="1"/>
  <c r="K454" i="1" s="1"/>
  <c r="M442" i="1"/>
  <c r="J442" i="1"/>
  <c r="K442" i="1" s="1"/>
  <c r="M430" i="1"/>
  <c r="J430" i="1"/>
  <c r="K430" i="1" s="1"/>
  <c r="M418" i="1"/>
  <c r="J418" i="1"/>
  <c r="K418" i="1" s="1"/>
  <c r="M406" i="1"/>
  <c r="J406" i="1"/>
  <c r="K406" i="1" s="1"/>
  <c r="M394" i="1"/>
  <c r="J394" i="1"/>
  <c r="K394" i="1" s="1"/>
  <c r="M382" i="1"/>
  <c r="J382" i="1"/>
  <c r="K382" i="1" s="1"/>
  <c r="M370" i="1"/>
  <c r="J370" i="1"/>
  <c r="K370" i="1" s="1"/>
  <c r="M358" i="1"/>
  <c r="J358" i="1"/>
  <c r="K358" i="1" s="1"/>
  <c r="M346" i="1"/>
  <c r="J346" i="1"/>
  <c r="K346" i="1" s="1"/>
  <c r="M334" i="1"/>
  <c r="J334" i="1"/>
  <c r="K334" i="1" s="1"/>
  <c r="M322" i="1"/>
  <c r="J322" i="1"/>
  <c r="K322" i="1" s="1"/>
  <c r="M310" i="1"/>
  <c r="J310" i="1"/>
  <c r="K310" i="1" s="1"/>
  <c r="M298" i="1"/>
  <c r="J298" i="1"/>
  <c r="K298" i="1" s="1"/>
  <c r="M286" i="1"/>
  <c r="J286" i="1"/>
  <c r="K286" i="1" s="1"/>
  <c r="M274" i="1"/>
  <c r="J274" i="1"/>
  <c r="K274" i="1" s="1"/>
  <c r="M262" i="1"/>
  <c r="J262" i="1"/>
  <c r="K262" i="1" s="1"/>
  <c r="M250" i="1"/>
  <c r="J250" i="1"/>
  <c r="K250" i="1" s="1"/>
  <c r="M238" i="1"/>
  <c r="J238" i="1"/>
  <c r="K238" i="1" s="1"/>
  <c r="M226" i="1"/>
  <c r="J226" i="1"/>
  <c r="K226" i="1" s="1"/>
  <c r="M214" i="1"/>
  <c r="J214" i="1"/>
  <c r="K214" i="1" s="1"/>
  <c r="M202" i="1"/>
  <c r="J202" i="1"/>
  <c r="K202" i="1" s="1"/>
  <c r="M190" i="1"/>
  <c r="J190" i="1"/>
  <c r="K190" i="1" s="1"/>
  <c r="M178" i="1"/>
  <c r="J178" i="1"/>
  <c r="K178" i="1" s="1"/>
  <c r="M166" i="1"/>
  <c r="J166" i="1"/>
  <c r="K166" i="1" s="1"/>
  <c r="M154" i="1"/>
  <c r="J154" i="1"/>
  <c r="K154" i="1" s="1"/>
  <c r="M142" i="1"/>
  <c r="J142" i="1"/>
  <c r="K142" i="1" s="1"/>
  <c r="M130" i="1"/>
  <c r="J130" i="1"/>
  <c r="K130" i="1" s="1"/>
  <c r="M118" i="1"/>
  <c r="J118" i="1"/>
  <c r="K118" i="1" s="1"/>
  <c r="M106" i="1"/>
  <c r="J106" i="1"/>
  <c r="K106" i="1" s="1"/>
  <c r="M94" i="1"/>
  <c r="J94" i="1"/>
  <c r="K94" i="1" s="1"/>
  <c r="M82" i="1"/>
  <c r="J82" i="1"/>
  <c r="K82" i="1" s="1"/>
  <c r="M70" i="1"/>
  <c r="J70" i="1"/>
  <c r="K70" i="1" s="1"/>
  <c r="M58" i="1"/>
  <c r="J58" i="1"/>
  <c r="K58" i="1" s="1"/>
  <c r="M46" i="1"/>
  <c r="J46" i="1"/>
  <c r="K46" i="1" s="1"/>
  <c r="M34" i="1"/>
  <c r="J34" i="1"/>
  <c r="K34" i="1" s="1"/>
  <c r="M22" i="1"/>
  <c r="J22" i="1"/>
  <c r="K22" i="1" s="1"/>
  <c r="M10" i="1"/>
  <c r="J10" i="1"/>
  <c r="K10" i="1" s="1"/>
  <c r="J438" i="1"/>
  <c r="K438" i="1" s="1"/>
  <c r="M982" i="1"/>
  <c r="J982" i="1"/>
  <c r="K982" i="1" s="1"/>
  <c r="M946" i="1"/>
  <c r="J946" i="1"/>
  <c r="K946" i="1" s="1"/>
  <c r="M922" i="1"/>
  <c r="J922" i="1"/>
  <c r="K922" i="1" s="1"/>
  <c r="M874" i="1"/>
  <c r="J874" i="1"/>
  <c r="K874" i="1" s="1"/>
  <c r="M802" i="1"/>
  <c r="J802" i="1"/>
  <c r="K802" i="1" s="1"/>
  <c r="M742" i="1"/>
  <c r="J742" i="1"/>
  <c r="K742" i="1" s="1"/>
  <c r="M670" i="1"/>
  <c r="J670" i="1"/>
  <c r="K670" i="1" s="1"/>
  <c r="M658" i="1"/>
  <c r="J658" i="1"/>
  <c r="K658" i="1" s="1"/>
  <c r="M586" i="1"/>
  <c r="J586" i="1"/>
  <c r="K586" i="1" s="1"/>
  <c r="M993" i="1"/>
  <c r="J993" i="1"/>
  <c r="K993" i="1" s="1"/>
  <c r="M969" i="1"/>
  <c r="J969" i="1"/>
  <c r="K969" i="1" s="1"/>
  <c r="M933" i="1"/>
  <c r="J933" i="1"/>
  <c r="K933" i="1" s="1"/>
  <c r="M897" i="1"/>
  <c r="J897" i="1"/>
  <c r="K897" i="1" s="1"/>
  <c r="M861" i="1"/>
  <c r="J861" i="1"/>
  <c r="K861" i="1" s="1"/>
  <c r="M825" i="1"/>
  <c r="J825" i="1"/>
  <c r="K825" i="1" s="1"/>
  <c r="M765" i="1"/>
  <c r="J765" i="1"/>
  <c r="K765" i="1" s="1"/>
  <c r="M729" i="1"/>
  <c r="J729" i="1"/>
  <c r="K729" i="1" s="1"/>
  <c r="M693" i="1"/>
  <c r="J693" i="1"/>
  <c r="K693" i="1" s="1"/>
  <c r="M669" i="1"/>
  <c r="J669" i="1"/>
  <c r="K669" i="1" s="1"/>
  <c r="M609" i="1"/>
  <c r="J609" i="1"/>
  <c r="K609" i="1" s="1"/>
  <c r="M597" i="1"/>
  <c r="J597" i="1"/>
  <c r="K597" i="1" s="1"/>
  <c r="M561" i="1"/>
  <c r="J561" i="1"/>
  <c r="K561" i="1" s="1"/>
  <c r="M549" i="1"/>
  <c r="J549" i="1"/>
  <c r="K549" i="1" s="1"/>
  <c r="M513" i="1"/>
  <c r="J513" i="1"/>
  <c r="K513" i="1" s="1"/>
  <c r="M489" i="1"/>
  <c r="J489" i="1"/>
  <c r="K489" i="1" s="1"/>
  <c r="M465" i="1"/>
  <c r="J465" i="1"/>
  <c r="K465" i="1" s="1"/>
  <c r="M453" i="1"/>
  <c r="J453" i="1"/>
  <c r="K453" i="1" s="1"/>
  <c r="M441" i="1"/>
  <c r="J441" i="1"/>
  <c r="K441" i="1" s="1"/>
  <c r="M429" i="1"/>
  <c r="J429" i="1"/>
  <c r="K429" i="1" s="1"/>
  <c r="M417" i="1"/>
  <c r="J417" i="1"/>
  <c r="K417" i="1" s="1"/>
  <c r="M405" i="1"/>
  <c r="J405" i="1"/>
  <c r="K405" i="1" s="1"/>
  <c r="M393" i="1"/>
  <c r="J393" i="1"/>
  <c r="K393" i="1" s="1"/>
  <c r="M381" i="1"/>
  <c r="J381" i="1"/>
  <c r="K381" i="1" s="1"/>
  <c r="M369" i="1"/>
  <c r="J369" i="1"/>
  <c r="K369" i="1" s="1"/>
  <c r="M357" i="1"/>
  <c r="M345" i="1"/>
  <c r="J345" i="1"/>
  <c r="K345" i="1" s="1"/>
  <c r="M333" i="1"/>
  <c r="J333" i="1"/>
  <c r="K333" i="1" s="1"/>
  <c r="M321" i="1"/>
  <c r="M309" i="1"/>
  <c r="J309" i="1"/>
  <c r="K309" i="1" s="1"/>
  <c r="M297" i="1"/>
  <c r="J297" i="1"/>
  <c r="K297" i="1" s="1"/>
  <c r="M285" i="1"/>
  <c r="M273" i="1"/>
  <c r="J273" i="1"/>
  <c r="K273" i="1" s="1"/>
  <c r="M261" i="1"/>
  <c r="J261" i="1"/>
  <c r="K261" i="1" s="1"/>
  <c r="M249" i="1"/>
  <c r="M237" i="1"/>
  <c r="J237" i="1"/>
  <c r="K237" i="1" s="1"/>
  <c r="M225" i="1"/>
  <c r="J225" i="1"/>
  <c r="K225" i="1" s="1"/>
  <c r="M213" i="1"/>
  <c r="M201" i="1"/>
  <c r="J201" i="1"/>
  <c r="K201" i="1" s="1"/>
  <c r="M189" i="1"/>
  <c r="J189" i="1"/>
  <c r="K189" i="1" s="1"/>
  <c r="M177" i="1"/>
  <c r="M165" i="1"/>
  <c r="J165" i="1"/>
  <c r="K165" i="1" s="1"/>
  <c r="M153" i="1"/>
  <c r="J153" i="1"/>
  <c r="K153" i="1" s="1"/>
  <c r="M141" i="1"/>
  <c r="J141" i="1"/>
  <c r="K141" i="1" s="1"/>
  <c r="M129" i="1"/>
  <c r="J129" i="1"/>
  <c r="K129" i="1" s="1"/>
  <c r="M117" i="1"/>
  <c r="J117" i="1"/>
  <c r="K117" i="1" s="1"/>
  <c r="M105" i="1"/>
  <c r="J105" i="1"/>
  <c r="K105" i="1" s="1"/>
  <c r="M93" i="1"/>
  <c r="J93" i="1"/>
  <c r="K93" i="1" s="1"/>
  <c r="M81" i="1"/>
  <c r="J81" i="1"/>
  <c r="K81" i="1" s="1"/>
  <c r="M69" i="1"/>
  <c r="J69" i="1"/>
  <c r="K69" i="1" s="1"/>
  <c r="M57" i="1"/>
  <c r="J57" i="1"/>
  <c r="K57" i="1" s="1"/>
  <c r="M45" i="1"/>
  <c r="J45" i="1"/>
  <c r="K45" i="1" s="1"/>
  <c r="M33" i="1"/>
  <c r="J33" i="1"/>
  <c r="K33" i="1" s="1"/>
  <c r="M21" i="1"/>
  <c r="J21" i="1"/>
  <c r="K21" i="1" s="1"/>
  <c r="M9" i="1"/>
  <c r="J9" i="1"/>
  <c r="K9" i="1" s="1"/>
  <c r="J990" i="1"/>
  <c r="K990" i="1" s="1"/>
  <c r="J213" i="1"/>
  <c r="K213" i="1" s="1"/>
  <c r="M155" i="1"/>
  <c r="M107" i="1"/>
  <c r="J107" i="1"/>
  <c r="K107" i="1" s="1"/>
  <c r="M71" i="1"/>
  <c r="J71" i="1"/>
  <c r="K71" i="1" s="1"/>
  <c r="M35" i="1"/>
  <c r="J35" i="1"/>
  <c r="K35" i="1" s="1"/>
  <c r="M934" i="1"/>
  <c r="J934" i="1"/>
  <c r="K934" i="1" s="1"/>
  <c r="J910" i="1"/>
  <c r="K910" i="1" s="1"/>
  <c r="M910" i="1"/>
  <c r="M862" i="1"/>
  <c r="J862" i="1"/>
  <c r="K862" i="1" s="1"/>
  <c r="M778" i="1"/>
  <c r="J778" i="1"/>
  <c r="K778" i="1" s="1"/>
  <c r="M730" i="1"/>
  <c r="J730" i="1"/>
  <c r="K730" i="1" s="1"/>
  <c r="M682" i="1"/>
  <c r="J682" i="1"/>
  <c r="K682" i="1" s="1"/>
  <c r="M634" i="1"/>
  <c r="J634" i="1"/>
  <c r="K634" i="1" s="1"/>
  <c r="M562" i="1"/>
  <c r="J562" i="1"/>
  <c r="K562" i="1" s="1"/>
  <c r="M945" i="1"/>
  <c r="J945" i="1"/>
  <c r="K945" i="1" s="1"/>
  <c r="M909" i="1"/>
  <c r="J909" i="1"/>
  <c r="K909" i="1" s="1"/>
  <c r="M873" i="1"/>
  <c r="J873" i="1"/>
  <c r="K873" i="1" s="1"/>
  <c r="M849" i="1"/>
  <c r="J849" i="1"/>
  <c r="K849" i="1" s="1"/>
  <c r="M813" i="1"/>
  <c r="J813" i="1"/>
  <c r="K813" i="1" s="1"/>
  <c r="M789" i="1"/>
  <c r="J789" i="1"/>
  <c r="K789" i="1" s="1"/>
  <c r="M753" i="1"/>
  <c r="J753" i="1"/>
  <c r="K753" i="1" s="1"/>
  <c r="J705" i="1"/>
  <c r="K705" i="1" s="1"/>
  <c r="M705" i="1"/>
  <c r="M657" i="1"/>
  <c r="J657" i="1"/>
  <c r="K657" i="1" s="1"/>
  <c r="M633" i="1"/>
  <c r="J633" i="1"/>
  <c r="K633" i="1" s="1"/>
  <c r="M585" i="1"/>
  <c r="J585" i="1"/>
  <c r="K585" i="1" s="1"/>
  <c r="M537" i="1"/>
  <c r="J537" i="1"/>
  <c r="K537" i="1" s="1"/>
  <c r="M477" i="1"/>
  <c r="J477" i="1"/>
  <c r="K477" i="1" s="1"/>
  <c r="M968" i="1"/>
  <c r="J968" i="1"/>
  <c r="K968" i="1" s="1"/>
  <c r="M920" i="1"/>
  <c r="J920" i="1"/>
  <c r="K920" i="1" s="1"/>
  <c r="J884" i="1"/>
  <c r="K884" i="1" s="1"/>
  <c r="M872" i="1"/>
  <c r="J872" i="1"/>
  <c r="K872" i="1" s="1"/>
  <c r="M860" i="1"/>
  <c r="J860" i="1"/>
  <c r="K860" i="1" s="1"/>
  <c r="M848" i="1"/>
  <c r="J848" i="1"/>
  <c r="K848" i="1" s="1"/>
  <c r="M836" i="1"/>
  <c r="J836" i="1"/>
  <c r="K836" i="1" s="1"/>
  <c r="M824" i="1"/>
  <c r="J824" i="1"/>
  <c r="K824" i="1" s="1"/>
  <c r="M812" i="1"/>
  <c r="J812" i="1"/>
  <c r="K812" i="1" s="1"/>
  <c r="M800" i="1"/>
  <c r="J800" i="1"/>
  <c r="K800" i="1" s="1"/>
  <c r="M788" i="1"/>
  <c r="J788" i="1"/>
  <c r="K788" i="1" s="1"/>
  <c r="M776" i="1"/>
  <c r="J776" i="1"/>
  <c r="K776" i="1" s="1"/>
  <c r="M764" i="1"/>
  <c r="J764" i="1"/>
  <c r="K764" i="1" s="1"/>
  <c r="M752" i="1"/>
  <c r="J752" i="1"/>
  <c r="K752" i="1" s="1"/>
  <c r="M740" i="1"/>
  <c r="J740" i="1"/>
  <c r="K740" i="1" s="1"/>
  <c r="M728" i="1"/>
  <c r="J728" i="1"/>
  <c r="K728" i="1" s="1"/>
  <c r="M716" i="1"/>
  <c r="J716" i="1"/>
  <c r="K716" i="1" s="1"/>
  <c r="M704" i="1"/>
  <c r="J704" i="1"/>
  <c r="K704" i="1" s="1"/>
  <c r="M692" i="1"/>
  <c r="J692" i="1"/>
  <c r="K692" i="1" s="1"/>
  <c r="M680" i="1"/>
  <c r="J680" i="1"/>
  <c r="K680" i="1" s="1"/>
  <c r="M668" i="1"/>
  <c r="J668" i="1"/>
  <c r="K668" i="1" s="1"/>
  <c r="M656" i="1"/>
  <c r="J656" i="1"/>
  <c r="K656" i="1" s="1"/>
  <c r="M644" i="1"/>
  <c r="J644" i="1"/>
  <c r="K644" i="1" s="1"/>
  <c r="M632" i="1"/>
  <c r="J632" i="1"/>
  <c r="K632" i="1" s="1"/>
  <c r="M620" i="1"/>
  <c r="J620" i="1"/>
  <c r="K620" i="1" s="1"/>
  <c r="M608" i="1"/>
  <c r="J608" i="1"/>
  <c r="K608" i="1" s="1"/>
  <c r="M596" i="1"/>
  <c r="J596" i="1"/>
  <c r="K596" i="1" s="1"/>
  <c r="M584" i="1"/>
  <c r="J584" i="1"/>
  <c r="K584" i="1" s="1"/>
  <c r="M572" i="1"/>
  <c r="J572" i="1"/>
  <c r="K572" i="1" s="1"/>
  <c r="M560" i="1"/>
  <c r="J560" i="1"/>
  <c r="K560" i="1" s="1"/>
  <c r="J548" i="1"/>
  <c r="K548" i="1" s="1"/>
  <c r="M548" i="1"/>
  <c r="M536" i="1"/>
  <c r="J536" i="1"/>
  <c r="K536" i="1" s="1"/>
  <c r="M524" i="1"/>
  <c r="J524" i="1"/>
  <c r="K524" i="1" s="1"/>
  <c r="M512" i="1"/>
  <c r="J512" i="1"/>
  <c r="K512" i="1" s="1"/>
  <c r="M500" i="1"/>
  <c r="J500" i="1"/>
  <c r="K500" i="1" s="1"/>
  <c r="M488" i="1"/>
  <c r="J488" i="1"/>
  <c r="K488" i="1" s="1"/>
  <c r="M476" i="1"/>
  <c r="J476" i="1"/>
  <c r="K476" i="1" s="1"/>
  <c r="M464" i="1"/>
  <c r="J464" i="1"/>
  <c r="K464" i="1" s="1"/>
  <c r="M452" i="1"/>
  <c r="J452" i="1"/>
  <c r="K452" i="1" s="1"/>
  <c r="M440" i="1"/>
  <c r="J440" i="1"/>
  <c r="K440" i="1" s="1"/>
  <c r="M428" i="1"/>
  <c r="J428" i="1"/>
  <c r="K428" i="1" s="1"/>
  <c r="M416" i="1"/>
  <c r="J416" i="1"/>
  <c r="K416" i="1" s="1"/>
  <c r="M404" i="1"/>
  <c r="J404" i="1"/>
  <c r="K404" i="1" s="1"/>
  <c r="M392" i="1"/>
  <c r="J392" i="1"/>
  <c r="K392" i="1" s="1"/>
  <c r="M380" i="1"/>
  <c r="J380" i="1"/>
  <c r="K380" i="1" s="1"/>
  <c r="M368" i="1"/>
  <c r="J368" i="1"/>
  <c r="K368" i="1" s="1"/>
  <c r="M356" i="1"/>
  <c r="J356" i="1"/>
  <c r="K356" i="1" s="1"/>
  <c r="M344" i="1"/>
  <c r="J344" i="1"/>
  <c r="K344" i="1" s="1"/>
  <c r="M332" i="1"/>
  <c r="J332" i="1"/>
  <c r="K332" i="1" s="1"/>
  <c r="M320" i="1"/>
  <c r="J320" i="1"/>
  <c r="K320" i="1" s="1"/>
  <c r="M308" i="1"/>
  <c r="J308" i="1"/>
  <c r="K308" i="1" s="1"/>
  <c r="M296" i="1"/>
  <c r="J296" i="1"/>
  <c r="K296" i="1" s="1"/>
  <c r="M284" i="1"/>
  <c r="J284" i="1"/>
  <c r="K284" i="1" s="1"/>
  <c r="M272" i="1"/>
  <c r="J272" i="1"/>
  <c r="K272" i="1" s="1"/>
  <c r="M260" i="1"/>
  <c r="J260" i="1"/>
  <c r="K260" i="1" s="1"/>
  <c r="M248" i="1"/>
  <c r="J248" i="1"/>
  <c r="K248" i="1" s="1"/>
  <c r="M236" i="1"/>
  <c r="J236" i="1"/>
  <c r="K236" i="1" s="1"/>
  <c r="M224" i="1"/>
  <c r="J224" i="1"/>
  <c r="K224" i="1" s="1"/>
  <c r="M212" i="1"/>
  <c r="J212" i="1"/>
  <c r="K212" i="1" s="1"/>
  <c r="M200" i="1"/>
  <c r="J200" i="1"/>
  <c r="K200" i="1" s="1"/>
  <c r="M188" i="1"/>
  <c r="J188" i="1"/>
  <c r="K188" i="1" s="1"/>
  <c r="M176" i="1"/>
  <c r="J176" i="1"/>
  <c r="K176" i="1" s="1"/>
  <c r="M164" i="1"/>
  <c r="J164" i="1"/>
  <c r="K164" i="1" s="1"/>
  <c r="M152" i="1"/>
  <c r="J152" i="1"/>
  <c r="K152" i="1" s="1"/>
  <c r="M140" i="1"/>
  <c r="J140" i="1"/>
  <c r="K140" i="1" s="1"/>
  <c r="M128" i="1"/>
  <c r="J128" i="1"/>
  <c r="K128" i="1" s="1"/>
  <c r="M116" i="1"/>
  <c r="J116" i="1"/>
  <c r="K116" i="1" s="1"/>
  <c r="M104" i="1"/>
  <c r="J104" i="1"/>
  <c r="K104" i="1" s="1"/>
  <c r="M92" i="1"/>
  <c r="J92" i="1"/>
  <c r="K92" i="1" s="1"/>
  <c r="M80" i="1"/>
  <c r="J80" i="1"/>
  <c r="K80" i="1" s="1"/>
  <c r="M68" i="1"/>
  <c r="J68" i="1"/>
  <c r="K68" i="1" s="1"/>
  <c r="M56" i="1"/>
  <c r="J56" i="1"/>
  <c r="K56" i="1" s="1"/>
  <c r="M44" i="1"/>
  <c r="J44" i="1"/>
  <c r="K44" i="1" s="1"/>
  <c r="M32" i="1"/>
  <c r="J32" i="1"/>
  <c r="K32" i="1" s="1"/>
  <c r="M20" i="1"/>
  <c r="J20" i="1"/>
  <c r="K20" i="1" s="1"/>
  <c r="M8" i="1"/>
  <c r="J8" i="1"/>
  <c r="K8" i="1" s="1"/>
  <c r="J978" i="1"/>
  <c r="K978" i="1" s="1"/>
  <c r="M995" i="1"/>
  <c r="J995" i="1"/>
  <c r="K995" i="1" s="1"/>
  <c r="M971" i="1"/>
  <c r="J971" i="1"/>
  <c r="K971" i="1" s="1"/>
  <c r="M935" i="1"/>
  <c r="J935" i="1"/>
  <c r="K935" i="1" s="1"/>
  <c r="M899" i="1"/>
  <c r="J899" i="1"/>
  <c r="K899" i="1" s="1"/>
  <c r="M875" i="1"/>
  <c r="J875" i="1"/>
  <c r="K875" i="1" s="1"/>
  <c r="M863" i="1"/>
  <c r="J863" i="1"/>
  <c r="K863" i="1" s="1"/>
  <c r="M827" i="1"/>
  <c r="J827" i="1"/>
  <c r="K827" i="1" s="1"/>
  <c r="M815" i="1"/>
  <c r="J815" i="1"/>
  <c r="K815" i="1" s="1"/>
  <c r="M779" i="1"/>
  <c r="J779" i="1"/>
  <c r="K779" i="1" s="1"/>
  <c r="M755" i="1"/>
  <c r="J755" i="1"/>
  <c r="K755" i="1" s="1"/>
  <c r="M719" i="1"/>
  <c r="J719" i="1"/>
  <c r="K719" i="1" s="1"/>
  <c r="M683" i="1"/>
  <c r="J683" i="1"/>
  <c r="K683" i="1" s="1"/>
  <c r="M671" i="1"/>
  <c r="J671" i="1"/>
  <c r="K671" i="1" s="1"/>
  <c r="M647" i="1"/>
  <c r="J647" i="1"/>
  <c r="K647" i="1" s="1"/>
  <c r="M623" i="1"/>
  <c r="J623" i="1"/>
  <c r="K623" i="1" s="1"/>
  <c r="J587" i="1"/>
  <c r="K587" i="1" s="1"/>
  <c r="M587" i="1"/>
  <c r="M563" i="1"/>
  <c r="J563" i="1"/>
  <c r="K563" i="1" s="1"/>
  <c r="M539" i="1"/>
  <c r="J539" i="1"/>
  <c r="K539" i="1" s="1"/>
  <c r="M527" i="1"/>
  <c r="J527" i="1"/>
  <c r="K527" i="1" s="1"/>
  <c r="M503" i="1"/>
  <c r="J503" i="1"/>
  <c r="K503" i="1" s="1"/>
  <c r="M467" i="1"/>
  <c r="J467" i="1"/>
  <c r="K467" i="1" s="1"/>
  <c r="M443" i="1"/>
  <c r="J443" i="1"/>
  <c r="K443" i="1" s="1"/>
  <c r="M431" i="1"/>
  <c r="J431" i="1"/>
  <c r="K431" i="1" s="1"/>
  <c r="M407" i="1"/>
  <c r="J407" i="1"/>
  <c r="K407" i="1" s="1"/>
  <c r="M371" i="1"/>
  <c r="J371" i="1"/>
  <c r="K371" i="1" s="1"/>
  <c r="M347" i="1"/>
  <c r="J347" i="1"/>
  <c r="K347" i="1" s="1"/>
  <c r="M323" i="1"/>
  <c r="J323" i="1"/>
  <c r="K323" i="1" s="1"/>
  <c r="M299" i="1"/>
  <c r="J299" i="1"/>
  <c r="K299" i="1" s="1"/>
  <c r="M275" i="1"/>
  <c r="J275" i="1"/>
  <c r="K275" i="1" s="1"/>
  <c r="M251" i="1"/>
  <c r="J251" i="1"/>
  <c r="K251" i="1" s="1"/>
  <c r="M227" i="1"/>
  <c r="J227" i="1"/>
  <c r="K227" i="1" s="1"/>
  <c r="M215" i="1"/>
  <c r="J215" i="1"/>
  <c r="K215" i="1" s="1"/>
  <c r="M191" i="1"/>
  <c r="J191" i="1"/>
  <c r="K191" i="1" s="1"/>
  <c r="M167" i="1"/>
  <c r="J167" i="1"/>
  <c r="K167" i="1" s="1"/>
  <c r="M119" i="1"/>
  <c r="J119" i="1"/>
  <c r="K119" i="1" s="1"/>
  <c r="M83" i="1"/>
  <c r="J83" i="1"/>
  <c r="K83" i="1" s="1"/>
  <c r="M47" i="1"/>
  <c r="J47" i="1"/>
  <c r="K47" i="1" s="1"/>
  <c r="M11" i="1"/>
  <c r="J11" i="1"/>
  <c r="K11" i="1" s="1"/>
  <c r="J249" i="1"/>
  <c r="K249" i="1" s="1"/>
  <c r="M970" i="1"/>
  <c r="J970" i="1"/>
  <c r="K970" i="1" s="1"/>
  <c r="M898" i="1"/>
  <c r="J898" i="1"/>
  <c r="K898" i="1" s="1"/>
  <c r="J850" i="1"/>
  <c r="K850" i="1" s="1"/>
  <c r="M850" i="1"/>
  <c r="M838" i="1"/>
  <c r="J838" i="1"/>
  <c r="K838" i="1" s="1"/>
  <c r="M826" i="1"/>
  <c r="J826" i="1"/>
  <c r="K826" i="1" s="1"/>
  <c r="M754" i="1"/>
  <c r="J754" i="1"/>
  <c r="K754" i="1" s="1"/>
  <c r="M718" i="1"/>
  <c r="J718" i="1"/>
  <c r="K718" i="1" s="1"/>
  <c r="M694" i="1"/>
  <c r="J694" i="1"/>
  <c r="K694" i="1" s="1"/>
  <c r="M646" i="1"/>
  <c r="J646" i="1"/>
  <c r="K646" i="1" s="1"/>
  <c r="M610" i="1"/>
  <c r="J610" i="1"/>
  <c r="K610" i="1" s="1"/>
  <c r="M598" i="1"/>
  <c r="J598" i="1"/>
  <c r="K598" i="1" s="1"/>
  <c r="M538" i="1"/>
  <c r="J538" i="1"/>
  <c r="K538" i="1" s="1"/>
  <c r="M981" i="1"/>
  <c r="J981" i="1"/>
  <c r="K981" i="1" s="1"/>
  <c r="M957" i="1"/>
  <c r="J957" i="1"/>
  <c r="K957" i="1" s="1"/>
  <c r="M921" i="1"/>
  <c r="J921" i="1"/>
  <c r="K921" i="1" s="1"/>
  <c r="M885" i="1"/>
  <c r="J885" i="1"/>
  <c r="K885" i="1" s="1"/>
  <c r="M837" i="1"/>
  <c r="J837" i="1"/>
  <c r="K837" i="1" s="1"/>
  <c r="M801" i="1"/>
  <c r="J801" i="1"/>
  <c r="K801" i="1" s="1"/>
  <c r="M777" i="1"/>
  <c r="J777" i="1"/>
  <c r="K777" i="1" s="1"/>
  <c r="M741" i="1"/>
  <c r="J741" i="1"/>
  <c r="K741" i="1" s="1"/>
  <c r="M717" i="1"/>
  <c r="J717" i="1"/>
  <c r="K717" i="1" s="1"/>
  <c r="M681" i="1"/>
  <c r="J681" i="1"/>
  <c r="K681" i="1" s="1"/>
  <c r="M645" i="1"/>
  <c r="J645" i="1"/>
  <c r="K645" i="1" s="1"/>
  <c r="M621" i="1"/>
  <c r="J621" i="1"/>
  <c r="K621" i="1" s="1"/>
  <c r="M573" i="1"/>
  <c r="J573" i="1"/>
  <c r="K573" i="1" s="1"/>
  <c r="M525" i="1"/>
  <c r="J525" i="1"/>
  <c r="K525" i="1" s="1"/>
  <c r="M501" i="1"/>
  <c r="J501" i="1"/>
  <c r="K501" i="1" s="1"/>
  <c r="M992" i="1"/>
  <c r="J992" i="1"/>
  <c r="K992" i="1" s="1"/>
  <c r="M980" i="1"/>
  <c r="J980" i="1"/>
  <c r="K980" i="1" s="1"/>
  <c r="M956" i="1"/>
  <c r="J956" i="1"/>
  <c r="K956" i="1" s="1"/>
  <c r="M944" i="1"/>
  <c r="J944" i="1"/>
  <c r="K944" i="1" s="1"/>
  <c r="M932" i="1"/>
  <c r="J932" i="1"/>
  <c r="K932" i="1" s="1"/>
  <c r="M908" i="1"/>
  <c r="J908" i="1"/>
  <c r="K908" i="1" s="1"/>
  <c r="M896" i="1"/>
  <c r="J896" i="1"/>
  <c r="K896" i="1" s="1"/>
  <c r="M991" i="1"/>
  <c r="J991" i="1"/>
  <c r="K991" i="1" s="1"/>
  <c r="M979" i="1"/>
  <c r="J979" i="1"/>
  <c r="K979" i="1" s="1"/>
  <c r="M967" i="1"/>
  <c r="J967" i="1"/>
  <c r="K967" i="1" s="1"/>
  <c r="M955" i="1"/>
  <c r="J955" i="1"/>
  <c r="K955" i="1" s="1"/>
  <c r="M943" i="1"/>
  <c r="J943" i="1"/>
  <c r="K943" i="1" s="1"/>
  <c r="M931" i="1"/>
  <c r="J931" i="1"/>
  <c r="K931" i="1" s="1"/>
  <c r="M919" i="1"/>
  <c r="J919" i="1"/>
  <c r="K919" i="1" s="1"/>
  <c r="M907" i="1"/>
  <c r="J907" i="1"/>
  <c r="K907" i="1" s="1"/>
  <c r="M895" i="1"/>
  <c r="J895" i="1"/>
  <c r="K895" i="1" s="1"/>
  <c r="M883" i="1"/>
  <c r="J883" i="1"/>
  <c r="K883" i="1" s="1"/>
  <c r="M871" i="1"/>
  <c r="J871" i="1"/>
  <c r="K871" i="1" s="1"/>
  <c r="M859" i="1"/>
  <c r="J859" i="1"/>
  <c r="K859" i="1" s="1"/>
  <c r="M847" i="1"/>
  <c r="J847" i="1"/>
  <c r="K847" i="1" s="1"/>
  <c r="M835" i="1"/>
  <c r="J835" i="1"/>
  <c r="K835" i="1" s="1"/>
  <c r="M823" i="1"/>
  <c r="J823" i="1"/>
  <c r="K823" i="1" s="1"/>
  <c r="M811" i="1"/>
  <c r="J811" i="1"/>
  <c r="K811" i="1" s="1"/>
  <c r="M799" i="1"/>
  <c r="J799" i="1"/>
  <c r="K799" i="1" s="1"/>
  <c r="M787" i="1"/>
  <c r="J787" i="1"/>
  <c r="K787" i="1" s="1"/>
  <c r="M775" i="1"/>
  <c r="J775" i="1"/>
  <c r="K775" i="1" s="1"/>
  <c r="M763" i="1"/>
  <c r="J763" i="1"/>
  <c r="K763" i="1" s="1"/>
  <c r="M751" i="1"/>
  <c r="J751" i="1"/>
  <c r="K751" i="1" s="1"/>
  <c r="M739" i="1"/>
  <c r="J739" i="1"/>
  <c r="K739" i="1" s="1"/>
  <c r="M727" i="1"/>
  <c r="J727" i="1"/>
  <c r="K727" i="1" s="1"/>
  <c r="M715" i="1"/>
  <c r="J715" i="1"/>
  <c r="K715" i="1" s="1"/>
  <c r="M703" i="1"/>
  <c r="J703" i="1"/>
  <c r="K703" i="1" s="1"/>
  <c r="M691" i="1"/>
  <c r="J691" i="1"/>
  <c r="K691" i="1" s="1"/>
  <c r="M679" i="1"/>
  <c r="J679" i="1"/>
  <c r="K679" i="1" s="1"/>
  <c r="M667" i="1"/>
  <c r="J667" i="1"/>
  <c r="K667" i="1" s="1"/>
  <c r="M655" i="1"/>
  <c r="J655" i="1"/>
  <c r="K655" i="1" s="1"/>
  <c r="M643" i="1"/>
  <c r="J643" i="1"/>
  <c r="K643" i="1" s="1"/>
  <c r="M631" i="1"/>
  <c r="J631" i="1"/>
  <c r="K631" i="1" s="1"/>
  <c r="M619" i="1"/>
  <c r="J619" i="1"/>
  <c r="K619" i="1" s="1"/>
  <c r="M607" i="1"/>
  <c r="J607" i="1"/>
  <c r="K607" i="1" s="1"/>
  <c r="M595" i="1"/>
  <c r="J595" i="1"/>
  <c r="K595" i="1" s="1"/>
  <c r="M583" i="1"/>
  <c r="J583" i="1"/>
  <c r="K583" i="1" s="1"/>
  <c r="M571" i="1"/>
  <c r="J571" i="1"/>
  <c r="K571" i="1" s="1"/>
  <c r="M559" i="1"/>
  <c r="J559" i="1"/>
  <c r="K559" i="1" s="1"/>
  <c r="M547" i="1"/>
  <c r="J547" i="1"/>
  <c r="K547" i="1" s="1"/>
  <c r="M535" i="1"/>
  <c r="J535" i="1"/>
  <c r="K535" i="1" s="1"/>
  <c r="M523" i="1"/>
  <c r="J523" i="1"/>
  <c r="K523" i="1" s="1"/>
  <c r="M511" i="1"/>
  <c r="J511" i="1"/>
  <c r="K511" i="1" s="1"/>
  <c r="M499" i="1"/>
  <c r="J499" i="1"/>
  <c r="K499" i="1" s="1"/>
  <c r="M487" i="1"/>
  <c r="J487" i="1"/>
  <c r="K487" i="1" s="1"/>
  <c r="M475" i="1"/>
  <c r="J475" i="1"/>
  <c r="K475" i="1" s="1"/>
  <c r="M463" i="1"/>
  <c r="J463" i="1"/>
  <c r="K463" i="1" s="1"/>
  <c r="M451" i="1"/>
  <c r="J451" i="1"/>
  <c r="K451" i="1" s="1"/>
  <c r="M439" i="1"/>
  <c r="J439" i="1"/>
  <c r="K439" i="1" s="1"/>
  <c r="M427" i="1"/>
  <c r="J427" i="1"/>
  <c r="K427" i="1" s="1"/>
  <c r="M415" i="1"/>
  <c r="J415" i="1"/>
  <c r="K415" i="1" s="1"/>
  <c r="M403" i="1"/>
  <c r="J403" i="1"/>
  <c r="K403" i="1" s="1"/>
  <c r="M391" i="1"/>
  <c r="J391" i="1"/>
  <c r="K391" i="1" s="1"/>
  <c r="M379" i="1"/>
  <c r="J379" i="1"/>
  <c r="K379" i="1" s="1"/>
  <c r="M367" i="1"/>
  <c r="J367" i="1"/>
  <c r="K367" i="1" s="1"/>
  <c r="M355" i="1"/>
  <c r="J355" i="1"/>
  <c r="K355" i="1" s="1"/>
  <c r="M343" i="1"/>
  <c r="J343" i="1"/>
  <c r="K343" i="1" s="1"/>
  <c r="M331" i="1"/>
  <c r="J331" i="1"/>
  <c r="K331" i="1" s="1"/>
  <c r="M319" i="1"/>
  <c r="J319" i="1"/>
  <c r="K319" i="1" s="1"/>
  <c r="M307" i="1"/>
  <c r="J307" i="1"/>
  <c r="K307" i="1" s="1"/>
  <c r="M295" i="1"/>
  <c r="J295" i="1"/>
  <c r="K295" i="1" s="1"/>
  <c r="M283" i="1"/>
  <c r="J283" i="1"/>
  <c r="K283" i="1" s="1"/>
  <c r="M271" i="1"/>
  <c r="J271" i="1"/>
  <c r="K271" i="1" s="1"/>
  <c r="M259" i="1"/>
  <c r="J259" i="1"/>
  <c r="K259" i="1" s="1"/>
  <c r="M247" i="1"/>
  <c r="J247" i="1"/>
  <c r="K247" i="1" s="1"/>
  <c r="M235" i="1"/>
  <c r="J235" i="1"/>
  <c r="K235" i="1" s="1"/>
  <c r="M223" i="1"/>
  <c r="J223" i="1"/>
  <c r="K223" i="1" s="1"/>
  <c r="M211" i="1"/>
  <c r="J211" i="1"/>
  <c r="K211" i="1" s="1"/>
  <c r="M199" i="1"/>
  <c r="J199" i="1"/>
  <c r="K199" i="1" s="1"/>
  <c r="M187" i="1"/>
  <c r="J187" i="1"/>
  <c r="K187" i="1" s="1"/>
  <c r="M175" i="1"/>
  <c r="J175" i="1"/>
  <c r="K175" i="1" s="1"/>
  <c r="M163" i="1"/>
  <c r="J163" i="1"/>
  <c r="K163" i="1" s="1"/>
  <c r="M151" i="1"/>
  <c r="J151" i="1"/>
  <c r="K151" i="1" s="1"/>
  <c r="M139" i="1"/>
  <c r="J139" i="1"/>
  <c r="K139" i="1" s="1"/>
  <c r="M127" i="1"/>
  <c r="J127" i="1"/>
  <c r="K127" i="1" s="1"/>
  <c r="M115" i="1"/>
  <c r="J115" i="1"/>
  <c r="K115" i="1" s="1"/>
  <c r="M103" i="1"/>
  <c r="J103" i="1"/>
  <c r="K103" i="1" s="1"/>
  <c r="M91" i="1"/>
  <c r="J91" i="1"/>
  <c r="K91" i="1" s="1"/>
  <c r="M79" i="1"/>
  <c r="J79" i="1"/>
  <c r="K79" i="1" s="1"/>
  <c r="M67" i="1"/>
  <c r="J67" i="1"/>
  <c r="K67" i="1" s="1"/>
  <c r="M55" i="1"/>
  <c r="J55" i="1"/>
  <c r="K55" i="1" s="1"/>
  <c r="M43" i="1"/>
  <c r="J43" i="1"/>
  <c r="K43" i="1" s="1"/>
  <c r="M31" i="1"/>
  <c r="J31" i="1"/>
  <c r="K31" i="1" s="1"/>
  <c r="M19" i="1"/>
  <c r="J19" i="1"/>
  <c r="K19" i="1" s="1"/>
  <c r="M7" i="1"/>
  <c r="J7" i="1"/>
  <c r="K7" i="1" s="1"/>
  <c r="J966" i="1"/>
  <c r="K966" i="1" s="1"/>
  <c r="J177" i="1"/>
  <c r="K177" i="1" s="1"/>
  <c r="M486" i="1"/>
  <c r="M474" i="1"/>
  <c r="M462" i="1"/>
  <c r="M450" i="1"/>
  <c r="M438" i="1"/>
  <c r="M426" i="1"/>
  <c r="J426" i="1"/>
  <c r="K426" i="1" s="1"/>
  <c r="M414" i="1"/>
  <c r="J414" i="1"/>
  <c r="K414" i="1" s="1"/>
  <c r="M402" i="1"/>
  <c r="J402" i="1"/>
  <c r="K402" i="1" s="1"/>
  <c r="M390" i="1"/>
  <c r="J390" i="1"/>
  <c r="K390" i="1" s="1"/>
  <c r="M378" i="1"/>
  <c r="J378" i="1"/>
  <c r="K378" i="1" s="1"/>
  <c r="J366" i="1"/>
  <c r="K366" i="1" s="1"/>
  <c r="M366" i="1"/>
  <c r="M354" i="1"/>
  <c r="J354" i="1"/>
  <c r="K354" i="1" s="1"/>
  <c r="M342" i="1"/>
  <c r="J342" i="1"/>
  <c r="K342" i="1" s="1"/>
  <c r="M330" i="1"/>
  <c r="J330" i="1"/>
  <c r="K330" i="1" s="1"/>
  <c r="M318" i="1"/>
  <c r="J318" i="1"/>
  <c r="K318" i="1" s="1"/>
  <c r="M306" i="1"/>
  <c r="J306" i="1"/>
  <c r="K306" i="1" s="1"/>
  <c r="J294" i="1"/>
  <c r="K294" i="1" s="1"/>
  <c r="M294" i="1"/>
  <c r="M282" i="1"/>
  <c r="J282" i="1"/>
  <c r="K282" i="1" s="1"/>
  <c r="M270" i="1"/>
  <c r="J270" i="1"/>
  <c r="K270" i="1" s="1"/>
  <c r="M258" i="1"/>
  <c r="J258" i="1"/>
  <c r="K258" i="1" s="1"/>
  <c r="M246" i="1"/>
  <c r="J246" i="1"/>
  <c r="K246" i="1" s="1"/>
  <c r="M234" i="1"/>
  <c r="J234" i="1"/>
  <c r="K234" i="1" s="1"/>
  <c r="M222" i="1"/>
  <c r="J222" i="1"/>
  <c r="K222" i="1" s="1"/>
  <c r="M210" i="1"/>
  <c r="J210" i="1"/>
  <c r="K210" i="1" s="1"/>
  <c r="M198" i="1"/>
  <c r="J198" i="1"/>
  <c r="K198" i="1" s="1"/>
  <c r="M186" i="1"/>
  <c r="J186" i="1"/>
  <c r="K186" i="1" s="1"/>
  <c r="M174" i="1"/>
  <c r="J174" i="1"/>
  <c r="K174" i="1" s="1"/>
  <c r="M162" i="1"/>
  <c r="J162" i="1"/>
  <c r="K162" i="1" s="1"/>
  <c r="M150" i="1"/>
  <c r="J150" i="1"/>
  <c r="K150" i="1" s="1"/>
  <c r="M138" i="1"/>
  <c r="J138" i="1"/>
  <c r="K138" i="1" s="1"/>
  <c r="M126" i="1"/>
  <c r="J126" i="1"/>
  <c r="K126" i="1" s="1"/>
  <c r="M114" i="1"/>
  <c r="J114" i="1"/>
  <c r="K114" i="1" s="1"/>
  <c r="M102" i="1"/>
  <c r="J102" i="1"/>
  <c r="K102" i="1" s="1"/>
  <c r="J954" i="1"/>
  <c r="K954" i="1" s="1"/>
  <c r="J372" i="1"/>
  <c r="K372" i="1" s="1"/>
  <c r="J155" i="1"/>
  <c r="K155" i="1" s="1"/>
  <c r="M870" i="1"/>
  <c r="M822" i="1"/>
  <c r="M750" i="1"/>
  <c r="M714" i="1"/>
  <c r="M678" i="1"/>
  <c r="M642" i="1"/>
  <c r="M558" i="1"/>
  <c r="M546" i="1"/>
  <c r="M989" i="1"/>
  <c r="J989" i="1"/>
  <c r="K989" i="1" s="1"/>
  <c r="M917" i="1"/>
  <c r="J917" i="1"/>
  <c r="K917" i="1" s="1"/>
  <c r="M845" i="1"/>
  <c r="J845" i="1"/>
  <c r="K845" i="1" s="1"/>
  <c r="M821" i="1"/>
  <c r="J821" i="1"/>
  <c r="K821" i="1" s="1"/>
  <c r="M809" i="1"/>
  <c r="J809" i="1"/>
  <c r="K809" i="1" s="1"/>
  <c r="M797" i="1"/>
  <c r="J797" i="1"/>
  <c r="K797" i="1" s="1"/>
  <c r="M785" i="1"/>
  <c r="J785" i="1"/>
  <c r="K785" i="1" s="1"/>
  <c r="M773" i="1"/>
  <c r="J773" i="1"/>
  <c r="K773" i="1" s="1"/>
  <c r="M761" i="1"/>
  <c r="J761" i="1"/>
  <c r="K761" i="1" s="1"/>
  <c r="M749" i="1"/>
  <c r="J749" i="1"/>
  <c r="K749" i="1" s="1"/>
  <c r="M737" i="1"/>
  <c r="J737" i="1"/>
  <c r="K737" i="1" s="1"/>
  <c r="M725" i="1"/>
  <c r="J725" i="1"/>
  <c r="K725" i="1" s="1"/>
  <c r="M713" i="1"/>
  <c r="J713" i="1"/>
  <c r="K713" i="1" s="1"/>
  <c r="M701" i="1"/>
  <c r="J701" i="1"/>
  <c r="K701" i="1" s="1"/>
  <c r="M689" i="1"/>
  <c r="J689" i="1"/>
  <c r="K689" i="1" s="1"/>
  <c r="M677" i="1"/>
  <c r="J677" i="1"/>
  <c r="K677" i="1" s="1"/>
  <c r="M665" i="1"/>
  <c r="J665" i="1"/>
  <c r="K665" i="1" s="1"/>
  <c r="M653" i="1"/>
  <c r="J653" i="1"/>
  <c r="K653" i="1" s="1"/>
  <c r="M641" i="1"/>
  <c r="J641" i="1"/>
  <c r="K641" i="1" s="1"/>
  <c r="M629" i="1"/>
  <c r="J629" i="1"/>
  <c r="K629" i="1" s="1"/>
  <c r="M617" i="1"/>
  <c r="J617" i="1"/>
  <c r="K617" i="1" s="1"/>
  <c r="M605" i="1"/>
  <c r="J605" i="1"/>
  <c r="K605" i="1" s="1"/>
  <c r="M593" i="1"/>
  <c r="J593" i="1"/>
  <c r="K593" i="1" s="1"/>
  <c r="M581" i="1"/>
  <c r="J581" i="1"/>
  <c r="K581" i="1" s="1"/>
  <c r="M569" i="1"/>
  <c r="J569" i="1"/>
  <c r="K569" i="1" s="1"/>
  <c r="M557" i="1"/>
  <c r="J557" i="1"/>
  <c r="K557" i="1" s="1"/>
  <c r="M545" i="1"/>
  <c r="J545" i="1"/>
  <c r="K545" i="1" s="1"/>
  <c r="M533" i="1"/>
  <c r="J533" i="1"/>
  <c r="K533" i="1" s="1"/>
  <c r="M521" i="1"/>
  <c r="J521" i="1"/>
  <c r="K521" i="1" s="1"/>
  <c r="M509" i="1"/>
  <c r="J509" i="1"/>
  <c r="K509" i="1" s="1"/>
  <c r="M497" i="1"/>
  <c r="J497" i="1"/>
  <c r="K497" i="1" s="1"/>
  <c r="M485" i="1"/>
  <c r="J485" i="1"/>
  <c r="K485" i="1" s="1"/>
  <c r="M473" i="1"/>
  <c r="J473" i="1"/>
  <c r="K473" i="1" s="1"/>
  <c r="M461" i="1"/>
  <c r="J461" i="1"/>
  <c r="K461" i="1" s="1"/>
  <c r="M449" i="1"/>
  <c r="J449" i="1"/>
  <c r="K449" i="1" s="1"/>
  <c r="M437" i="1"/>
  <c r="J437" i="1"/>
  <c r="K437" i="1" s="1"/>
  <c r="M425" i="1"/>
  <c r="M413" i="1"/>
  <c r="J413" i="1"/>
  <c r="K413" i="1" s="1"/>
  <c r="M401" i="1"/>
  <c r="J401" i="1"/>
  <c r="K401" i="1" s="1"/>
  <c r="M389" i="1"/>
  <c r="J389" i="1"/>
  <c r="K389" i="1" s="1"/>
  <c r="M377" i="1"/>
  <c r="J377" i="1"/>
  <c r="K377" i="1" s="1"/>
  <c r="M365" i="1"/>
  <c r="J365" i="1"/>
  <c r="K365" i="1" s="1"/>
  <c r="M353" i="1"/>
  <c r="J353" i="1"/>
  <c r="K353" i="1" s="1"/>
  <c r="M341" i="1"/>
  <c r="J341" i="1"/>
  <c r="K341" i="1" s="1"/>
  <c r="M329" i="1"/>
  <c r="J329" i="1"/>
  <c r="K329" i="1" s="1"/>
  <c r="M317" i="1"/>
  <c r="J317" i="1"/>
  <c r="K317" i="1" s="1"/>
  <c r="M305" i="1"/>
  <c r="J305" i="1"/>
  <c r="K305" i="1" s="1"/>
  <c r="M293" i="1"/>
  <c r="J293" i="1"/>
  <c r="K293" i="1" s="1"/>
  <c r="M281" i="1"/>
  <c r="J281" i="1"/>
  <c r="K281" i="1" s="1"/>
  <c r="M269" i="1"/>
  <c r="J269" i="1"/>
  <c r="K269" i="1" s="1"/>
  <c r="M257" i="1"/>
  <c r="J257" i="1"/>
  <c r="K257" i="1" s="1"/>
  <c r="M245" i="1"/>
  <c r="J245" i="1"/>
  <c r="K245" i="1" s="1"/>
  <c r="M233" i="1"/>
  <c r="J233" i="1"/>
  <c r="K233" i="1" s="1"/>
  <c r="M221" i="1"/>
  <c r="J221" i="1"/>
  <c r="K221" i="1" s="1"/>
  <c r="M209" i="1"/>
  <c r="J209" i="1"/>
  <c r="K209" i="1" s="1"/>
  <c r="M197" i="1"/>
  <c r="J197" i="1"/>
  <c r="K197" i="1" s="1"/>
  <c r="M185" i="1"/>
  <c r="J185" i="1"/>
  <c r="K185" i="1" s="1"/>
  <c r="M173" i="1"/>
  <c r="J173" i="1"/>
  <c r="K173" i="1" s="1"/>
  <c r="M161" i="1"/>
  <c r="J161" i="1"/>
  <c r="K161" i="1" s="1"/>
  <c r="M149" i="1"/>
  <c r="J149" i="1"/>
  <c r="K149" i="1" s="1"/>
  <c r="M137" i="1"/>
  <c r="J137" i="1"/>
  <c r="K137" i="1" s="1"/>
  <c r="M125" i="1"/>
  <c r="J125" i="1"/>
  <c r="K125" i="1" s="1"/>
  <c r="M113" i="1"/>
  <c r="J113" i="1"/>
  <c r="K113" i="1" s="1"/>
  <c r="M101" i="1"/>
  <c r="M89" i="1"/>
  <c r="J89" i="1"/>
  <c r="K89" i="1" s="1"/>
  <c r="M77" i="1"/>
  <c r="J77" i="1"/>
  <c r="K77" i="1" s="1"/>
  <c r="M65" i="1"/>
  <c r="J65" i="1"/>
  <c r="K65" i="1" s="1"/>
  <c r="M53" i="1"/>
  <c r="J53" i="1"/>
  <c r="K53" i="1" s="1"/>
  <c r="M41" i="1"/>
  <c r="J41" i="1"/>
  <c r="K41" i="1" s="1"/>
  <c r="M29" i="1"/>
  <c r="M17" i="1"/>
  <c r="J17" i="1"/>
  <c r="K17" i="1" s="1"/>
  <c r="M5" i="1"/>
  <c r="J5" i="1"/>
  <c r="K5" i="1" s="1"/>
  <c r="J942" i="1"/>
  <c r="K942" i="1" s="1"/>
  <c r="J798" i="1"/>
  <c r="K798" i="1" s="1"/>
  <c r="J357" i="1"/>
  <c r="K357" i="1" s="1"/>
  <c r="J131" i="1"/>
  <c r="K131" i="1" s="1"/>
  <c r="M834" i="1"/>
  <c r="M762" i="1"/>
  <c r="M690" i="1"/>
  <c r="M606" i="1"/>
  <c r="M582" i="1"/>
  <c r="M534" i="1"/>
  <c r="M965" i="1"/>
  <c r="J965" i="1"/>
  <c r="K965" i="1" s="1"/>
  <c r="M905" i="1"/>
  <c r="J905" i="1"/>
  <c r="K905" i="1" s="1"/>
  <c r="M857" i="1"/>
  <c r="J857" i="1"/>
  <c r="K857" i="1" s="1"/>
  <c r="M988" i="1"/>
  <c r="J988" i="1"/>
  <c r="K988" i="1" s="1"/>
  <c r="M952" i="1"/>
  <c r="J952" i="1"/>
  <c r="K952" i="1" s="1"/>
  <c r="M916" i="1"/>
  <c r="J916" i="1"/>
  <c r="K916" i="1" s="1"/>
  <c r="M880" i="1"/>
  <c r="J880" i="1"/>
  <c r="K880" i="1" s="1"/>
  <c r="M868" i="1"/>
  <c r="J868" i="1"/>
  <c r="K868" i="1" s="1"/>
  <c r="M856" i="1"/>
  <c r="J856" i="1"/>
  <c r="K856" i="1" s="1"/>
  <c r="M844" i="1"/>
  <c r="J844" i="1"/>
  <c r="K844" i="1" s="1"/>
  <c r="M832" i="1"/>
  <c r="J832" i="1"/>
  <c r="K832" i="1" s="1"/>
  <c r="M820" i="1"/>
  <c r="J820" i="1"/>
  <c r="K820" i="1" s="1"/>
  <c r="M808" i="1"/>
  <c r="J808" i="1"/>
  <c r="K808" i="1" s="1"/>
  <c r="M796" i="1"/>
  <c r="J796" i="1"/>
  <c r="K796" i="1" s="1"/>
  <c r="M784" i="1"/>
  <c r="J784" i="1"/>
  <c r="K784" i="1" s="1"/>
  <c r="M772" i="1"/>
  <c r="J772" i="1"/>
  <c r="K772" i="1" s="1"/>
  <c r="M760" i="1"/>
  <c r="J760" i="1"/>
  <c r="K760" i="1" s="1"/>
  <c r="M748" i="1"/>
  <c r="J748" i="1"/>
  <c r="K748" i="1" s="1"/>
  <c r="M736" i="1"/>
  <c r="J736" i="1"/>
  <c r="K736" i="1" s="1"/>
  <c r="M724" i="1"/>
  <c r="J724" i="1"/>
  <c r="K724" i="1" s="1"/>
  <c r="M712" i="1"/>
  <c r="J712" i="1"/>
  <c r="K712" i="1" s="1"/>
  <c r="M700" i="1"/>
  <c r="J700" i="1"/>
  <c r="K700" i="1" s="1"/>
  <c r="M688" i="1"/>
  <c r="J688" i="1"/>
  <c r="K688" i="1" s="1"/>
  <c r="M676" i="1"/>
  <c r="J676" i="1"/>
  <c r="K676" i="1" s="1"/>
  <c r="M664" i="1"/>
  <c r="J664" i="1"/>
  <c r="K664" i="1" s="1"/>
  <c r="M652" i="1"/>
  <c r="J652" i="1"/>
  <c r="K652" i="1" s="1"/>
  <c r="M640" i="1"/>
  <c r="J640" i="1"/>
  <c r="K640" i="1" s="1"/>
  <c r="M628" i="1"/>
  <c r="J628" i="1"/>
  <c r="K628" i="1" s="1"/>
  <c r="M616" i="1"/>
  <c r="J616" i="1"/>
  <c r="K616" i="1" s="1"/>
  <c r="M604" i="1"/>
  <c r="J604" i="1"/>
  <c r="K604" i="1" s="1"/>
  <c r="M592" i="1"/>
  <c r="J592" i="1"/>
  <c r="K592" i="1" s="1"/>
  <c r="M580" i="1"/>
  <c r="J580" i="1"/>
  <c r="K580" i="1" s="1"/>
  <c r="M568" i="1"/>
  <c r="J568" i="1"/>
  <c r="K568" i="1" s="1"/>
  <c r="M556" i="1"/>
  <c r="J556" i="1"/>
  <c r="K556" i="1" s="1"/>
  <c r="M544" i="1"/>
  <c r="J544" i="1"/>
  <c r="K544" i="1" s="1"/>
  <c r="M532" i="1"/>
  <c r="J532" i="1"/>
  <c r="K532" i="1" s="1"/>
  <c r="M520" i="1"/>
  <c r="J520" i="1"/>
  <c r="K520" i="1" s="1"/>
  <c r="M508" i="1"/>
  <c r="J508" i="1"/>
  <c r="K508" i="1" s="1"/>
  <c r="M496" i="1"/>
  <c r="J496" i="1"/>
  <c r="K496" i="1" s="1"/>
  <c r="M484" i="1"/>
  <c r="J484" i="1"/>
  <c r="K484" i="1" s="1"/>
  <c r="M472" i="1"/>
  <c r="J472" i="1"/>
  <c r="K472" i="1" s="1"/>
  <c r="M460" i="1"/>
  <c r="J460" i="1"/>
  <c r="K460" i="1" s="1"/>
  <c r="M448" i="1"/>
  <c r="J448" i="1"/>
  <c r="K448" i="1" s="1"/>
  <c r="M436" i="1"/>
  <c r="J436" i="1"/>
  <c r="K436" i="1" s="1"/>
  <c r="M424" i="1"/>
  <c r="J424" i="1"/>
  <c r="K424" i="1" s="1"/>
  <c r="M412" i="1"/>
  <c r="J412" i="1"/>
  <c r="K412" i="1" s="1"/>
  <c r="M400" i="1"/>
  <c r="J400" i="1"/>
  <c r="K400" i="1" s="1"/>
  <c r="M388" i="1"/>
  <c r="J388" i="1"/>
  <c r="K388" i="1" s="1"/>
  <c r="M376" i="1"/>
  <c r="J376" i="1"/>
  <c r="K376" i="1" s="1"/>
  <c r="M364" i="1"/>
  <c r="J364" i="1"/>
  <c r="K364" i="1" s="1"/>
  <c r="M352" i="1"/>
  <c r="J352" i="1"/>
  <c r="K352" i="1" s="1"/>
  <c r="M340" i="1"/>
  <c r="J340" i="1"/>
  <c r="K340" i="1" s="1"/>
  <c r="M328" i="1"/>
  <c r="J328" i="1"/>
  <c r="K328" i="1" s="1"/>
  <c r="M316" i="1"/>
  <c r="J316" i="1"/>
  <c r="K316" i="1" s="1"/>
  <c r="M304" i="1"/>
  <c r="J304" i="1"/>
  <c r="K304" i="1" s="1"/>
  <c r="M292" i="1"/>
  <c r="J292" i="1"/>
  <c r="K292" i="1" s="1"/>
  <c r="M280" i="1"/>
  <c r="J280" i="1"/>
  <c r="K280" i="1" s="1"/>
  <c r="M268" i="1"/>
  <c r="J268" i="1"/>
  <c r="K268" i="1" s="1"/>
  <c r="M256" i="1"/>
  <c r="J256" i="1"/>
  <c r="K256" i="1" s="1"/>
  <c r="M244" i="1"/>
  <c r="J244" i="1"/>
  <c r="K244" i="1" s="1"/>
  <c r="M232" i="1"/>
  <c r="J232" i="1"/>
  <c r="K232" i="1" s="1"/>
  <c r="M220" i="1"/>
  <c r="J220" i="1"/>
  <c r="K220" i="1" s="1"/>
  <c r="M208" i="1"/>
  <c r="J208" i="1"/>
  <c r="K208" i="1" s="1"/>
  <c r="M196" i="1"/>
  <c r="J196" i="1"/>
  <c r="K196" i="1" s="1"/>
  <c r="M184" i="1"/>
  <c r="J184" i="1"/>
  <c r="K184" i="1" s="1"/>
  <c r="M172" i="1"/>
  <c r="J172" i="1"/>
  <c r="K172" i="1" s="1"/>
  <c r="M160" i="1"/>
  <c r="J160" i="1"/>
  <c r="K160" i="1" s="1"/>
  <c r="M148" i="1"/>
  <c r="J148" i="1"/>
  <c r="K148" i="1" s="1"/>
  <c r="M136" i="1"/>
  <c r="J136" i="1"/>
  <c r="K136" i="1" s="1"/>
  <c r="M124" i="1"/>
  <c r="J124" i="1"/>
  <c r="K124" i="1" s="1"/>
  <c r="M112" i="1"/>
  <c r="J112" i="1"/>
  <c r="K112" i="1" s="1"/>
  <c r="M100" i="1"/>
  <c r="J100" i="1"/>
  <c r="K100" i="1" s="1"/>
  <c r="M88" i="1"/>
  <c r="J88" i="1"/>
  <c r="K88" i="1" s="1"/>
  <c r="M76" i="1"/>
  <c r="J76" i="1"/>
  <c r="K76" i="1" s="1"/>
  <c r="M64" i="1"/>
  <c r="J64" i="1"/>
  <c r="K64" i="1" s="1"/>
  <c r="M52" i="1"/>
  <c r="J52" i="1"/>
  <c r="K52" i="1" s="1"/>
  <c r="M40" i="1"/>
  <c r="J40" i="1"/>
  <c r="K40" i="1" s="1"/>
  <c r="M28" i="1"/>
  <c r="J28" i="1"/>
  <c r="K28" i="1" s="1"/>
  <c r="M16" i="1"/>
  <c r="J16" i="1"/>
  <c r="K16" i="1" s="1"/>
  <c r="M4" i="1"/>
  <c r="J4" i="1"/>
  <c r="K4" i="1" s="1"/>
  <c r="J930" i="1"/>
  <c r="K930" i="1" s="1"/>
  <c r="J642" i="1"/>
  <c r="K642" i="1" s="1"/>
  <c r="J498" i="1"/>
  <c r="K498" i="1" s="1"/>
  <c r="J101" i="1"/>
  <c r="K101" i="1" s="1"/>
  <c r="M858" i="1"/>
  <c r="M810" i="1"/>
  <c r="M726" i="1"/>
  <c r="M654" i="1"/>
  <c r="M630" i="1"/>
  <c r="M594" i="1"/>
  <c r="M510" i="1"/>
  <c r="M941" i="1"/>
  <c r="J941" i="1"/>
  <c r="K941" i="1" s="1"/>
  <c r="M893" i="1"/>
  <c r="J893" i="1"/>
  <c r="K893" i="1" s="1"/>
  <c r="M869" i="1"/>
  <c r="J869" i="1"/>
  <c r="K869" i="1" s="1"/>
  <c r="M1000" i="1"/>
  <c r="J1000" i="1"/>
  <c r="K1000" i="1" s="1"/>
  <c r="M976" i="1"/>
  <c r="J976" i="1"/>
  <c r="K976" i="1" s="1"/>
  <c r="M928" i="1"/>
  <c r="J928" i="1"/>
  <c r="K928" i="1" s="1"/>
  <c r="M904" i="1"/>
  <c r="J904" i="1"/>
  <c r="K904" i="1" s="1"/>
  <c r="M999" i="1"/>
  <c r="J999" i="1"/>
  <c r="K999" i="1" s="1"/>
  <c r="M975" i="1"/>
  <c r="J975" i="1"/>
  <c r="K975" i="1" s="1"/>
  <c r="M951" i="1"/>
  <c r="J951" i="1"/>
  <c r="K951" i="1" s="1"/>
  <c r="M915" i="1"/>
  <c r="J915" i="1"/>
  <c r="K915" i="1" s="1"/>
  <c r="M903" i="1"/>
  <c r="J903" i="1"/>
  <c r="K903" i="1" s="1"/>
  <c r="M867" i="1"/>
  <c r="J867" i="1"/>
  <c r="K867" i="1" s="1"/>
  <c r="M843" i="1"/>
  <c r="J843" i="1"/>
  <c r="K843" i="1" s="1"/>
  <c r="M819" i="1"/>
  <c r="J819" i="1"/>
  <c r="K819" i="1" s="1"/>
  <c r="M795" i="1"/>
  <c r="J795" i="1"/>
  <c r="K795" i="1" s="1"/>
  <c r="M759" i="1"/>
  <c r="J759" i="1"/>
  <c r="K759" i="1" s="1"/>
  <c r="M723" i="1"/>
  <c r="J723" i="1"/>
  <c r="K723" i="1" s="1"/>
  <c r="M711" i="1"/>
  <c r="J711" i="1"/>
  <c r="K711" i="1" s="1"/>
  <c r="M699" i="1"/>
  <c r="J699" i="1"/>
  <c r="K699" i="1" s="1"/>
  <c r="M687" i="1"/>
  <c r="J687" i="1"/>
  <c r="K687" i="1" s="1"/>
  <c r="M675" i="1"/>
  <c r="J675" i="1"/>
  <c r="K675" i="1" s="1"/>
  <c r="M663" i="1"/>
  <c r="J663" i="1"/>
  <c r="K663" i="1" s="1"/>
  <c r="M651" i="1"/>
  <c r="J651" i="1"/>
  <c r="K651" i="1" s="1"/>
  <c r="M639" i="1"/>
  <c r="J639" i="1"/>
  <c r="K639" i="1" s="1"/>
  <c r="M627" i="1"/>
  <c r="J627" i="1"/>
  <c r="K627" i="1" s="1"/>
  <c r="M615" i="1"/>
  <c r="J615" i="1"/>
  <c r="K615" i="1" s="1"/>
  <c r="M603" i="1"/>
  <c r="J603" i="1"/>
  <c r="K603" i="1" s="1"/>
  <c r="M591" i="1"/>
  <c r="J591" i="1"/>
  <c r="K591" i="1" s="1"/>
  <c r="M579" i="1"/>
  <c r="J579" i="1"/>
  <c r="K579" i="1" s="1"/>
  <c r="M567" i="1"/>
  <c r="J567" i="1"/>
  <c r="K567" i="1" s="1"/>
  <c r="M555" i="1"/>
  <c r="J555" i="1"/>
  <c r="K555" i="1" s="1"/>
  <c r="M543" i="1"/>
  <c r="J543" i="1"/>
  <c r="K543" i="1" s="1"/>
  <c r="M531" i="1"/>
  <c r="J531" i="1"/>
  <c r="K531" i="1" s="1"/>
  <c r="M519" i="1"/>
  <c r="J519" i="1"/>
  <c r="K519" i="1" s="1"/>
  <c r="M507" i="1"/>
  <c r="J507" i="1"/>
  <c r="K507" i="1" s="1"/>
  <c r="M495" i="1"/>
  <c r="J495" i="1"/>
  <c r="K495" i="1" s="1"/>
  <c r="M483" i="1"/>
  <c r="J483" i="1"/>
  <c r="K483" i="1" s="1"/>
  <c r="M471" i="1"/>
  <c r="J471" i="1"/>
  <c r="K471" i="1" s="1"/>
  <c r="M459" i="1"/>
  <c r="J459" i="1"/>
  <c r="K459" i="1" s="1"/>
  <c r="M447" i="1"/>
  <c r="J447" i="1"/>
  <c r="K447" i="1" s="1"/>
  <c r="M435" i="1"/>
  <c r="J435" i="1"/>
  <c r="K435" i="1" s="1"/>
  <c r="M423" i="1"/>
  <c r="J423" i="1"/>
  <c r="K423" i="1" s="1"/>
  <c r="M411" i="1"/>
  <c r="M399" i="1"/>
  <c r="J399" i="1"/>
  <c r="K399" i="1" s="1"/>
  <c r="M387" i="1"/>
  <c r="J387" i="1"/>
  <c r="K387" i="1" s="1"/>
  <c r="M375" i="1"/>
  <c r="J375" i="1"/>
  <c r="K375" i="1" s="1"/>
  <c r="M363" i="1"/>
  <c r="J363" i="1"/>
  <c r="K363" i="1" s="1"/>
  <c r="M351" i="1"/>
  <c r="J351" i="1"/>
  <c r="K351" i="1" s="1"/>
  <c r="M339" i="1"/>
  <c r="J339" i="1"/>
  <c r="K339" i="1" s="1"/>
  <c r="M327" i="1"/>
  <c r="J327" i="1"/>
  <c r="K327" i="1" s="1"/>
  <c r="M315" i="1"/>
  <c r="J315" i="1"/>
  <c r="K315" i="1" s="1"/>
  <c r="M303" i="1"/>
  <c r="J303" i="1"/>
  <c r="K303" i="1" s="1"/>
  <c r="M291" i="1"/>
  <c r="J291" i="1"/>
  <c r="K291" i="1" s="1"/>
  <c r="M279" i="1"/>
  <c r="J279" i="1"/>
  <c r="K279" i="1" s="1"/>
  <c r="M267" i="1"/>
  <c r="J267" i="1"/>
  <c r="K267" i="1" s="1"/>
  <c r="M255" i="1"/>
  <c r="J255" i="1"/>
  <c r="K255" i="1" s="1"/>
  <c r="M243" i="1"/>
  <c r="J243" i="1"/>
  <c r="K243" i="1" s="1"/>
  <c r="M231" i="1"/>
  <c r="J231" i="1"/>
  <c r="K231" i="1" s="1"/>
  <c r="M219" i="1"/>
  <c r="J219" i="1"/>
  <c r="K219" i="1" s="1"/>
  <c r="M207" i="1"/>
  <c r="J207" i="1"/>
  <c r="K207" i="1" s="1"/>
  <c r="M195" i="1"/>
  <c r="J195" i="1"/>
  <c r="K195" i="1" s="1"/>
  <c r="M183" i="1"/>
  <c r="J183" i="1"/>
  <c r="K183" i="1" s="1"/>
  <c r="M171" i="1"/>
  <c r="J171" i="1"/>
  <c r="K171" i="1" s="1"/>
  <c r="M159" i="1"/>
  <c r="J159" i="1"/>
  <c r="K159" i="1" s="1"/>
  <c r="M147" i="1"/>
  <c r="J147" i="1"/>
  <c r="K147" i="1" s="1"/>
  <c r="M135" i="1"/>
  <c r="J135" i="1"/>
  <c r="K135" i="1" s="1"/>
  <c r="M123" i="1"/>
  <c r="J123" i="1"/>
  <c r="K123" i="1" s="1"/>
  <c r="M111" i="1"/>
  <c r="J111" i="1"/>
  <c r="K111" i="1" s="1"/>
  <c r="M99" i="1"/>
  <c r="J99" i="1"/>
  <c r="K99" i="1" s="1"/>
  <c r="M87" i="1"/>
  <c r="J87" i="1"/>
  <c r="K87" i="1" s="1"/>
  <c r="M75" i="1"/>
  <c r="J75" i="1"/>
  <c r="K75" i="1" s="1"/>
  <c r="M63" i="1"/>
  <c r="J63" i="1"/>
  <c r="K63" i="1" s="1"/>
  <c r="M51" i="1"/>
  <c r="J51" i="1"/>
  <c r="K51" i="1" s="1"/>
  <c r="M39" i="1"/>
  <c r="J39" i="1"/>
  <c r="K39" i="1" s="1"/>
  <c r="M27" i="1"/>
  <c r="J27" i="1"/>
  <c r="K27" i="1" s="1"/>
  <c r="M15" i="1"/>
  <c r="J15" i="1"/>
  <c r="K15" i="1" s="1"/>
  <c r="M3" i="1"/>
  <c r="J3" i="1"/>
  <c r="K3" i="1" s="1"/>
  <c r="J918" i="1"/>
  <c r="K918" i="1" s="1"/>
  <c r="J630" i="1"/>
  <c r="K630" i="1" s="1"/>
  <c r="J486" i="1"/>
  <c r="K486" i="1" s="1"/>
  <c r="J321" i="1"/>
  <c r="K321" i="1" s="1"/>
  <c r="J72" i="1"/>
  <c r="K72" i="1" s="1"/>
  <c r="M846" i="1"/>
  <c r="M774" i="1"/>
  <c r="M738" i="1"/>
  <c r="M702" i="1"/>
  <c r="M666" i="1"/>
  <c r="M618" i="1"/>
  <c r="M570" i="1"/>
  <c r="M522" i="1"/>
  <c r="M1001" i="1"/>
  <c r="J1001" i="1"/>
  <c r="K1001" i="1" s="1"/>
  <c r="M977" i="1"/>
  <c r="J977" i="1"/>
  <c r="K977" i="1" s="1"/>
  <c r="M953" i="1"/>
  <c r="J953" i="1"/>
  <c r="K953" i="1" s="1"/>
  <c r="M929" i="1"/>
  <c r="J929" i="1"/>
  <c r="K929" i="1" s="1"/>
  <c r="M881" i="1"/>
  <c r="J881" i="1"/>
  <c r="K881" i="1" s="1"/>
  <c r="M833" i="1"/>
  <c r="J833" i="1"/>
  <c r="K833" i="1" s="1"/>
  <c r="M964" i="1"/>
  <c r="J964" i="1"/>
  <c r="K964" i="1" s="1"/>
  <c r="M940" i="1"/>
  <c r="J940" i="1"/>
  <c r="K940" i="1" s="1"/>
  <c r="M892" i="1"/>
  <c r="J892" i="1"/>
  <c r="K892" i="1" s="1"/>
  <c r="M987" i="1"/>
  <c r="J987" i="1"/>
  <c r="K987" i="1" s="1"/>
  <c r="M963" i="1"/>
  <c r="J963" i="1"/>
  <c r="K963" i="1" s="1"/>
  <c r="M939" i="1"/>
  <c r="J939" i="1"/>
  <c r="K939" i="1" s="1"/>
  <c r="M927" i="1"/>
  <c r="J927" i="1"/>
  <c r="K927" i="1" s="1"/>
  <c r="M891" i="1"/>
  <c r="J891" i="1"/>
  <c r="K891" i="1" s="1"/>
  <c r="M879" i="1"/>
  <c r="J879" i="1"/>
  <c r="K879" i="1" s="1"/>
  <c r="M855" i="1"/>
  <c r="J855" i="1"/>
  <c r="K855" i="1" s="1"/>
  <c r="M831" i="1"/>
  <c r="J831" i="1"/>
  <c r="K831" i="1" s="1"/>
  <c r="M807" i="1"/>
  <c r="J807" i="1"/>
  <c r="K807" i="1" s="1"/>
  <c r="M783" i="1"/>
  <c r="J783" i="1"/>
  <c r="K783" i="1" s="1"/>
  <c r="M771" i="1"/>
  <c r="J771" i="1"/>
  <c r="K771" i="1" s="1"/>
  <c r="M747" i="1"/>
  <c r="J747" i="1"/>
  <c r="K747" i="1" s="1"/>
  <c r="M735" i="1"/>
  <c r="J735" i="1"/>
  <c r="K735" i="1" s="1"/>
  <c r="M998" i="1"/>
  <c r="J998" i="1"/>
  <c r="K998" i="1" s="1"/>
  <c r="M986" i="1"/>
  <c r="J986" i="1"/>
  <c r="K986" i="1" s="1"/>
  <c r="M974" i="1"/>
  <c r="J974" i="1"/>
  <c r="K974" i="1" s="1"/>
  <c r="M962" i="1"/>
  <c r="J962" i="1"/>
  <c r="K962" i="1" s="1"/>
  <c r="M950" i="1"/>
  <c r="J950" i="1"/>
  <c r="K950" i="1" s="1"/>
  <c r="M938" i="1"/>
  <c r="J938" i="1"/>
  <c r="K938" i="1" s="1"/>
  <c r="M926" i="1"/>
  <c r="J926" i="1"/>
  <c r="K926" i="1" s="1"/>
  <c r="M914" i="1"/>
  <c r="J914" i="1"/>
  <c r="K914" i="1" s="1"/>
  <c r="M902" i="1"/>
  <c r="J902" i="1"/>
  <c r="K902" i="1" s="1"/>
  <c r="M890" i="1"/>
  <c r="J890" i="1"/>
  <c r="K890" i="1" s="1"/>
  <c r="M878" i="1"/>
  <c r="J878" i="1"/>
  <c r="K878" i="1" s="1"/>
  <c r="M866" i="1"/>
  <c r="J866" i="1"/>
  <c r="K866" i="1" s="1"/>
  <c r="M854" i="1"/>
  <c r="J854" i="1"/>
  <c r="K854" i="1" s="1"/>
  <c r="M842" i="1"/>
  <c r="J842" i="1"/>
  <c r="K842" i="1" s="1"/>
  <c r="M830" i="1"/>
  <c r="J830" i="1"/>
  <c r="K830" i="1" s="1"/>
  <c r="M818" i="1"/>
  <c r="J818" i="1"/>
  <c r="K818" i="1" s="1"/>
  <c r="M806" i="1"/>
  <c r="J806" i="1"/>
  <c r="K806" i="1" s="1"/>
  <c r="M794" i="1"/>
  <c r="J794" i="1"/>
  <c r="K794" i="1" s="1"/>
  <c r="M782" i="1"/>
  <c r="J782" i="1"/>
  <c r="K782" i="1" s="1"/>
  <c r="M770" i="1"/>
  <c r="J770" i="1"/>
  <c r="K770" i="1" s="1"/>
  <c r="M758" i="1"/>
  <c r="J758" i="1"/>
  <c r="K758" i="1" s="1"/>
  <c r="M746" i="1"/>
  <c r="J746" i="1"/>
  <c r="K746" i="1" s="1"/>
  <c r="M734" i="1"/>
  <c r="J734" i="1"/>
  <c r="K734" i="1" s="1"/>
  <c r="M722" i="1"/>
  <c r="J722" i="1"/>
  <c r="K722" i="1" s="1"/>
  <c r="M710" i="1"/>
  <c r="J710" i="1"/>
  <c r="K710" i="1" s="1"/>
  <c r="M698" i="1"/>
  <c r="J698" i="1"/>
  <c r="K698" i="1" s="1"/>
  <c r="M686" i="1"/>
  <c r="J686" i="1"/>
  <c r="K686" i="1" s="1"/>
  <c r="M674" i="1"/>
  <c r="J674" i="1"/>
  <c r="K674" i="1" s="1"/>
  <c r="M662" i="1"/>
  <c r="J662" i="1"/>
  <c r="K662" i="1" s="1"/>
  <c r="M650" i="1"/>
  <c r="J650" i="1"/>
  <c r="K650" i="1" s="1"/>
  <c r="M638" i="1"/>
  <c r="J638" i="1"/>
  <c r="K638" i="1" s="1"/>
  <c r="M626" i="1"/>
  <c r="J626" i="1"/>
  <c r="K626" i="1" s="1"/>
  <c r="M614" i="1"/>
  <c r="J614" i="1"/>
  <c r="K614" i="1" s="1"/>
  <c r="M602" i="1"/>
  <c r="J602" i="1"/>
  <c r="K602" i="1" s="1"/>
  <c r="M590" i="1"/>
  <c r="J590" i="1"/>
  <c r="K590" i="1" s="1"/>
  <c r="M578" i="1"/>
  <c r="J578" i="1"/>
  <c r="K578" i="1" s="1"/>
  <c r="M566" i="1"/>
  <c r="J566" i="1"/>
  <c r="K566" i="1" s="1"/>
  <c r="M554" i="1"/>
  <c r="J554" i="1"/>
  <c r="K554" i="1" s="1"/>
  <c r="M542" i="1"/>
  <c r="J542" i="1"/>
  <c r="K542" i="1" s="1"/>
  <c r="M530" i="1"/>
  <c r="J530" i="1"/>
  <c r="K530" i="1" s="1"/>
  <c r="M518" i="1"/>
  <c r="J518" i="1"/>
  <c r="K518" i="1" s="1"/>
  <c r="M506" i="1"/>
  <c r="J506" i="1"/>
  <c r="K506" i="1" s="1"/>
  <c r="M494" i="1"/>
  <c r="J494" i="1"/>
  <c r="K494" i="1" s="1"/>
  <c r="M482" i="1"/>
  <c r="J482" i="1"/>
  <c r="K482" i="1" s="1"/>
  <c r="M470" i="1"/>
  <c r="J470" i="1"/>
  <c r="K470" i="1" s="1"/>
  <c r="M458" i="1"/>
  <c r="J458" i="1"/>
  <c r="K458" i="1" s="1"/>
  <c r="M446" i="1"/>
  <c r="J446" i="1"/>
  <c r="K446" i="1" s="1"/>
  <c r="M434" i="1"/>
  <c r="J434" i="1"/>
  <c r="K434" i="1" s="1"/>
  <c r="M422" i="1"/>
  <c r="J422" i="1"/>
  <c r="K422" i="1" s="1"/>
  <c r="M410" i="1"/>
  <c r="J410" i="1"/>
  <c r="K410" i="1" s="1"/>
  <c r="M398" i="1"/>
  <c r="M386" i="1"/>
  <c r="J386" i="1"/>
  <c r="K386" i="1" s="1"/>
  <c r="M374" i="1"/>
  <c r="J374" i="1"/>
  <c r="K374" i="1" s="1"/>
  <c r="M362" i="1"/>
  <c r="J362" i="1"/>
  <c r="K362" i="1" s="1"/>
  <c r="M350" i="1"/>
  <c r="J350" i="1"/>
  <c r="K350" i="1" s="1"/>
  <c r="M338" i="1"/>
  <c r="J338" i="1"/>
  <c r="K338" i="1" s="1"/>
  <c r="M326" i="1"/>
  <c r="J326" i="1"/>
  <c r="K326" i="1" s="1"/>
  <c r="M314" i="1"/>
  <c r="J314" i="1"/>
  <c r="K314" i="1" s="1"/>
  <c r="M302" i="1"/>
  <c r="J302" i="1"/>
  <c r="K302" i="1" s="1"/>
  <c r="M290" i="1"/>
  <c r="J290" i="1"/>
  <c r="K290" i="1" s="1"/>
  <c r="M278" i="1"/>
  <c r="J278" i="1"/>
  <c r="K278" i="1" s="1"/>
  <c r="M266" i="1"/>
  <c r="J266" i="1"/>
  <c r="K266" i="1" s="1"/>
  <c r="M254" i="1"/>
  <c r="J254" i="1"/>
  <c r="K254" i="1" s="1"/>
  <c r="M242" i="1"/>
  <c r="J242" i="1"/>
  <c r="K242" i="1" s="1"/>
  <c r="M230" i="1"/>
  <c r="J230" i="1"/>
  <c r="K230" i="1" s="1"/>
  <c r="M218" i="1"/>
  <c r="J218" i="1"/>
  <c r="K218" i="1" s="1"/>
  <c r="M206" i="1"/>
  <c r="J206" i="1"/>
  <c r="K206" i="1" s="1"/>
  <c r="M194" i="1"/>
  <c r="J194" i="1"/>
  <c r="K194" i="1" s="1"/>
  <c r="M182" i="1"/>
  <c r="J182" i="1"/>
  <c r="K182" i="1" s="1"/>
  <c r="M170" i="1"/>
  <c r="J170" i="1"/>
  <c r="K170" i="1" s="1"/>
  <c r="M158" i="1"/>
  <c r="J158" i="1"/>
  <c r="K158" i="1" s="1"/>
  <c r="M146" i="1"/>
  <c r="J146" i="1"/>
  <c r="K146" i="1" s="1"/>
  <c r="M134" i="1"/>
  <c r="J134" i="1"/>
  <c r="K134" i="1" s="1"/>
  <c r="M122" i="1"/>
  <c r="J122" i="1"/>
  <c r="K122" i="1" s="1"/>
  <c r="M110" i="1"/>
  <c r="J110" i="1"/>
  <c r="K110" i="1" s="1"/>
  <c r="M98" i="1"/>
  <c r="J98" i="1"/>
  <c r="K98" i="1" s="1"/>
  <c r="M86" i="1"/>
  <c r="J86" i="1"/>
  <c r="K86" i="1" s="1"/>
  <c r="M74" i="1"/>
  <c r="J74" i="1"/>
  <c r="K74" i="1" s="1"/>
  <c r="M62" i="1"/>
  <c r="J62" i="1"/>
  <c r="K62" i="1" s="1"/>
  <c r="M50" i="1"/>
  <c r="J50" i="1"/>
  <c r="K50" i="1" s="1"/>
  <c r="M38" i="1"/>
  <c r="J38" i="1"/>
  <c r="K38" i="1" s="1"/>
  <c r="M26" i="1"/>
  <c r="J26" i="1"/>
  <c r="K26" i="1" s="1"/>
  <c r="M14" i="1"/>
  <c r="J14" i="1"/>
  <c r="K14" i="1" s="1"/>
  <c r="M2" i="1"/>
  <c r="J2" i="1"/>
  <c r="K2" i="1" s="1"/>
  <c r="J906" i="1"/>
  <c r="K906" i="1" s="1"/>
  <c r="J762" i="1"/>
  <c r="K762" i="1" s="1"/>
  <c r="J618" i="1"/>
  <c r="K618" i="1" s="1"/>
  <c r="J474" i="1"/>
  <c r="K474" i="1" s="1"/>
  <c r="J29" i="1"/>
  <c r="K29" i="1" s="1"/>
  <c r="M786" i="1"/>
  <c r="M985" i="1"/>
  <c r="J985" i="1"/>
  <c r="K985" i="1" s="1"/>
  <c r="M961" i="1"/>
  <c r="J961" i="1"/>
  <c r="K961" i="1" s="1"/>
  <c r="M949" i="1"/>
  <c r="J949" i="1"/>
  <c r="K949" i="1" s="1"/>
  <c r="M925" i="1"/>
  <c r="J925" i="1"/>
  <c r="K925" i="1" s="1"/>
  <c r="M913" i="1"/>
  <c r="J913" i="1"/>
  <c r="K913" i="1" s="1"/>
  <c r="M889" i="1"/>
  <c r="J889" i="1"/>
  <c r="K889" i="1" s="1"/>
  <c r="M853" i="1"/>
  <c r="J853" i="1"/>
  <c r="K853" i="1" s="1"/>
  <c r="M829" i="1"/>
  <c r="J829" i="1"/>
  <c r="K829" i="1" s="1"/>
  <c r="M817" i="1"/>
  <c r="J817" i="1"/>
  <c r="K817" i="1" s="1"/>
  <c r="M805" i="1"/>
  <c r="J805" i="1"/>
  <c r="K805" i="1" s="1"/>
  <c r="M793" i="1"/>
  <c r="J793" i="1"/>
  <c r="K793" i="1" s="1"/>
  <c r="M781" i="1"/>
  <c r="J781" i="1"/>
  <c r="K781" i="1" s="1"/>
  <c r="M769" i="1"/>
  <c r="J769" i="1"/>
  <c r="K769" i="1" s="1"/>
  <c r="M757" i="1"/>
  <c r="J757" i="1"/>
  <c r="K757" i="1" s="1"/>
  <c r="M745" i="1"/>
  <c r="J745" i="1"/>
  <c r="K745" i="1" s="1"/>
  <c r="M733" i="1"/>
  <c r="J733" i="1"/>
  <c r="K733" i="1" s="1"/>
  <c r="M721" i="1"/>
  <c r="J721" i="1"/>
  <c r="K721" i="1" s="1"/>
  <c r="M709" i="1"/>
  <c r="J709" i="1"/>
  <c r="K709" i="1" s="1"/>
  <c r="M697" i="1"/>
  <c r="J697" i="1"/>
  <c r="K697" i="1" s="1"/>
  <c r="M685" i="1"/>
  <c r="J685" i="1"/>
  <c r="K685" i="1" s="1"/>
  <c r="M673" i="1"/>
  <c r="J673" i="1"/>
  <c r="K673" i="1" s="1"/>
  <c r="M661" i="1"/>
  <c r="J661" i="1"/>
  <c r="K661" i="1" s="1"/>
  <c r="M649" i="1"/>
  <c r="J649" i="1"/>
  <c r="K649" i="1" s="1"/>
  <c r="M637" i="1"/>
  <c r="J637" i="1"/>
  <c r="K637" i="1" s="1"/>
  <c r="M625" i="1"/>
  <c r="J625" i="1"/>
  <c r="K625" i="1" s="1"/>
  <c r="M613" i="1"/>
  <c r="J613" i="1"/>
  <c r="K613" i="1" s="1"/>
  <c r="M601" i="1"/>
  <c r="J601" i="1"/>
  <c r="K601" i="1" s="1"/>
  <c r="M589" i="1"/>
  <c r="J589" i="1"/>
  <c r="K589" i="1" s="1"/>
  <c r="M577" i="1"/>
  <c r="J577" i="1"/>
  <c r="K577" i="1" s="1"/>
  <c r="M565" i="1"/>
  <c r="J565" i="1"/>
  <c r="K565" i="1" s="1"/>
  <c r="M553" i="1"/>
  <c r="J553" i="1"/>
  <c r="K553" i="1" s="1"/>
  <c r="M541" i="1"/>
  <c r="J541" i="1"/>
  <c r="K541" i="1" s="1"/>
  <c r="M529" i="1"/>
  <c r="J529" i="1"/>
  <c r="K529" i="1" s="1"/>
  <c r="M517" i="1"/>
  <c r="J517" i="1"/>
  <c r="K517" i="1" s="1"/>
  <c r="M505" i="1"/>
  <c r="J505" i="1"/>
  <c r="K505" i="1" s="1"/>
  <c r="M493" i="1"/>
  <c r="J493" i="1"/>
  <c r="K493" i="1" s="1"/>
  <c r="M481" i="1"/>
  <c r="J481" i="1"/>
  <c r="K481" i="1" s="1"/>
  <c r="M469" i="1"/>
  <c r="J469" i="1"/>
  <c r="K469" i="1" s="1"/>
  <c r="M457" i="1"/>
  <c r="J457" i="1"/>
  <c r="K457" i="1" s="1"/>
  <c r="M445" i="1"/>
  <c r="J445" i="1"/>
  <c r="K445" i="1" s="1"/>
  <c r="M433" i="1"/>
  <c r="J433" i="1"/>
  <c r="K433" i="1" s="1"/>
  <c r="M421" i="1"/>
  <c r="J421" i="1"/>
  <c r="K421" i="1" s="1"/>
  <c r="M409" i="1"/>
  <c r="J409" i="1"/>
  <c r="K409" i="1" s="1"/>
  <c r="M397" i="1"/>
  <c r="J397" i="1"/>
  <c r="K397" i="1" s="1"/>
  <c r="M385" i="1"/>
  <c r="M373" i="1"/>
  <c r="J373" i="1"/>
  <c r="K373" i="1" s="1"/>
  <c r="M361" i="1"/>
  <c r="J361" i="1"/>
  <c r="K361" i="1" s="1"/>
  <c r="M349" i="1"/>
  <c r="J349" i="1"/>
  <c r="K349" i="1" s="1"/>
  <c r="M337" i="1"/>
  <c r="M325" i="1"/>
  <c r="J325" i="1"/>
  <c r="K325" i="1" s="1"/>
  <c r="M313" i="1"/>
  <c r="J313" i="1"/>
  <c r="K313" i="1" s="1"/>
  <c r="M301" i="1"/>
  <c r="M289" i="1"/>
  <c r="J289" i="1"/>
  <c r="K289" i="1" s="1"/>
  <c r="M277" i="1"/>
  <c r="J277" i="1"/>
  <c r="K277" i="1" s="1"/>
  <c r="M265" i="1"/>
  <c r="M253" i="1"/>
  <c r="J253" i="1"/>
  <c r="K253" i="1" s="1"/>
  <c r="M241" i="1"/>
  <c r="J241" i="1"/>
  <c r="K241" i="1" s="1"/>
  <c r="M229" i="1"/>
  <c r="M217" i="1"/>
  <c r="J217" i="1"/>
  <c r="K217" i="1" s="1"/>
  <c r="M205" i="1"/>
  <c r="J205" i="1"/>
  <c r="K205" i="1" s="1"/>
  <c r="M193" i="1"/>
  <c r="M181" i="1"/>
  <c r="J181" i="1"/>
  <c r="K181" i="1" s="1"/>
  <c r="M169" i="1"/>
  <c r="J169" i="1"/>
  <c r="K169" i="1" s="1"/>
  <c r="M157" i="1"/>
  <c r="J157" i="1"/>
  <c r="K157" i="1" s="1"/>
  <c r="M145" i="1"/>
  <c r="J145" i="1"/>
  <c r="K145" i="1" s="1"/>
  <c r="M133" i="1"/>
  <c r="J133" i="1"/>
  <c r="K133" i="1" s="1"/>
  <c r="M121" i="1"/>
  <c r="J121" i="1"/>
  <c r="K121" i="1" s="1"/>
  <c r="M109" i="1"/>
  <c r="J109" i="1"/>
  <c r="K109" i="1" s="1"/>
  <c r="M97" i="1"/>
  <c r="J97" i="1"/>
  <c r="K97" i="1" s="1"/>
  <c r="M85" i="1"/>
  <c r="J85" i="1"/>
  <c r="K85" i="1" s="1"/>
  <c r="M73" i="1"/>
  <c r="J73" i="1"/>
  <c r="K73" i="1" s="1"/>
  <c r="M61" i="1"/>
  <c r="J61" i="1"/>
  <c r="K61" i="1" s="1"/>
  <c r="M49" i="1"/>
  <c r="J49" i="1"/>
  <c r="K49" i="1" s="1"/>
  <c r="M37" i="1"/>
  <c r="J37" i="1"/>
  <c r="K37" i="1" s="1"/>
  <c r="M25" i="1"/>
  <c r="J25" i="1"/>
  <c r="K25" i="1" s="1"/>
  <c r="M13" i="1"/>
  <c r="J13" i="1"/>
  <c r="K13" i="1" s="1"/>
  <c r="J894" i="1"/>
  <c r="K894" i="1" s="1"/>
  <c r="J750" i="1"/>
  <c r="K750" i="1" s="1"/>
  <c r="J606" i="1"/>
  <c r="K606" i="1" s="1"/>
  <c r="J462" i="1"/>
  <c r="K462" i="1" s="1"/>
  <c r="J285" i="1"/>
  <c r="K285" i="1" s="1"/>
  <c r="M884" i="1"/>
  <c r="M90" i="1"/>
  <c r="J90" i="1"/>
  <c r="K90" i="1" s="1"/>
  <c r="M78" i="1"/>
  <c r="J78" i="1"/>
  <c r="K78" i="1" s="1"/>
  <c r="M66" i="1"/>
  <c r="J66" i="1"/>
  <c r="K66" i="1" s="1"/>
  <c r="M54" i="1"/>
  <c r="J54" i="1"/>
  <c r="K54" i="1" s="1"/>
  <c r="M42" i="1"/>
  <c r="J42" i="1"/>
  <c r="K42" i="1" s="1"/>
  <c r="M30" i="1"/>
  <c r="J30" i="1"/>
  <c r="K30" i="1" s="1"/>
  <c r="M18" i="1"/>
  <c r="J18" i="1"/>
  <c r="K18" i="1" s="1"/>
  <c r="M6" i="1"/>
  <c r="J6" i="1"/>
  <c r="K6" i="1" s="1"/>
</calcChain>
</file>

<file path=xl/sharedStrings.xml><?xml version="1.0" encoding="utf-8"?>
<sst xmlns="http://schemas.openxmlformats.org/spreadsheetml/2006/main" count="4219" uniqueCount="1327">
  <si>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</si>
  <si>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</si>
  <si>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</si>
  <si>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</si>
  <si>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</si>
  <si>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</si>
  <si>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</si>
  <si>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</si>
  <si>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</si>
  <si>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</si>
  <si>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</si>
  <si>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</si>
  <si>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</si>
  <si>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</si>
  <si>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</si>
  <si>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</si>
  <si>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</si>
  <si>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</si>
  <si>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</si>
  <si>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</si>
  <si>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</si>
  <si>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</si>
  <si>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</si>
  <si>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</si>
  <si>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</si>
  <si>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</si>
  <si>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</si>
  <si>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</si>
  <si>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</si>
  <si>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</si>
  <si>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</si>
  <si>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</si>
  <si>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</si>
  <si>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</si>
  <si>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</si>
  <si>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</si>
  <si>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</si>
  <si>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</si>
  <si>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</si>
  <si>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</si>
  <si>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</si>
  <si>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</si>
  <si>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</si>
  <si>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</si>
  <si>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</si>
  <si>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</si>
  <si>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</si>
  <si>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</si>
  <si>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</si>
  <si>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</si>
  <si>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</si>
  <si>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</si>
  <si>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</si>
  <si>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</si>
  <si>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</si>
  <si>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</si>
  <si>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</si>
  <si>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</si>
  <si>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</si>
  <si>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</si>
  <si>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</si>
  <si>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</si>
  <si>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</si>
  <si>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</si>
  <si>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</si>
  <si>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</si>
  <si>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</si>
  <si>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</si>
  <si>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</si>
  <si>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</si>
  <si>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</si>
  <si>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</si>
  <si>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</si>
  <si>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</si>
  <si>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</si>
  <si>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</si>
  <si>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</si>
  <si>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</si>
  <si>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</si>
  <si>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</si>
  <si>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</si>
  <si>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</si>
  <si>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</si>
  <si>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</si>
  <si>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</si>
  <si>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</si>
  <si>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</si>
  <si>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</si>
  <si>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</si>
  <si>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</si>
  <si>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</si>
  <si>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</si>
  <si>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</si>
  <si>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</si>
  <si>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</si>
  <si>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</si>
  <si>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</si>
  <si>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</si>
  <si>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</si>
  <si>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</si>
  <si>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</si>
  <si>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</si>
  <si>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</si>
  <si>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</si>
  <si>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</si>
  <si>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</si>
  <si>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</si>
  <si>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</si>
  <si>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</si>
  <si>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</si>
  <si>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</si>
  <si>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</si>
  <si>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</si>
  <si>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</si>
  <si>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</si>
  <si>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</si>
  <si>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</si>
  <si>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</si>
  <si>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</si>
  <si>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</si>
  <si>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</si>
  <si>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</si>
  <si>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</si>
  <si>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</si>
  <si>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</si>
  <si>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</si>
  <si>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</si>
  <si>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</si>
  <si>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</si>
  <si>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</si>
  <si>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</si>
  <si>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</si>
  <si>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</si>
  <si>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</si>
  <si>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</si>
  <si>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</si>
  <si>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Казахстан</t>
  </si>
  <si>
    <t>Россия</t>
  </si>
  <si>
    <t>Код</t>
  </si>
  <si>
    <t>Страна</t>
  </si>
  <si>
    <t>нет</t>
  </si>
  <si>
    <t>+7 630-011-3417</t>
  </si>
  <si>
    <t>да</t>
  </si>
  <si>
    <t>+380 293-011-4872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</si>
  <si>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</si>
  <si>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</si>
  <si>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</si>
  <si>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</si>
  <si>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</si>
  <si>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</si>
  <si>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</si>
  <si>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+7 997-792-5112</t>
  </si>
  <si>
    <t>Афанасьев Кузьма Исидорович</t>
  </si>
  <si>
    <t>+992 145-030-4792</t>
  </si>
  <si>
    <t>+375 877-885-2826</t>
  </si>
  <si>
    <t>+998 662-959-7800</t>
  </si>
  <si>
    <t>+992 614-322-7161</t>
  </si>
  <si>
    <t>+998 782-759-1031</t>
  </si>
  <si>
    <t>Константинов Милован Денисович</t>
  </si>
  <si>
    <t>+375 933-846-4405</t>
  </si>
  <si>
    <t>+380 017-252-3368</t>
  </si>
  <si>
    <t>+375 477-336-9780</t>
  </si>
  <si>
    <t>+992 570-665-8734</t>
  </si>
  <si>
    <t>Емельянов Игорь Андреевич</t>
  </si>
  <si>
    <t>+380 950-384-1472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</si>
  <si>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</si>
  <si>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</si>
  <si>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</si>
  <si>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</si>
  <si>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</si>
  <si>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</si>
  <si>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</si>
  <si>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</si>
  <si>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</si>
  <si>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+380 958-231-6305</t>
  </si>
  <si>
    <t>+7 571-938-4741</t>
  </si>
  <si>
    <t>Стрелкова Наина Эдуардовна</t>
  </si>
  <si>
    <t>+7 289-019-1718</t>
  </si>
  <si>
    <t>+7 210-575-0459</t>
  </si>
  <si>
    <t>+998 313-336-2516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</si>
  <si>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</si>
  <si>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</si>
  <si>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</si>
  <si>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</si>
  <si>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</si>
  <si>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</si>
  <si>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</si>
  <si>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+380 004-121-0383</t>
  </si>
  <si>
    <t>+7 975-515-1931</t>
  </si>
  <si>
    <t>+992 869-966-7816</t>
  </si>
  <si>
    <t>+375 986-655-6691</t>
  </si>
  <si>
    <t>Кириллова Пелагея Юльевна</t>
  </si>
  <si>
    <t>+380 265-102-2104</t>
  </si>
  <si>
    <t>+7 542-005-0327</t>
  </si>
  <si>
    <t>+375 722-671-7064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</si>
  <si>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</si>
  <si>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</si>
  <si>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</si>
  <si>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</si>
  <si>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</si>
  <si>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</si>
  <si>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</si>
  <si>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</si>
  <si>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</si>
  <si>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</si>
  <si>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</si>
  <si>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</si>
  <si>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</si>
  <si>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</si>
  <si>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</si>
  <si>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</si>
  <si>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</si>
  <si>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</si>
  <si>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</si>
  <si>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</si>
  <si>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</si>
  <si>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</si>
  <si>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</si>
  <si>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</si>
  <si>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</si>
  <si>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</si>
  <si>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</si>
  <si>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</si>
  <si>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+998 692-163-4083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</si>
  <si>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</si>
  <si>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</si>
  <si>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</si>
  <si>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</si>
  <si>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</si>
  <si>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+375 253-379-5656</t>
  </si>
  <si>
    <t>Кононова Элеонора Юрьевна</t>
  </si>
  <si>
    <t>+992 550-001-8470</t>
  </si>
  <si>
    <t>+375 841-273-5425</t>
  </si>
  <si>
    <t>Нестерова Таисия Яковлевна</t>
  </si>
  <si>
    <t>+7 414-973-8213</t>
  </si>
  <si>
    <t>+992 377-961-6550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</si>
  <si>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</si>
  <si>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</si>
  <si>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</si>
  <si>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</si>
  <si>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</si>
  <si>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</si>
  <si>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</si>
  <si>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+380 350-189-8989</t>
  </si>
  <si>
    <t>Васильева Анжелика Наумовна</t>
  </si>
  <si>
    <t>+992 654-311-2893</t>
  </si>
  <si>
    <t>+7 352-652-3977</t>
  </si>
  <si>
    <t>+998 714-433-6940</t>
  </si>
  <si>
    <t>+7 354-672-8947</t>
  </si>
  <si>
    <t>+380 255-745-0289</t>
  </si>
  <si>
    <t>+998 220-798-0143</t>
  </si>
  <si>
    <t>+7 981-245-0102</t>
  </si>
  <si>
    <t>+7 762-296-2673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</si>
  <si>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</si>
  <si>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</si>
  <si>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</si>
  <si>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</si>
  <si>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</si>
  <si>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</si>
  <si>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</si>
  <si>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</si>
  <si>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</si>
  <si>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</si>
  <si>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</si>
  <si>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</si>
  <si>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</si>
  <si>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</si>
  <si>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+998 436-367-6830</t>
  </si>
  <si>
    <t>+992 443-164-9246</t>
  </si>
  <si>
    <t>Горбунова Алевтина Максимовна</t>
  </si>
  <si>
    <t>+998 455-746-0633</t>
  </si>
  <si>
    <t>+375 165-356-7542</t>
  </si>
  <si>
    <t>Никитина Лора Георгиевна</t>
  </si>
  <si>
    <t>+375 956-020-3484</t>
  </si>
  <si>
    <t>+998 301-225-3693</t>
  </si>
  <si>
    <t>+7 875-362-2366</t>
  </si>
  <si>
    <t>Щукина Элеонора Робертовна</t>
  </si>
  <si>
    <t>+7 885-064-8776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</si>
  <si>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</si>
  <si>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</si>
  <si>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</si>
  <si>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</si>
  <si>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</si>
  <si>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+992 204-182-8433</t>
  </si>
  <si>
    <t>+992 852-094-1088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</si>
  <si>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</si>
  <si>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</si>
  <si>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</si>
  <si>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</si>
  <si>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</si>
  <si>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</si>
  <si>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</si>
  <si>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</si>
  <si>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</si>
  <si>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</si>
  <si>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+998 661-487-5525</t>
  </si>
  <si>
    <t>+7 402-873-2919</t>
  </si>
  <si>
    <t>Маслов Захар Феофанович</t>
  </si>
  <si>
    <t>+7 747-226-1755</t>
  </si>
  <si>
    <t>+7 189-378-6167</t>
  </si>
  <si>
    <t>+380 922-338-1312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</si>
  <si>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</si>
  <si>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</si>
  <si>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</si>
  <si>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</si>
  <si>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</si>
  <si>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</si>
  <si>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</si>
  <si>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+998 090-420-2619</t>
  </si>
  <si>
    <t>+998 936-440-2703</t>
  </si>
  <si>
    <t>+7 916-678-5714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</si>
  <si>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</si>
  <si>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</si>
  <si>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</si>
  <si>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</si>
  <si>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</si>
  <si>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+992 124-441-2478</t>
  </si>
  <si>
    <t>+375 515-558-2884</t>
  </si>
  <si>
    <t>Орехова Кира Натановна</t>
  </si>
  <si>
    <t>+992 902-872-9763</t>
  </si>
  <si>
    <t>+380 001-347-5456</t>
  </si>
  <si>
    <t>+7 191-068-2694</t>
  </si>
  <si>
    <t>+998 955-643-6256</t>
  </si>
  <si>
    <t>+998 225-019-2493</t>
  </si>
  <si>
    <t>+375 844-419-2850</t>
  </si>
  <si>
    <t>+375 280-614-3764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</si>
  <si>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</si>
  <si>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</si>
  <si>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</si>
  <si>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</si>
  <si>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</si>
  <si>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+998 783-609-3463</t>
  </si>
  <si>
    <t>Морозова Феврония Николаевна</t>
  </si>
  <si>
    <t>+7 142-825-3773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</si>
  <si>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</si>
  <si>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</si>
  <si>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</si>
  <si>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</si>
  <si>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</si>
  <si>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+998 965-511-3258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</si>
  <si>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</si>
  <si>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</si>
  <si>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</si>
  <si>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</si>
  <si>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</si>
  <si>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+380 229-176-0124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</si>
  <si>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</si>
  <si>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</si>
  <si>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</si>
  <si>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</si>
  <si>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</si>
  <si>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+380 250-699-1873</t>
  </si>
  <si>
    <t>Сергеев Панкратий Теймуразович</t>
  </si>
  <si>
    <t>+998 833-068-3629</t>
  </si>
  <si>
    <t>+7 524-548-9435</t>
  </si>
  <si>
    <t>Кононова Прасковья Павловна</t>
  </si>
  <si>
    <t>+7 747-866-6152</t>
  </si>
  <si>
    <t>+7 559-899-4463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</si>
  <si>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</si>
  <si>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</si>
  <si>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</si>
  <si>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</si>
  <si>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</si>
  <si>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+7 730-745-5768</t>
  </si>
  <si>
    <t>+992 520-869-0598</t>
  </si>
  <si>
    <t>+992 976-290-1474</t>
  </si>
  <si>
    <t>+992 841-082-9227</t>
  </si>
  <si>
    <t>+992 878-995-1603</t>
  </si>
  <si>
    <t>+992 412-286-2797</t>
  </si>
  <si>
    <t>+375 342-835-7024</t>
  </si>
  <si>
    <t>+992 403-485-6889</t>
  </si>
  <si>
    <t>+992 013-075-6493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</si>
  <si>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</si>
  <si>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</si>
  <si>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</si>
  <si>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</si>
  <si>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</si>
  <si>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+998 737-854-0193</t>
  </si>
  <si>
    <t>+992 647-315-8824</t>
  </si>
  <si>
    <t>+375 678-304-0891</t>
  </si>
  <si>
    <t>+998 523-421-5092</t>
  </si>
  <si>
    <t>Назаров Пантелеймон Трофимович</t>
  </si>
  <si>
    <t>+7 689-265-9126</t>
  </si>
  <si>
    <t>+998 455-040-0995</t>
  </si>
  <si>
    <t>+998 276-111-5039</t>
  </si>
  <si>
    <t>+998 087-023-3754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</si>
  <si>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</si>
  <si>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</si>
  <si>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</si>
  <si>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</si>
  <si>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</si>
  <si>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+375 242-923-3569</t>
  </si>
  <si>
    <t>Кузнецов Севастьян Валерьевич</t>
  </si>
  <si>
    <t>+380 611-258-8704</t>
  </si>
  <si>
    <t>+380 671-809-3559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</si>
  <si>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</si>
  <si>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</si>
  <si>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</si>
  <si>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</si>
  <si>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</si>
  <si>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</si>
  <si>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</si>
  <si>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+992 555-207-4186</t>
  </si>
  <si>
    <t>+380 469-601-0972</t>
  </si>
  <si>
    <t>+7 836-233-8115</t>
  </si>
  <si>
    <t>+7 269-195-3186</t>
  </si>
  <si>
    <t>+7 502-802-5787</t>
  </si>
  <si>
    <t>+7 219-084-6295</t>
  </si>
  <si>
    <t>+992 046-188-5111</t>
  </si>
  <si>
    <t>Федосеева Василиса Аскольдовна</t>
  </si>
  <si>
    <t>+375 081-974-3402</t>
  </si>
  <si>
    <t>+380 960-351-2387</t>
  </si>
  <si>
    <t>+375 881-217-3017</t>
  </si>
  <si>
    <t>Евсеев Ратмир Артемьевич</t>
  </si>
  <si>
    <t>+7 560-711-8976</t>
  </si>
  <si>
    <t>+7 629-137-1639</t>
  </si>
  <si>
    <t>Маслова Иванна Макаровна</t>
  </si>
  <si>
    <t>+380 119-291-6424</t>
  </si>
  <si>
    <t>+7 894-629-6946</t>
  </si>
  <si>
    <t>Гурьева Людмила Владимировна</t>
  </si>
  <si>
    <t>+380 249-840-3292</t>
  </si>
  <si>
    <t>+998 583-835-9258</t>
  </si>
  <si>
    <t>+7 052-743-8708</t>
  </si>
  <si>
    <t>Назарова Ия Ивановна</t>
  </si>
  <si>
    <t>+7 181-999-1398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</si>
  <si>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</si>
  <si>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</si>
  <si>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</si>
  <si>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</si>
  <si>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</si>
  <si>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+7 304-758-2488</t>
  </si>
  <si>
    <t>+380 280-785-9631</t>
  </si>
  <si>
    <t>+992 028-876-8250</t>
  </si>
  <si>
    <t>Владимирова Алина Феликсовна</t>
  </si>
  <si>
    <t>+375 524-220-8374</t>
  </si>
  <si>
    <t>+380 728-449-1745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</si>
  <si>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</si>
  <si>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</si>
  <si>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</si>
  <si>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</si>
  <si>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</si>
  <si>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</si>
  <si>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</si>
  <si>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+7 685-361-2926</t>
  </si>
  <si>
    <t>+7 379-140-2865</t>
  </si>
  <si>
    <t>+7 945-211-9429</t>
  </si>
  <si>
    <t>Тимофеев Аполлинарий Фомич</t>
  </si>
  <si>
    <t>+7 421-153-6302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</si>
  <si>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</si>
  <si>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</si>
  <si>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</si>
  <si>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</si>
  <si>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</si>
  <si>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</si>
  <si>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</si>
  <si>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</si>
  <si>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</si>
  <si>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</si>
  <si>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</si>
  <si>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</si>
  <si>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+380 286-003-5332</t>
  </si>
  <si>
    <t>+7 456-978-0873</t>
  </si>
  <si>
    <t>Журавлева Александра Валентиновна</t>
  </si>
  <si>
    <t>+7 449-357-2065</t>
  </si>
  <si>
    <t>+375 299-252-6550</t>
  </si>
  <si>
    <t>Суханов Станислав Архипович</t>
  </si>
  <si>
    <t>+7 466-253-9021</t>
  </si>
  <si>
    <t>+998 697-530-0958</t>
  </si>
  <si>
    <t>+380 315-815-3268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</si>
  <si>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</si>
  <si>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</si>
  <si>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</si>
  <si>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</si>
  <si>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</si>
  <si>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</si>
  <si>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</si>
  <si>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</si>
  <si>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</si>
  <si>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</si>
  <si>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</si>
  <si>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</si>
  <si>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</si>
  <si>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</si>
  <si>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</si>
  <si>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</si>
  <si>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+7 319-073-7259</t>
  </si>
  <si>
    <t>+7 778-043-0691</t>
  </si>
  <si>
    <t>Лукин Борис Власович</t>
  </si>
  <si>
    <t>+375 690-843-0501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</si>
  <si>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</si>
  <si>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</si>
  <si>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</si>
  <si>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</si>
  <si>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</si>
  <si>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</si>
  <si>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</si>
  <si>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</si>
  <si>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</si>
  <si>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</si>
  <si>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</si>
  <si>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</si>
  <si>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</si>
  <si>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</si>
  <si>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</si>
  <si>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</si>
  <si>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</si>
  <si>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</si>
  <si>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</si>
  <si>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</si>
  <si>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</si>
  <si>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</si>
  <si>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+992 672-498-6349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</si>
  <si>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</si>
  <si>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</si>
  <si>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</si>
  <si>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</si>
  <si>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</si>
  <si>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+998 766-764-4076</t>
  </si>
  <si>
    <t>+7 616-701-4879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</si>
  <si>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</si>
  <si>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</si>
  <si>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</si>
  <si>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</si>
  <si>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</si>
  <si>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+998 643-985-0175</t>
  </si>
  <si>
    <t>+7 984-361-4421</t>
  </si>
  <si>
    <t>+375 389-470-8585</t>
  </si>
  <si>
    <t>Маслова Агафья Юрьевна</t>
  </si>
  <si>
    <t>+375 285-458-8961</t>
  </si>
  <si>
    <t>+998 777-844-5783</t>
  </si>
  <si>
    <t>Максимова Евпраксия Ждановна</t>
  </si>
  <si>
    <t>+7 197-654-6044</t>
  </si>
  <si>
    <t>+375 890-614-0667</t>
  </si>
  <si>
    <t>+992 587-542-2147</t>
  </si>
  <si>
    <t>+7 535-345-7895</t>
  </si>
  <si>
    <t>Сорокина Феврония Геннадьевна</t>
  </si>
  <si>
    <t>+7 264-686-5607</t>
  </si>
  <si>
    <t>+7 670-667-8381</t>
  </si>
  <si>
    <t>Миронов Аверкий Зиновьевич</t>
  </si>
  <si>
    <t>+7 613-538-5501</t>
  </si>
  <si>
    <t>+380 403-818-2198</t>
  </si>
  <si>
    <t>+992 644-743-9326</t>
  </si>
  <si>
    <t>Самойлова Жанна Семеновна</t>
  </si>
  <si>
    <t>+380 264-466-6372</t>
  </si>
  <si>
    <t>+380 086-392-5406</t>
  </si>
  <si>
    <t>+998 608-979-4237</t>
  </si>
  <si>
    <t>Калинин Лев Феодосьевич</t>
  </si>
  <si>
    <t>+375 820-460-9487</t>
  </si>
  <si>
    <t>+7 977-556-0650</t>
  </si>
  <si>
    <t>Зуев Гостомысл Игоревич</t>
  </si>
  <si>
    <t>+992 906-130-4174</t>
  </si>
  <si>
    <t>+375 226-003-8992</t>
  </si>
  <si>
    <t>+380 383-190-2360</t>
  </si>
  <si>
    <t>Федорова Жанна Вадимовна</t>
  </si>
  <si>
    <t>+998 197-437-6957</t>
  </si>
  <si>
    <t>+992 891-393-2973</t>
  </si>
  <si>
    <t>Якушев Мина Гавриилович</t>
  </si>
  <si>
    <t>+998 914-522-1318</t>
  </si>
  <si>
    <t>+7 340-358-5907</t>
  </si>
  <si>
    <t>Русаков Лев Тимурович</t>
  </si>
  <si>
    <t>+7 326-132-7435</t>
  </si>
  <si>
    <t>+380 705-295-2201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</si>
  <si>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</si>
  <si>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</si>
  <si>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</si>
  <si>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</si>
  <si>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</si>
  <si>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</si>
  <si>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</si>
  <si>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+992 750-248-5649</t>
  </si>
  <si>
    <t>Гущин Ипполит Яковлевич</t>
  </si>
  <si>
    <t>+998 265-405-9627</t>
  </si>
  <si>
    <t>+992 292-122-7648</t>
  </si>
  <si>
    <t>Маслов Сократ Анатольевич</t>
  </si>
  <si>
    <t>+7 709-119-0759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</si>
  <si>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</si>
  <si>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</si>
  <si>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</si>
  <si>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</si>
  <si>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</si>
  <si>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</si>
  <si>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</si>
  <si>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</si>
  <si>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</si>
  <si>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</si>
  <si>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</si>
  <si>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</si>
  <si>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</si>
  <si>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</si>
  <si>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</si>
  <si>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</si>
  <si>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</si>
  <si>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</si>
  <si>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</si>
  <si>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</si>
  <si>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+992 862-124-2046</t>
  </si>
  <si>
    <t>Зайцев Ефрем Даниилович</t>
  </si>
  <si>
    <t>+380 833-248-7380</t>
  </si>
  <si>
    <t>+7 038-725-7867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</si>
  <si>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</si>
  <si>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</si>
  <si>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</si>
  <si>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</si>
  <si>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</si>
  <si>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+7 739-924-9444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</si>
  <si>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</si>
  <si>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</si>
  <si>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</si>
  <si>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</si>
  <si>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</si>
  <si>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+992 928-516-3980</t>
  </si>
  <si>
    <t>+998 583-780-6740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</si>
  <si>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</si>
  <si>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</si>
  <si>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</si>
  <si>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</si>
  <si>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</si>
  <si>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</si>
  <si>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</si>
  <si>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</si>
  <si>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</si>
  <si>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+7 858-333-4042</t>
  </si>
  <si>
    <t>Ермаков Вадим Юлианович</t>
  </si>
  <si>
    <t>+380 667-385-3298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</si>
  <si>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</si>
  <si>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</si>
  <si>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</si>
  <si>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</si>
  <si>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</si>
  <si>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</si>
  <si>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</si>
  <si>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</si>
  <si>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</si>
  <si>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</si>
  <si>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</si>
  <si>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</si>
  <si>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</si>
  <si>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</si>
  <si>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</si>
  <si>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</si>
  <si>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</si>
  <si>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</si>
  <si>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</si>
  <si>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</si>
  <si>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</si>
  <si>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</si>
  <si>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+998 880-147-7505</t>
  </si>
  <si>
    <t>+998 827-959-0308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</si>
  <si>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</si>
  <si>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</si>
  <si>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</si>
  <si>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</si>
  <si>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</si>
  <si>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</si>
  <si>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</si>
  <si>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</si>
  <si>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</si>
  <si>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+380 369-038-6358</t>
  </si>
  <si>
    <t>Ефремов Епифан Ильич</t>
  </si>
  <si>
    <t>+7 833-884-1180</t>
  </si>
  <si>
    <t>+7 356-385-2881</t>
  </si>
  <si>
    <t>Абрамова Елизавета Эдуардовна</t>
  </si>
  <si>
    <t>+375 260-927-0999</t>
  </si>
  <si>
    <t>+375 074-074-0170</t>
  </si>
  <si>
    <t>+7 093-201-9949</t>
  </si>
  <si>
    <t>Жуков Никифор Фомич</t>
  </si>
  <si>
    <t>+998 388-311-1484</t>
  </si>
  <si>
    <t>+998 016-556-9015</t>
  </si>
  <si>
    <t>+992 326-136-2416</t>
  </si>
  <si>
    <t>+7 089-779-0837</t>
  </si>
  <si>
    <t>Силин Антип Ильясович</t>
  </si>
  <si>
    <t>+992 372-939-7775</t>
  </si>
  <si>
    <t>+7 288-468-9287</t>
  </si>
  <si>
    <t>+7 263-859-8875</t>
  </si>
  <si>
    <t>+7 894-900-2879</t>
  </si>
  <si>
    <t>+7 376-172-1887</t>
  </si>
  <si>
    <t>+7 915-487-8205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</si>
  <si>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</si>
  <si>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</si>
  <si>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</si>
  <si>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</si>
  <si>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</si>
  <si>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</si>
  <si>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</si>
  <si>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+7 322-351-7967</t>
  </si>
  <si>
    <t>+992 883-671-0611</t>
  </si>
  <si>
    <t>+375 523-528-4996</t>
  </si>
  <si>
    <t>+380 465-945-6481</t>
  </si>
  <si>
    <t>+7 710-415-0428</t>
  </si>
  <si>
    <t>+998 237-658-9236</t>
  </si>
  <si>
    <t>+7 638-478-8735</t>
  </si>
  <si>
    <t>+7 425-907-2619</t>
  </si>
  <si>
    <t>+380 616-238-3294</t>
  </si>
  <si>
    <t>+992 129-804-1705</t>
  </si>
  <si>
    <t>Панова Евгения Викторовна</t>
  </si>
  <si>
    <t>+998 176-720-2162</t>
  </si>
  <si>
    <t>+7 600-803-0627</t>
  </si>
  <si>
    <t>+375 960-328-1316</t>
  </si>
  <si>
    <t>+380 424-152-2316</t>
  </si>
  <si>
    <t>Горшкова Василиса Святославовна</t>
  </si>
  <si>
    <t>+7 963-508-8333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</si>
  <si>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</si>
  <si>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</si>
  <si>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</si>
  <si>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</si>
  <si>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</si>
  <si>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</si>
  <si>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</si>
  <si>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</si>
  <si>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</si>
  <si>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</si>
  <si>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</si>
  <si>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</si>
  <si>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+992 248-066-2060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</si>
  <si>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</si>
  <si>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</si>
  <si>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</si>
  <si>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</si>
  <si>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</si>
  <si>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</si>
  <si>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</si>
  <si>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</si>
  <si>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</si>
  <si>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+7 632-222-4524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</si>
  <si>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</si>
  <si>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</si>
  <si>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</si>
  <si>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</si>
  <si>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</si>
  <si>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+998 488-220-8790</t>
  </si>
  <si>
    <t>Капустина Тамара Валериевна</t>
  </si>
  <si>
    <t>+7 747-678-7543</t>
  </si>
  <si>
    <t>+992 349-223-5769</t>
  </si>
  <si>
    <t>Алексеев Касьян Ефимович</t>
  </si>
  <si>
    <t>+998 752-893-8536</t>
  </si>
  <si>
    <t>+7 630-977-5834</t>
  </si>
  <si>
    <t>+998 084-412-0746</t>
  </si>
  <si>
    <t>+7 899-265-0963</t>
  </si>
  <si>
    <t>+7 321-005-5110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</si>
  <si>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</si>
  <si>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</si>
  <si>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</si>
  <si>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</si>
  <si>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</si>
  <si>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+998 222-956-9780</t>
  </si>
  <si>
    <t>Бирюков Олимпий Иосифович</t>
  </si>
  <si>
    <t>+375 226-887-4565</t>
  </si>
  <si>
    <t>+7 109-995-2846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</si>
  <si>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</si>
  <si>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</si>
  <si>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</si>
  <si>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</si>
  <si>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</si>
  <si>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</si>
  <si>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</si>
  <si>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+380 835-708-4433</t>
  </si>
  <si>
    <t>Кудрявцев Демид Ерофеевич</t>
  </si>
  <si>
    <t>+7 454-941-1729</t>
  </si>
  <si>
    <t>+7 297-169-3756</t>
  </si>
  <si>
    <t>+998 498-706-1394</t>
  </si>
  <si>
    <t>+375 435-951-1995</t>
  </si>
  <si>
    <t>+998 350-816-0031</t>
  </si>
  <si>
    <t>Гурьев Влас Юлианович</t>
  </si>
  <si>
    <t>+992 863-895-4307</t>
  </si>
  <si>
    <t>+998 006-788-9211</t>
  </si>
  <si>
    <t>+7 063-931-5918</t>
  </si>
  <si>
    <t>+380 545-746-8707</t>
  </si>
  <si>
    <t>Осипов Светозар Ефремович</t>
  </si>
  <si>
    <t>+998 353-736-8172</t>
  </si>
  <si>
    <t>+998 591-865-8342</t>
  </si>
  <si>
    <t>Калинина Ирина Филипповна</t>
  </si>
  <si>
    <t>+380 622-144-1703</t>
  </si>
  <si>
    <t>+380 669-437-2066</t>
  </si>
  <si>
    <t>Носкова Вера Федоровна</t>
  </si>
  <si>
    <t>+7 753-596-5037</t>
  </si>
  <si>
    <t>+375 682-373-1802</t>
  </si>
  <si>
    <t>+375 796-304-7865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</si>
  <si>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</si>
  <si>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</si>
  <si>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</si>
  <si>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</si>
  <si>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</si>
  <si>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</si>
  <si>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</si>
  <si>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</si>
  <si>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</si>
  <si>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</si>
  <si>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</si>
  <si>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</si>
  <si>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</si>
  <si>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Среднее кол-во по категориям (что покупают чаще)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</si>
  <si>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</si>
  <si>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</si>
  <si>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</si>
  <si>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</si>
  <si>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</si>
  <si>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</si>
  <si>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</si>
  <si>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</si>
  <si>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</si>
  <si>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</si>
  <si>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</si>
  <si>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</si>
  <si>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</si>
  <si>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</si>
  <si>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>Кол-во дней с момента регистрациидо покупки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</si>
  <si>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</si>
  <si>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</si>
  <si>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</si>
  <si>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</si>
  <si>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</si>
  <si>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</si>
  <si>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Исследование выполнил: Золотухина Алёна</t>
  </si>
  <si>
    <t>Названия строк</t>
  </si>
  <si>
    <t>Общий итог</t>
  </si>
  <si>
    <t>2023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</si>
  <si>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</si>
  <si>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</si>
  <si>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</si>
  <si>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</si>
  <si>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</si>
  <si>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</si>
  <si>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</si>
  <si>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</si>
  <si>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</si>
  <si>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</si>
  <si>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</si>
  <si>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>2024</t>
  </si>
  <si>
    <t>Сумма по полю сумма чека</t>
  </si>
  <si>
    <t>Категория товара</t>
  </si>
  <si>
    <t>Поставщик товара</t>
  </si>
  <si>
    <t>Средняя цена в категории за шт</t>
  </si>
  <si>
    <t>Выгода для клиентов</t>
  </si>
  <si>
    <t>Среднее по полю Выгода для клиентов</t>
  </si>
  <si>
    <t>Продуктовая сеть</t>
  </si>
  <si>
    <t>GMV</t>
  </si>
  <si>
    <t>Средняя стоимость в категории по поставщику</t>
  </si>
  <si>
    <t>Коды телефона</t>
  </si>
  <si>
    <t>Страна клиента</t>
  </si>
  <si>
    <t>Количество по полю id клиента</t>
  </si>
  <si>
    <t>Дата регистрации клиентов</t>
  </si>
  <si>
    <t>Кол-во дней с момента регистрации</t>
  </si>
  <si>
    <t>Текущая дата</t>
  </si>
  <si>
    <t>Продажи в 2023 году колебались от 37 000 до 58 000 в месяц. Пики приходятся на апрель (≈55 952) и август (≈58 813). К концу 2023 года продажи снова начали расти. Начало 2024 года показывает умеренное снижение. Январь и февраль 2024 года — немного ниже среднего уровня 2023-го. В целом динамика носит волнообразный характер: периоды роста чередуются со снижениями. Это указывает на сезонность продаж.</t>
  </si>
  <si>
    <t>У Пятёрочки — наилучший показатель (-10,2%), что говорит о наибольшей выгоде для клиентов по сравнению с другими сетями. А в Ленте в среднем стоимость товаров выше на 10%, что говорит о наименьшей выгоде для клиентов.</t>
  </si>
  <si>
    <t>Такие сети как: О’кей, Гиперглобус и Мосмарт занимают верхние позиции по суммарному объёму продаж, что говорит о высокой доле рынка и активной клиентской базе. У сетей Билла, Ашан и пятёрочка продажи значительно ниже, что может быть следствием, например,  агрессивной конкуренции или узкого ассортимента. Если рассмотреть Седьмой Континет, то он находится примерно по середине всех торговых сетей по суммарным продажам, а его клиенты переплачивают приблизительнго 8%. Также продажи сети в течение года демонстрируют волнообразную динамику — периоды роста и спада чередуются, что типично для сезонного потребления.</t>
  </si>
  <si>
    <t>Среднее по полю Средняя стоимость в категории по поставщику</t>
  </si>
  <si>
    <t>На рынке поставщиков видна умеренная дифференциация цен — без резких скачков, но с устойчивыми лидерами премиум-сегмента.
Поставщики вроде Green Garden формируют верхнюю границу стоимости, тогда как большинство участников сосредоточены в диапазоне 300–330 ₽, что говорит о высокой конкуренции в среднем ценовом диапазоне. Диапазон цен между поставщиками — около 50–60 ₽.</t>
  </si>
  <si>
    <t>Лидеры по объёму продаж: Паста Зара, Фруктовый Сад и Сырная долина. На графике видно плавное снижение объема продаж по всем поставщикам. Самый низкий объем продаж и средняя стоимость товара у Микояна.</t>
  </si>
  <si>
    <t>Макароны — уверенно занимают первое место с показателем ≈66 945 ₽. Также в первую пятёрку входят Сок (≈45 862 ₽) и Чипсы (≈44 539 ₽). Эти категории формируют основу товарооборота, отражая высокий спрос на продукты ежедневного потребления и сладости. Продажи по категориям демонстрируют чёткую концентрацию оборота — основную долю формируют базовые и массовые категории: макароны, конфеты, мясо.</t>
  </si>
  <si>
    <t>Среднее по полю кол-во штук в чеке</t>
  </si>
  <si>
    <t>Самые часто покупаемые категории: молоко, рис, овощи. Эти товары относятся к ежедневным продуктам первой необходимости, что объясняет их высокую частоту в чеках. Сахар, Рыба, Мясо, Хлеб, Соль, Печенье, Чипсы — также стабильно входят в топ-10 с показателем около 3 штук за покупку. Соответственно чаще всего покупатели приобретают базовые продукты питания — молочные, злаковые и овощные категории.</t>
  </si>
  <si>
    <t>Лидирующая страна по числу клиентов — Россия. Это основной рынок компании, с наиболее широкой клиентской базой и, вероятно, самой активной сетью продаж. Топ-3 страны (Россия, Узбекистан, Украина) обеспечивают более 70% всех клиентов. География продаж охватывает несколько стран, что демонстрирует международное присутствие компании. Всего зарегистрировано 434 клиента.</t>
  </si>
  <si>
    <t>Кол-во клиентов в программе лояльности</t>
  </si>
  <si>
    <r>
      <t xml:space="preserve">Всего зарегистрировано </t>
    </r>
    <r>
      <rPr>
        <b/>
        <sz val="11"/>
        <color theme="1"/>
        <rFont val="Calibri"/>
        <family val="2"/>
        <scheme val="minor"/>
      </rPr>
      <t>434 клиента</t>
    </r>
    <r>
      <rPr>
        <sz val="11"/>
        <color theme="1"/>
        <rFont val="Calibri"/>
        <family val="2"/>
        <scheme val="minor"/>
      </rPr>
      <t>, что подтверждает широкую клиентскую базу с равномерным распределением по вовлечённости. Участвуют в программе лояльности — 215 клиентов. Не участвуют — 219 клиентов. Таким образом, клиентская база делится практически поровну между активными участниками программы и теми, кто в неё не включён.</t>
    </r>
  </si>
  <si>
    <t>Больше всего клиентов с 300 дней до 600.</t>
  </si>
  <si>
    <t>нахождение клиента</t>
  </si>
  <si>
    <t>Сумма по полю нахождение клиента</t>
  </si>
  <si>
    <t>Имя</t>
  </si>
  <si>
    <t>Фамилия</t>
  </si>
  <si>
    <t>Отчество</t>
  </si>
  <si>
    <t>Савельев Федосий Феоктистович</t>
  </si>
  <si>
    <t>Степанова Синклитикия Александровна</t>
  </si>
  <si>
    <t>Фадей</t>
  </si>
  <si>
    <t>Вера</t>
  </si>
  <si>
    <t>Никодим</t>
  </si>
  <si>
    <t>Александра</t>
  </si>
  <si>
    <t>Ирина</t>
  </si>
  <si>
    <t>Зоя</t>
  </si>
  <si>
    <t>Светозар</t>
  </si>
  <si>
    <t>Любовь</t>
  </si>
  <si>
    <t>Август</t>
  </si>
  <si>
    <t>Мефодий</t>
  </si>
  <si>
    <t>Влас</t>
  </si>
  <si>
    <t>Агата</t>
  </si>
  <si>
    <t>Юлия</t>
  </si>
  <si>
    <t>Лонгин</t>
  </si>
  <si>
    <t>Филимон</t>
  </si>
  <si>
    <t>Демид</t>
  </si>
  <si>
    <t>Вероника</t>
  </si>
  <si>
    <t>Еремей</t>
  </si>
  <si>
    <t>Лидия</t>
  </si>
  <si>
    <t>Феврония</t>
  </si>
  <si>
    <t>Нинель</t>
  </si>
  <si>
    <t>Автоном</t>
  </si>
  <si>
    <t>Олимпий</t>
  </si>
  <si>
    <t>Чеслав</t>
  </si>
  <si>
    <t>Карл</t>
  </si>
  <si>
    <t>Ульяна</t>
  </si>
  <si>
    <t>Майя</t>
  </si>
  <si>
    <t>Лукия</t>
  </si>
  <si>
    <t>Полина</t>
  </si>
  <si>
    <t>Элеонора</t>
  </si>
  <si>
    <t>Касьян</t>
  </si>
  <si>
    <t>Феофан</t>
  </si>
  <si>
    <t>Тамара</t>
  </si>
  <si>
    <t>Ратибор</t>
  </si>
  <si>
    <t>Боян</t>
  </si>
  <si>
    <t>Христофор</t>
  </si>
  <si>
    <t>Сила</t>
  </si>
  <si>
    <t>Лора</t>
  </si>
  <si>
    <t>Радислав</t>
  </si>
  <si>
    <t>Харлампий</t>
  </si>
  <si>
    <t>Анжела</t>
  </si>
  <si>
    <t>Дементий</t>
  </si>
  <si>
    <t>Ия</t>
  </si>
  <si>
    <t>Татьяна</t>
  </si>
  <si>
    <t>Геннадий</t>
  </si>
  <si>
    <t>Карп</t>
  </si>
  <si>
    <t>Валентина</t>
  </si>
  <si>
    <t>Евдокия</t>
  </si>
  <si>
    <t>Василиса</t>
  </si>
  <si>
    <t>Эмилия</t>
  </si>
  <si>
    <t>Алина</t>
  </si>
  <si>
    <t>Евгения</t>
  </si>
  <si>
    <t>Ипатий</t>
  </si>
  <si>
    <t>Регина</t>
  </si>
  <si>
    <t>Бажен</t>
  </si>
  <si>
    <t>Иванна</t>
  </si>
  <si>
    <t>Капитон</t>
  </si>
  <si>
    <t>Галина</t>
  </si>
  <si>
    <t>Панфил</t>
  </si>
  <si>
    <t>Сократ</t>
  </si>
  <si>
    <t>Измаил</t>
  </si>
  <si>
    <t>Милица</t>
  </si>
  <si>
    <t>Аггей</t>
  </si>
  <si>
    <t>Владилен</t>
  </si>
  <si>
    <t>Ладимир</t>
  </si>
  <si>
    <t>Эммануил</t>
  </si>
  <si>
    <t>Сидор</t>
  </si>
  <si>
    <t>Антип</t>
  </si>
  <si>
    <t>Виктор</t>
  </si>
  <si>
    <t>Никифор</t>
  </si>
  <si>
    <t>Елизавета</t>
  </si>
  <si>
    <t>Епифан</t>
  </si>
  <si>
    <t>Леонид</t>
  </si>
  <si>
    <t>Ангелина</t>
  </si>
  <si>
    <t>Зинаида</t>
  </si>
  <si>
    <t>Тимур</t>
  </si>
  <si>
    <t>Жанна</t>
  </si>
  <si>
    <t>Акулина</t>
  </si>
  <si>
    <t>Януарий</t>
  </si>
  <si>
    <t>Родион</t>
  </si>
  <si>
    <t>Назар</t>
  </si>
  <si>
    <t>Софон</t>
  </si>
  <si>
    <t>Наина</t>
  </si>
  <si>
    <t>Натан</t>
  </si>
  <si>
    <t>Фрол</t>
  </si>
  <si>
    <t>Вадим</t>
  </si>
  <si>
    <t>Лука</t>
  </si>
  <si>
    <t>Евсей</t>
  </si>
  <si>
    <t>Марфа</t>
  </si>
  <si>
    <t>Прокл</t>
  </si>
  <si>
    <t>Раиса</t>
  </si>
  <si>
    <t>Фёкла</t>
  </si>
  <si>
    <t>Арефий</t>
  </si>
  <si>
    <t>Любомир</t>
  </si>
  <si>
    <t>Маргарита</t>
  </si>
  <si>
    <t>Авдей</t>
  </si>
  <si>
    <t>Валерьян</t>
  </si>
  <si>
    <t>Анастасия</t>
  </si>
  <si>
    <t>Мария</t>
  </si>
  <si>
    <t>Самуил</t>
  </si>
  <si>
    <t>Ефрем</t>
  </si>
  <si>
    <t>Арсений</t>
  </si>
  <si>
    <t>Евпраксия</t>
  </si>
  <si>
    <t>Фома</t>
  </si>
  <si>
    <t>Ольга</t>
  </si>
  <si>
    <t>Аверьян</t>
  </si>
  <si>
    <t>Павел</t>
  </si>
  <si>
    <t>Эрнест</t>
  </si>
  <si>
    <t>Таисия</t>
  </si>
  <si>
    <t>Филипп</t>
  </si>
  <si>
    <t>Милован</t>
  </si>
  <si>
    <t>Лаврентий</t>
  </si>
  <si>
    <t>Федосий</t>
  </si>
  <si>
    <t>Ипполит</t>
  </si>
  <si>
    <t>Спиридон</t>
  </si>
  <si>
    <t>Евфросиния</t>
  </si>
  <si>
    <t>Оксана</t>
  </si>
  <si>
    <t>Нина</t>
  </si>
  <si>
    <t>Анна</t>
  </si>
  <si>
    <t>Лев</t>
  </si>
  <si>
    <t>Глафира</t>
  </si>
  <si>
    <t>Мина</t>
  </si>
  <si>
    <t>Синклитикия</t>
  </si>
  <si>
    <t>Кир</t>
  </si>
  <si>
    <t>Гостомысл</t>
  </si>
  <si>
    <t>Марк</t>
  </si>
  <si>
    <t>Валерия</t>
  </si>
  <si>
    <t>Аверкий</t>
  </si>
  <si>
    <t>Алевтина</t>
  </si>
  <si>
    <t>Агафья</t>
  </si>
  <si>
    <t>Флорентин</t>
  </si>
  <si>
    <t>Анжелика</t>
  </si>
  <si>
    <t>Виктория</t>
  </si>
  <si>
    <t>Алла</t>
  </si>
  <si>
    <t>Юрий</t>
  </si>
  <si>
    <t>Конон</t>
  </si>
  <si>
    <t>Елисей</t>
  </si>
  <si>
    <t>Симон</t>
  </si>
  <si>
    <t>Андрон</t>
  </si>
  <si>
    <t>Модест</t>
  </si>
  <si>
    <t>Екатерина</t>
  </si>
  <si>
    <t>Зосима</t>
  </si>
  <si>
    <t>Климент</t>
  </si>
  <si>
    <t>Адриан</t>
  </si>
  <si>
    <t>Борислав</t>
  </si>
  <si>
    <t>Светлана</t>
  </si>
  <si>
    <t>Борис</t>
  </si>
  <si>
    <t>Никанор</t>
  </si>
  <si>
    <t>Александр</t>
  </si>
  <si>
    <t>Милан</t>
  </si>
  <si>
    <t>Давыд</t>
  </si>
  <si>
    <t>Глеб</t>
  </si>
  <si>
    <t>Евграф</t>
  </si>
  <si>
    <t>Герман</t>
  </si>
  <si>
    <t>Станислав</t>
  </si>
  <si>
    <t>Никита</t>
  </si>
  <si>
    <t>Николай</t>
  </si>
  <si>
    <t>Елена</t>
  </si>
  <si>
    <t>Богдан</t>
  </si>
  <si>
    <t>Велимир</t>
  </si>
  <si>
    <t>Аполлинарий</t>
  </si>
  <si>
    <t>Потап</t>
  </si>
  <si>
    <t>Агап</t>
  </si>
  <si>
    <t>Людмила</t>
  </si>
  <si>
    <t>Ярослав</t>
  </si>
  <si>
    <t>Матвей</t>
  </si>
  <si>
    <t>Мирон</t>
  </si>
  <si>
    <t>Эраст</t>
  </si>
  <si>
    <t>Клавдия</t>
  </si>
  <si>
    <t>Ратмир</t>
  </si>
  <si>
    <t>Ксения</t>
  </si>
  <si>
    <t>Константин</t>
  </si>
  <si>
    <t>Дмитрий</t>
  </si>
  <si>
    <t>Пелагея</t>
  </si>
  <si>
    <t>Амос</t>
  </si>
  <si>
    <t>Аникей</t>
  </si>
  <si>
    <t>Антонина</t>
  </si>
  <si>
    <t>Ираида</t>
  </si>
  <si>
    <t>Кира</t>
  </si>
  <si>
    <t>Севастьян</t>
  </si>
  <si>
    <t>Орест</t>
  </si>
  <si>
    <t>Лариса</t>
  </si>
  <si>
    <t>Олимпиада</t>
  </si>
  <si>
    <t>Савватий</t>
  </si>
  <si>
    <t>Пантелеймон</t>
  </si>
  <si>
    <t>Любим</t>
  </si>
  <si>
    <t>Прасковья</t>
  </si>
  <si>
    <t>София</t>
  </si>
  <si>
    <t>Серафим</t>
  </si>
  <si>
    <t>Елизар</t>
  </si>
  <si>
    <t>Эдуард</t>
  </si>
  <si>
    <t>Дарья</t>
  </si>
  <si>
    <t>Михей</t>
  </si>
  <si>
    <t>Ираклий</t>
  </si>
  <si>
    <t>Панкратий</t>
  </si>
  <si>
    <t>Силантий</t>
  </si>
  <si>
    <t>Галактион</t>
  </si>
  <si>
    <t>Марина</t>
  </si>
  <si>
    <t>Пахом</t>
  </si>
  <si>
    <t>Лавр</t>
  </si>
  <si>
    <t>Корнил</t>
  </si>
  <si>
    <t>Алексей</t>
  </si>
  <si>
    <t>Рубен</t>
  </si>
  <si>
    <t>Аристарх</t>
  </si>
  <si>
    <t>Мартын</t>
  </si>
  <si>
    <t>Захар</t>
  </si>
  <si>
    <t>Наталья</t>
  </si>
  <si>
    <t>Степан</t>
  </si>
  <si>
    <t>Мартьян</t>
  </si>
  <si>
    <t>Леон</t>
  </si>
  <si>
    <t>Андроник</t>
  </si>
  <si>
    <t>Амвросий</t>
  </si>
  <si>
    <t>Максим</t>
  </si>
  <si>
    <t>Творимир</t>
  </si>
  <si>
    <t>Ростислав</t>
  </si>
  <si>
    <t>Евстафий</t>
  </si>
  <si>
    <t>Фаина</t>
  </si>
  <si>
    <t>Октябрина</t>
  </si>
  <si>
    <t>Трифон</t>
  </si>
  <si>
    <t>Всеслав</t>
  </si>
  <si>
    <t>Гордей</t>
  </si>
  <si>
    <t>Платон</t>
  </si>
  <si>
    <t>Викентий</t>
  </si>
  <si>
    <t>Анисим</t>
  </si>
  <si>
    <t>Ипат</t>
  </si>
  <si>
    <t>Феликс</t>
  </si>
  <si>
    <t>Игорь</t>
  </si>
  <si>
    <t>Любосмысл</t>
  </si>
  <si>
    <t>Якуб</t>
  </si>
  <si>
    <t>Кузьма</t>
  </si>
  <si>
    <t>Калинин Фадей Ефимович</t>
  </si>
  <si>
    <t>Некрасова Вера Георгиевна</t>
  </si>
  <si>
    <t>Бобров Никодим Игоревич</t>
  </si>
  <si>
    <t>Артемьева Александра Матвеевна</t>
  </si>
  <si>
    <t>Брагина Зоя Кирилловна</t>
  </si>
  <si>
    <t>Мамонтова Любовь Георгиевна</t>
  </si>
  <si>
    <t>Брагин Август Вячеславович</t>
  </si>
  <si>
    <t>Воробьев Мефодий Филиппович</t>
  </si>
  <si>
    <t>Галкина Агата Юрьевна</t>
  </si>
  <si>
    <t>Наумова Юлия Леоновна</t>
  </si>
  <si>
    <t>Никонов Лонгин Арсенович</t>
  </si>
  <si>
    <t>Иванов Филимон Федотович</t>
  </si>
  <si>
    <t>Федосеева Вероника Евгеньевна</t>
  </si>
  <si>
    <t>Лазарева Нинель Натановна</t>
  </si>
  <si>
    <t>Рыбаков Автоном Антонович</t>
  </si>
  <si>
    <t>Шестаков Чеслав Виленович</t>
  </si>
  <si>
    <t>Рябова Майя Вадимовна</t>
  </si>
  <si>
    <t>Тимофеева Лукия Ефимовна</t>
  </si>
  <si>
    <t>Евдокимова Полина Николаевна</t>
  </si>
  <si>
    <t>Королева Элеонора Ивановна</t>
  </si>
  <si>
    <t>Журавлева Юлия Вячеславовна</t>
  </si>
  <si>
    <t>Дорофеев Феофан Гурьевич</t>
  </si>
  <si>
    <t>Петров Ратибор Арсеньевич</t>
  </si>
  <si>
    <t>Гурьев Сила Денисович</t>
  </si>
  <si>
    <t>Потапова Лора Болеславовна</t>
  </si>
  <si>
    <t>Мухин Дементий Антипович</t>
  </si>
  <si>
    <t>Лапина Ия Никифоровна</t>
  </si>
  <si>
    <t>Фомичев Карп Афанасьевич</t>
  </si>
  <si>
    <t>Боброва Валентина Захаровна</t>
  </si>
  <si>
    <t>Шарапова Эмилия Руслановна</t>
  </si>
  <si>
    <t>Шестакова Алина Михайловна</t>
  </si>
  <si>
    <t>Колесникова Агата Геннадьевна</t>
  </si>
  <si>
    <t>Зимин Ипатий Устинович</t>
  </si>
  <si>
    <t>Ефимова Регина Сергеевна</t>
  </si>
  <si>
    <t>Чернова Регина Сергеевна</t>
  </si>
  <si>
    <t>Исаков Бажен Дмитриевич</t>
  </si>
  <si>
    <t>Иванова Иванна Наумовна</t>
  </si>
  <si>
    <t>Родионов Капитон Харитонович</t>
  </si>
  <si>
    <t>Кабанов Капитон Феликсович</t>
  </si>
  <si>
    <t>Прохорова Галина Кирилловна</t>
  </si>
  <si>
    <t>Шаров Панфил Федотович</t>
  </si>
  <si>
    <t>Афанасьев Сократ Юльевич</t>
  </si>
  <si>
    <t>Волков Аггей Терентьевич</t>
  </si>
  <si>
    <t>Третьяков Владилен Иосифович</t>
  </si>
  <si>
    <t>Егоров Ладимир Гурьевич</t>
  </si>
  <si>
    <t>Кошелев Эммануил Ааронович</t>
  </si>
  <si>
    <t>Зиновьев Сидор Вячеславович</t>
  </si>
  <si>
    <t>Нестерова Регина Кирилловна</t>
  </si>
  <si>
    <t>Третьякова Зоя Егоровна</t>
  </si>
  <si>
    <t>Никифоров Виктор Жанович</t>
  </si>
  <si>
    <t>Маслов Ратибор Андреевич</t>
  </si>
  <si>
    <t>Новикова Татьяна Михайловна</t>
  </si>
  <si>
    <t>Игнатов Виктор Марсович</t>
  </si>
  <si>
    <t>Мамонтов Чеслав Бориславович</t>
  </si>
  <si>
    <t>Давыдов Леонид Арсенович</t>
  </si>
  <si>
    <t>Беляева Александра Владиславовна</t>
  </si>
  <si>
    <t>Калинина Эмилия Олеговна</t>
  </si>
  <si>
    <t>Копылова Жанна Архиповна</t>
  </si>
  <si>
    <t>Назаров Назар Августович</t>
  </si>
  <si>
    <t>Фадеев Фрол Авдеевич</t>
  </si>
  <si>
    <t>Новикова Анжела Филипповна</t>
  </si>
  <si>
    <t>Александров Прокл Тимурович</t>
  </si>
  <si>
    <t>Чернова Раиса Станиславовна</t>
  </si>
  <si>
    <t>Харитонова Фёкла Феликсовна</t>
  </si>
  <si>
    <t>Зуева Маргарита Ждановна</t>
  </si>
  <si>
    <t>Владимиров Авдей Брониславович</t>
  </si>
  <si>
    <t>Борисова Мария Кузьминична</t>
  </si>
  <si>
    <t>Фокин Самуил Зиновьевич</t>
  </si>
  <si>
    <t>Лобанов Арсений Вилорович</t>
  </si>
  <si>
    <t>Назарова Василиса Леоновна</t>
  </si>
  <si>
    <t>Копылов Лаврентий Артемьевич</t>
  </si>
  <si>
    <t>Абрамов Спиридон Чеславович</t>
  </si>
  <si>
    <t>Никифорова Анна Альбертовна</t>
  </si>
  <si>
    <t>Щукин Христофор Авдеевич</t>
  </si>
  <si>
    <t>Мельникова Глафира Николаевна</t>
  </si>
  <si>
    <t>Чернова Евфросиния Петровна</t>
  </si>
  <si>
    <t>Горбунов Кир Васильевич</t>
  </si>
  <si>
    <t>Данилова Любовь Романовна</t>
  </si>
  <si>
    <t>Корнилов Марк Яковлевич</t>
  </si>
  <si>
    <t>Якушева Таисия Богдановна</t>
  </si>
  <si>
    <t>Медведева Валерия Владимировна</t>
  </si>
  <si>
    <t>Беляков Филимон Ефимьевич</t>
  </si>
  <si>
    <t>Потапова Валерия Семеновна</t>
  </si>
  <si>
    <t>Одинцова Любовь Альбертовна</t>
  </si>
  <si>
    <t>Воронцов Спиридон Владленович</t>
  </si>
  <si>
    <t>Зыкова Алевтина Михайловна</t>
  </si>
  <si>
    <t>Григорьева Анжела Ивановна</t>
  </si>
  <si>
    <t>Родионов Флорентин Демьянович</t>
  </si>
  <si>
    <t>Рожкова Анжелика Валериевна</t>
  </si>
  <si>
    <t>Никитина Виктория Наумовна</t>
  </si>
  <si>
    <t>Исаков Юрий Августович</t>
  </si>
  <si>
    <t>Владимиров Конон Валентинович</t>
  </si>
  <si>
    <t>Лобанов Елисей Игнатович</t>
  </si>
  <si>
    <t>Морозов Андрон Валерьевич</t>
  </si>
  <si>
    <t>Сергеева Иванна Захаровна</t>
  </si>
  <si>
    <t>Филиппов Автоном Терентьевич</t>
  </si>
  <si>
    <t>Белова Ия Робертовна</t>
  </si>
  <si>
    <t>Воронов Никанор Феодосьевич</t>
  </si>
  <si>
    <t>Гущин Александр Архипович</t>
  </si>
  <si>
    <t>Белоусов Давыд Фёдорович</t>
  </si>
  <si>
    <t>Васильева Ирина Анатольевна</t>
  </si>
  <si>
    <t>Калинин Герман Арсеньевич</t>
  </si>
  <si>
    <t>Капустина Юлия Кузьминична</t>
  </si>
  <si>
    <t>Третьяков Никита Венедиктович</t>
  </si>
  <si>
    <t>Ефимова Алевтина Архиповна</t>
  </si>
  <si>
    <t>Ефремова Вероника Руслановна</t>
  </si>
  <si>
    <t>Савин Николай Гавриилович</t>
  </si>
  <si>
    <t>Макаров Велимир Игоревич</t>
  </si>
  <si>
    <t>Лапин Потап Егорович</t>
  </si>
  <si>
    <t>Степанов Никита Виленович</t>
  </si>
  <si>
    <t>Логинов Агап Валерьевич</t>
  </si>
  <si>
    <t>Цветков Валерьян Федосеевич</t>
  </si>
  <si>
    <t>Богданов Матвей Адамович</t>
  </si>
  <si>
    <t>Турова Лора Вадимовна</t>
  </si>
  <si>
    <t>Горбачев Мирон Давидович</t>
  </si>
  <si>
    <t>Белякова Юлия Геннадиевна</t>
  </si>
  <si>
    <t>Воронова Вероника Геннадьевна</t>
  </si>
  <si>
    <t>Пономарев Любомир Архипович</t>
  </si>
  <si>
    <t>Лапина Елизавета Яковлевна</t>
  </si>
  <si>
    <t>Дементьева Фёкла Натановна</t>
  </si>
  <si>
    <t>Ковалева Клавдия Богдановна</t>
  </si>
  <si>
    <t>Хохлова Клавдия Константиновна</t>
  </si>
  <si>
    <t>Фролова Анастасия Альбертовна</t>
  </si>
  <si>
    <t>Рожкова Евгения Георгиевна</t>
  </si>
  <si>
    <t>Авдеева Ксения Кузьминична</t>
  </si>
  <si>
    <t>Кудряшова Елена Эдуардовна</t>
  </si>
  <si>
    <t>Колесников Константин Ефимьевич</t>
  </si>
  <si>
    <t>Фомина Евпраксия Федоровна</t>
  </si>
  <si>
    <t>Денисов Дмитрий Трифонович</t>
  </si>
  <si>
    <t>Цветкова Пелагея Антоновна</t>
  </si>
  <si>
    <t>Белоусова Ираида Феликсовна</t>
  </si>
  <si>
    <t>Рогова Кира Степановна</t>
  </si>
  <si>
    <t>Родионова Ираида Егоровна</t>
  </si>
  <si>
    <t>Гурьева Лариса Степановна</t>
  </si>
  <si>
    <t>Михайлова Олимпиада Львовна</t>
  </si>
  <si>
    <t>Фролов Савватий Богданович</t>
  </si>
  <si>
    <t>Миронова Евфросиния Тимофеевна</t>
  </si>
  <si>
    <t>Брагин Любим Зиновьевич</t>
  </si>
  <si>
    <t>Блинова Вероника Сергеевна</t>
  </si>
  <si>
    <t>Белоусова Прасковья Яковлевна</t>
  </si>
  <si>
    <t>Коновалов Родион Яковлевич</t>
  </si>
  <si>
    <t>Калашников Боян Дорофеевич</t>
  </si>
  <si>
    <t>Овчинникова Синклитикия Никифоровна</t>
  </si>
  <si>
    <t>Щербаков Елизар Архипович</t>
  </si>
  <si>
    <t>Капустина Любовь Павловна</t>
  </si>
  <si>
    <t>Емельянов Арсений Ермолаевич</t>
  </si>
  <si>
    <t>Смирнова Мария Анатольевна</t>
  </si>
  <si>
    <t>Сергеев Эдуард Фадеевич</t>
  </si>
  <si>
    <t>Белова Анастасия Игоревна</t>
  </si>
  <si>
    <t>Мясников Демид Антонович</t>
  </si>
  <si>
    <t>Кулагина Феврония Антоновна</t>
  </si>
  <si>
    <t>Лихачев Михей Феликсович</t>
  </si>
  <si>
    <t>Авдеев Ираклий Изотович</t>
  </si>
  <si>
    <t>Туров Любомир Валерианович</t>
  </si>
  <si>
    <t>Павлова Татьяна Павловна</t>
  </si>
  <si>
    <t>Александрова Эмилия Вадимовна</t>
  </si>
  <si>
    <t>Журавлева Нинель Кузьминична</t>
  </si>
  <si>
    <t>Новиков Галактион Жанович</t>
  </si>
  <si>
    <t>Белякова Алевтина Ефимовна</t>
  </si>
  <si>
    <t>Кузьмин Пахом Даниилович</t>
  </si>
  <si>
    <t>Потапова Дарья Степановна</t>
  </si>
  <si>
    <t>Панова Зоя Вячеславовна</t>
  </si>
  <si>
    <t>Власов Лука Игнатьевич</t>
  </si>
  <si>
    <t>Беляков Лавр Харлампович</t>
  </si>
  <si>
    <t>Дементьева Прасковья Петровна</t>
  </si>
  <si>
    <t>Карпова Евдокия Ефимовна</t>
  </si>
  <si>
    <t>Комиссаров Корнил Адрианович</t>
  </si>
  <si>
    <t>Блинов Алексей Трифонович</t>
  </si>
  <si>
    <t>Веселов Рубен Димитриевич</t>
  </si>
  <si>
    <t>Семенова Валентина Кирилловна</t>
  </si>
  <si>
    <t>Дроздов Николай Феоктистович</t>
  </si>
  <si>
    <t>Колобов Радислав Герасимович</t>
  </si>
  <si>
    <t>Баранов Мартын Августович</t>
  </si>
  <si>
    <t>Фомина Алла Геннадьевна</t>
  </si>
  <si>
    <t>Мухин Давыд Филатович</t>
  </si>
  <si>
    <t>Артемьев Аггей Валентинович</t>
  </si>
  <si>
    <t>Жданова Антонина Борисовна</t>
  </si>
  <si>
    <t>Ширяев Станислав Ильясович</t>
  </si>
  <si>
    <t>Колесникова Наталья Геннадьевна</t>
  </si>
  <si>
    <t>Титова Марфа Георгиевна</t>
  </si>
  <si>
    <t>Захаров Леон Аверьянович</t>
  </si>
  <si>
    <t>Воробьев Захар Артемьевич</t>
  </si>
  <si>
    <t>Анисимов Вадим Артёмович</t>
  </si>
  <si>
    <t>Зыков Измаил Глебович</t>
  </si>
  <si>
    <t>Гаврилов Амвросий Артемьевич</t>
  </si>
  <si>
    <t>Шубина Феврония Юрьевна</t>
  </si>
  <si>
    <t>Семенов Максим Анатольевич</t>
  </si>
  <si>
    <t>Семенова Жанна Станиславовна</t>
  </si>
  <si>
    <t>Соколова Виктория Ильинична</t>
  </si>
  <si>
    <t>Кулакова Екатерина Рудольфовна</t>
  </si>
  <si>
    <t>Данилова Елизавета Артемовна</t>
  </si>
  <si>
    <t>Веселова Фаина Аркадьевна</t>
  </si>
  <si>
    <t>Кузнецова Алевтина Егоровна</t>
  </si>
  <si>
    <t>Одинцов Гостомысл Фомич</t>
  </si>
  <si>
    <t>Миронова Клавдия Феликсовна</t>
  </si>
  <si>
    <t>Макарова Марфа Эдуардовна</t>
  </si>
  <si>
    <t>Мамонтов Елизар Харлампьевич</t>
  </si>
  <si>
    <t>Зимина Октябрина Павловна</t>
  </si>
  <si>
    <t>Королев Эммануил Валерьевич</t>
  </si>
  <si>
    <t>Ефимова Анна Филипповна</t>
  </si>
  <si>
    <t>Зуев Трифон Зиновьевич</t>
  </si>
  <si>
    <t>Шарова Ирина Макаровна</t>
  </si>
  <si>
    <t>Новикова Любовь Богдановна</t>
  </si>
  <si>
    <t>Медведев Гордей Матвеевич</t>
  </si>
  <si>
    <t>Исакова Алевтина Алексеевна</t>
  </si>
  <si>
    <t>Алексеев Харлампий Демьянович</t>
  </si>
  <si>
    <t>Воробьева Иванна Юрьевна</t>
  </si>
  <si>
    <t>Стрелков Любомир Ермолаевич</t>
  </si>
  <si>
    <t>Петухова Галина Семеновна</t>
  </si>
  <si>
    <t>Воронов Еремей Бориславович</t>
  </si>
  <si>
    <t>Филатова Александра Геннадиевна</t>
  </si>
  <si>
    <t>Белоусова Марфа Архиповна</t>
  </si>
  <si>
    <t>Захаров Эммануил Филимонович</t>
  </si>
  <si>
    <t>Потапов Никодим Арсенович</t>
  </si>
  <si>
    <t>Сидорова Алла Рудольфовна</t>
  </si>
  <si>
    <t>Мартынова Агата Олеговна</t>
  </si>
  <si>
    <t>Панов Ипат Дмитриевич</t>
  </si>
  <si>
    <t>Гришин Творимир Артурович</t>
  </si>
  <si>
    <t>Яковлев Феликс Ааронович</t>
  </si>
  <si>
    <t>Веселов Любосмысл Тихонович</t>
  </si>
  <si>
    <t>Данилова Ольга Аскольдовна</t>
  </si>
  <si>
    <t>Цветкова Эмилия Болеславовна</t>
  </si>
  <si>
    <t>Николаева Светлана Семеновна</t>
  </si>
  <si>
    <t>Иванова Людмила Борисовна</t>
  </si>
  <si>
    <t>Евсеев Амос Гордеевич</t>
  </si>
  <si>
    <t>Молчанов Якуб Филатович</t>
  </si>
  <si>
    <t>Крюкова Лариса Романовна</t>
  </si>
  <si>
    <t>Юдин Амвросий Игнатович</t>
  </si>
  <si>
    <t>Соловьева Евдокия Эдуардовна</t>
  </si>
  <si>
    <t>Крюкова Лидия Андреевна</t>
  </si>
  <si>
    <t>Количество по полю Имя</t>
  </si>
  <si>
    <t>В топе списка — исключительно женские имена. Это может указывать на преобладание женщин в целевой аудитории.Самые частотные имена — Жанна, Алевтина, Любовь (по 6 раз). Среднечастотная зона (4 повтора), в которую входят имена вроде Вероника, Ирина, Раиса, Регина — достаточно распространённые, но не доминирующие.</t>
  </si>
  <si>
    <t>В России- самая высокая платежеспособность, а в Беларуси- самая низкая.</t>
  </si>
  <si>
    <t>На столбчатой диаграмме видно, что дольще всех живут 5 клиентов, а меньше всего- 1 (36,5 месяцев). Средний лайфтайм ≈ 42–45.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</si>
</sst>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#,##0\ &quot;₽&quot;"/>
    <numFmt numFmtId="175" formatCode="_-* #,##0\ &quot;₽&quot;_-;\-* #,##0\ &quot;₽&quot;_-;_-* &quot;-&quot;??\ &quot;₽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9" fontId="10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1"/>
    <xf numFmtId="0" fontId="7" fillId="0" borderId="1" xfId="1" applyFont="1" applyBorder="1"/>
    <xf numFmtId="0" fontId="7" fillId="0" borderId="0" xfId="1" applyFont="1"/>
    <xf numFmtId="0" fontId="4" fillId="0" borderId="2" xfId="1" applyBorder="1"/>
    <xf numFmtId="0" fontId="4" fillId="0" borderId="3" xfId="1" applyBorder="1"/>
    <xf numFmtId="0" fontId="4" fillId="0" borderId="0" xfId="1" applyAlignment="1">
      <alignment horizontal="center" vertical="center"/>
    </xf>
    <xf numFmtId="0" fontId="4" fillId="0" borderId="5" xfId="1" applyBorder="1"/>
    <xf numFmtId="0" fontId="4" fillId="0" borderId="6" xfId="1" applyBorder="1"/>
    <xf numFmtId="0" fontId="7" fillId="0" borderId="7" xfId="1" applyFont="1" applyBorder="1"/>
    <xf numFmtId="0" fontId="4" fillId="0" borderId="4" xfId="1" applyBorder="1"/>
    <xf numFmtId="0" fontId="8" fillId="0" borderId="8" xfId="1" applyFont="1" applyBorder="1"/>
    <xf numFmtId="0" fontId="9" fillId="0" borderId="0" xfId="1" applyFont="1"/>
    <xf numFmtId="0" fontId="5" fillId="0" borderId="9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  <xf numFmtId="0" fontId="6" fillId="0" borderId="9" xfId="0" applyFont="1" applyBorder="1" applyAlignment="1">
      <alignment horizontal="center" vertical="top"/>
    </xf>
    <xf numFmtId="165" fontId="0" fillId="0" borderId="0" xfId="0" applyNumberFormat="1"/>
    <xf numFmtId="9" fontId="0" fillId="0" borderId="0" xfId="2" applyFont="1"/>
    <xf numFmtId="9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7" fillId="0" borderId="10" xfId="1" applyFont="1" applyBorder="1"/>
    <xf numFmtId="0" fontId="4" fillId="0" borderId="10" xfId="1" applyBorder="1"/>
    <xf numFmtId="0" fontId="4" fillId="0" borderId="10" xfId="1" applyBorder="1" applyAlignment="1">
      <alignment vertical="top"/>
    </xf>
    <xf numFmtId="0" fontId="0" fillId="0" borderId="10" xfId="0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0" fontId="7" fillId="0" borderId="10" xfId="1" applyFont="1" applyBorder="1" applyAlignment="1">
      <alignment vertical="top"/>
    </xf>
    <xf numFmtId="0" fontId="2" fillId="0" borderId="10" xfId="0" applyFont="1" applyBorder="1" applyAlignment="1">
      <alignment vertical="top" wrapText="1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4" fillId="0" borderId="10" xfId="1" applyBorder="1" applyAlignment="1">
      <alignment vertical="top" wrapText="1"/>
    </xf>
    <xf numFmtId="49" fontId="0" fillId="0" borderId="0" xfId="0" applyNumberFormat="1"/>
    <xf numFmtId="0" fontId="4" fillId="0" borderId="0" xfId="1" applyAlignment="1">
      <alignment horizontal="center"/>
    </xf>
    <xf numFmtId="175" fontId="0" fillId="0" borderId="0" xfId="0" applyNumberFormat="1"/>
    <xf numFmtId="0" fontId="1" fillId="0" borderId="10" xfId="0" applyFont="1" applyBorder="1" applyAlignment="1">
      <alignment vertical="top" wrapText="1"/>
    </xf>
  </cellXfs>
  <cellStyles count="3">
    <cellStyle name="Обычный" xfId="0" builtinId="0"/>
    <cellStyle name="Обычный 2" xfId="1" xr:uid="{D158504E-E19E-2F44-9F33-CFD7D832B8EE}"/>
    <cellStyle name="Процентный" xfId="2" builtinId="5"/>
  </cellStyles>
  <dxfs count="61">
    <dxf>
      <numFmt numFmtId="175" formatCode="_-* #,##0\ &quot;₽&quot;_-;\-* #,##0\ &quot;₽&quot;_-;_-* &quot;-&quot;??\ &quot;₽&quot;_-;_-@_-"/>
    </dxf>
    <dxf>
      <numFmt numFmtId="174" formatCode="_-* #,##0.0\ &quot;₽&quot;_-;\-* #,##0.0\ &quot;₽&quot;_-;_-* &quot;-&quot;??\ &quot;₽&quot;_-;_-@_-"/>
    </dxf>
    <dxf>
      <numFmt numFmtId="175" formatCode="_-* #,##0\ &quot;₽&quot;_-;\-* #,##0\ &quot;₽&quot;_-;_-* &quot;-&quot;??\ &quot;₽&quot;_-;_-@_-"/>
    </dxf>
    <dxf>
      <numFmt numFmtId="174" formatCode="_-* #,##0.0\ &quot;₽&quot;_-;\-* #,##0.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2" formatCode="0.00"/>
    </dxf>
    <dxf>
      <numFmt numFmtId="2" formatCode="0.00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5" formatCode="0.0"/>
    </dxf>
    <dxf>
      <numFmt numFmtId="168" formatCode="#,##0.00\ &quot;₽&quot;"/>
    </dxf>
    <dxf>
      <numFmt numFmtId="168" formatCode="#,##0.00\ &quot;₽&quot;"/>
    </dxf>
    <dxf>
      <numFmt numFmtId="166" formatCode="#,##0\ &quot;₽&quot;"/>
    </dxf>
    <dxf>
      <numFmt numFmtId="13" formatCode="0%"/>
    </dxf>
    <dxf>
      <numFmt numFmtId="166" formatCode="#,##0\ &quot;₽&quot;"/>
    </dxf>
    <dxf>
      <numFmt numFmtId="0" formatCode="General"/>
    </dxf>
    <dxf>
      <numFmt numFmtId="165" formatCode="0.0"/>
    </dxf>
    <dxf>
      <numFmt numFmtId="167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0.000"/>
    </dxf>
    <dxf>
      <numFmt numFmtId="165" formatCode="0.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5" formatCode="0.0"/>
    </dxf>
    <dxf>
      <numFmt numFmtId="166" formatCode="#,##0\ &quot;₽&quot;"/>
    </dxf>
    <dxf>
      <numFmt numFmtId="168" formatCode="#,##0.00\ &quot;₽&quot;"/>
    </dxf>
    <dxf>
      <numFmt numFmtId="168" formatCode="#,##0.00\ &quot;₽&quot;"/>
    </dxf>
    <dxf>
      <numFmt numFmtId="13" formatCode="0%"/>
    </dxf>
    <dxf>
      <numFmt numFmtId="166" formatCode="#,##0\ &quot;₽&quot;"/>
    </dxf>
    <dxf>
      <numFmt numFmtId="0" formatCode="General"/>
    </dxf>
    <dxf>
      <numFmt numFmtId="19" formatCode="dd/mm/yyyy"/>
    </dxf>
    <dxf>
      <numFmt numFmtId="165" formatCode="0.0"/>
    </dxf>
    <dxf>
      <numFmt numFmtId="0" formatCode="General"/>
    </dxf>
    <dxf>
      <numFmt numFmtId="165" formatCode="0.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данные.xlsx]Платежеспособность стран!Сводная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Платежеспособность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'Платежеспособность стран'!$B$3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'Платежеспособность стран'!$A$4:$A$9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'Платежеспособность стран'!$B$4:$B$9</c:f>
              <c:numCache>
                <c:formatCode>_-* #\ ##0\ "₽"_-;\-* #\ ##0\ "₽"_-;_-* "-"??\ "₽"_-;_-@_-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BD4-BFEE-8033CC8E0B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696592"/>
        <c:axId val="115697008"/>
      </c:barChart>
      <c:catAx>
        <c:axId val="115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697008"/>
        <c:crosses val="autoZero"/>
        <c:auto val="1"/>
        <c:lblAlgn val="ctr"/>
        <c:lblOffset val="100"/>
        <c:noMultiLvlLbl val="0"/>
      </c:catAx>
      <c:valAx>
        <c:axId val="1156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69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данные.xlsx]Продажи магазинов!Сводная таблица2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'Продажи магазинов'!$A$4:$A$21</c:f>
              <c:multiLvlStrCache>
                <c:ptCount val="1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июн</c:v>
                  </c:pt>
                  <c:pt idx="5">
                    <c:v>июл</c:v>
                  </c:pt>
                  <c:pt idx="6">
                    <c:v>авг</c:v>
                  </c:pt>
                  <c:pt idx="7">
                    <c:v>сен</c:v>
                  </c:pt>
                  <c:pt idx="8">
                    <c:v>окт</c:v>
                  </c:pt>
                  <c:pt idx="9">
                    <c:v>ноя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мар</c:v>
                  </c:pt>
                  <c:pt idx="14">
                    <c:v>апр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магазинов'!$B$4:$B$21</c:f>
              <c:numCache>
                <c:formatCode>#\ ##0\ "₽"</c:formatCode>
                <c:ptCount val="15"/>
                <c:pt idx="0">
                  <c:v>1858</c:v>
                </c:pt>
                <c:pt idx="1">
                  <c:v>980</c:v>
                </c:pt>
                <c:pt idx="2">
                  <c:v>2778</c:v>
                </c:pt>
                <c:pt idx="3">
                  <c:v>4705</c:v>
                </c:pt>
                <c:pt idx="4">
                  <c:v>4758</c:v>
                </c:pt>
                <c:pt idx="5">
                  <c:v>676</c:v>
                </c:pt>
                <c:pt idx="6">
                  <c:v>1342</c:v>
                </c:pt>
                <c:pt idx="7">
                  <c:v>3907</c:v>
                </c:pt>
                <c:pt idx="8">
                  <c:v>4337</c:v>
                </c:pt>
                <c:pt idx="9">
                  <c:v>2464</c:v>
                </c:pt>
                <c:pt idx="10">
                  <c:v>2172</c:v>
                </c:pt>
                <c:pt idx="11">
                  <c:v>4076</c:v>
                </c:pt>
                <c:pt idx="12">
                  <c:v>2115</c:v>
                </c:pt>
                <c:pt idx="13">
                  <c:v>3786</c:v>
                </c:pt>
                <c:pt idx="14">
                  <c:v>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C-48EE-B495-CFE4F526C9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220842768"/>
        <c:axId val="1220841936"/>
      </c:lineChart>
      <c:catAx>
        <c:axId val="12208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0841936"/>
        <c:crosses val="autoZero"/>
        <c:auto val="1"/>
        <c:lblAlgn val="ctr"/>
        <c:lblOffset val="100"/>
        <c:noMultiLvlLbl val="0"/>
      </c:catAx>
      <c:valAx>
        <c:axId val="1220841936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08427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данные.xlsx]Выгода клиентам!Сводная таблица3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7-414B-B112-263A473FF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778496"/>
        <c:axId val="1572791808"/>
      </c:barChart>
      <c:catAx>
        <c:axId val="157277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2791808"/>
        <c:crosses val="autoZero"/>
        <c:auto val="1"/>
        <c:lblAlgn val="ctr"/>
        <c:lblOffset val="100"/>
        <c:noMultiLvlLbl val="0"/>
      </c:catAx>
      <c:valAx>
        <c:axId val="15727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2778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данные.xlsx]Суммарные продажи по магазинам!Сводная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/>
              <a:t> по продуктовым сетям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#\ ##0\ "₽"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C-4F77-95E2-A161D0A445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5048880"/>
        <c:axId val="1235043056"/>
      </c:barChart>
      <c:catAx>
        <c:axId val="12350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043056"/>
        <c:crosses val="autoZero"/>
        <c:auto val="1"/>
        <c:lblAlgn val="ctr"/>
        <c:lblOffset val="100"/>
        <c:noMultiLvlLbl val="0"/>
      </c:catAx>
      <c:valAx>
        <c:axId val="1235043056"/>
        <c:scaling>
          <c:orientation val="minMax"/>
        </c:scaling>
        <c:delete val="0"/>
        <c:axPos val="l"/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04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данные.xlsx]Анализ цен по поставщикам !Сводная таблица1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</a:t>
            </a:r>
            <a:r>
              <a:rPr lang="ru-RU" baseline="0"/>
              <a:t> стоимость товара по поставщикам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'Анализ цен по поставщикам 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'Анализ цен по поставщикам '!$A$4:$A$82</c:f>
              <c:strCache>
                <c:ptCount val="78"/>
                <c:pt idx="0">
                  <c:v>Green Garden</c:v>
                </c:pt>
                <c:pt idx="1">
                  <c:v>Каравай</c:v>
                </c:pt>
                <c:pt idx="2">
                  <c:v>Макфа</c:v>
                </c:pt>
                <c:pt idx="3">
                  <c:v>КДВ</c:v>
                </c:pt>
                <c:pt idx="4">
                  <c:v>Беллакт</c:v>
                </c:pt>
                <c:pt idx="5">
                  <c:v>Посиделкино</c:v>
                </c:pt>
                <c:pt idx="6">
                  <c:v>Экстра</c:v>
                </c:pt>
                <c:pt idx="7">
                  <c:v>Lay's</c:v>
                </c:pt>
                <c:pt idx="8">
                  <c:v>Черкизово</c:v>
                </c:pt>
                <c:pt idx="9">
                  <c:v>Простоквашино</c:v>
                </c:pt>
                <c:pt idx="10">
                  <c:v>Агро-Альянс</c:v>
                </c:pt>
                <c:pt idx="11">
                  <c:v>Русский Хлеб</c:v>
                </c:pt>
                <c:pt idx="12">
                  <c:v>Мираторг</c:v>
                </c:pt>
                <c:pt idx="13">
                  <c:v>Дымов</c:v>
                </c:pt>
                <c:pt idx="14">
                  <c:v>Карат</c:v>
                </c:pt>
                <c:pt idx="15">
                  <c:v>Агрокомплекс</c:v>
                </c:pt>
                <c:pt idx="16">
                  <c:v>Овощной ряд</c:v>
                </c:pt>
                <c:pt idx="17">
                  <c:v>Активиа</c:v>
                </c:pt>
                <c:pt idx="18">
                  <c:v>Русский сахар</c:v>
                </c:pt>
                <c:pt idx="19">
                  <c:v>Русское море</c:v>
                </c:pt>
                <c:pt idx="20">
                  <c:v>Greenfield</c:v>
                </c:pt>
                <c:pt idx="21">
                  <c:v>Балтийский берег</c:v>
                </c:pt>
                <c:pt idx="22">
                  <c:v>Рот Фронт</c:v>
                </c:pt>
                <c:pt idx="23">
                  <c:v>Чудо</c:v>
                </c:pt>
                <c:pt idx="24">
                  <c:v>Фруктовый сад</c:v>
                </c:pt>
                <c:pt idx="25">
                  <c:v>Тесс</c:v>
                </c:pt>
                <c:pt idx="26">
                  <c:v>Хлебный Дом</c:v>
                </c:pt>
                <c:pt idx="27">
                  <c:v>Фрукты-Ягоды</c:v>
                </c:pt>
                <c:pt idx="28">
                  <c:v>Pringles</c:v>
                </c:pt>
                <c:pt idx="29">
                  <c:v>Паста Зара</c:v>
                </c:pt>
                <c:pt idx="30">
                  <c:v>Jacobs</c:v>
                </c:pt>
                <c:pt idx="31">
                  <c:v>Домик в деревне</c:v>
                </c:pt>
                <c:pt idx="32">
                  <c:v>Салта</c:v>
                </c:pt>
                <c:pt idx="33">
                  <c:v>Красный Октябрь</c:v>
                </c:pt>
                <c:pt idx="34">
                  <c:v>Окраина</c:v>
                </c:pt>
                <c:pt idx="35">
                  <c:v>Снежана</c:v>
                </c:pt>
                <c:pt idx="36">
                  <c:v>Rich</c:v>
                </c:pt>
                <c:pt idx="37">
                  <c:v>Сырная долина</c:v>
                </c:pt>
                <c:pt idx="38">
                  <c:v>Белый Злат</c:v>
                </c:pt>
                <c:pt idx="39">
                  <c:v>Славянка</c:v>
                </c:pt>
                <c:pt idx="40">
                  <c:v>Estrella</c:v>
                </c:pt>
                <c:pt idx="41">
                  <c:v>Дарница</c:v>
                </c:pt>
                <c:pt idx="42">
                  <c:v>Националь</c:v>
                </c:pt>
                <c:pt idx="43">
                  <c:v>Меридиан</c:v>
                </c:pt>
                <c:pt idx="44">
                  <c:v>Lipton</c:v>
                </c:pt>
                <c:pt idx="45">
                  <c:v>Фруктовый Рай</c:v>
                </c:pt>
                <c:pt idx="46">
                  <c:v>Ростагроэкспорт</c:v>
                </c:pt>
                <c:pt idx="47">
                  <c:v>Nescafe</c:v>
                </c:pt>
                <c:pt idx="48">
                  <c:v>Сады Придонья</c:v>
                </c:pt>
                <c:pt idx="49">
                  <c:v>Экзотик</c:v>
                </c:pt>
                <c:pt idx="50">
                  <c:v>Ярмарка</c:v>
                </c:pt>
                <c:pt idx="51">
                  <c:v>Увелка</c:v>
                </c:pt>
                <c:pt idx="52">
                  <c:v>Бабаевский</c:v>
                </c:pt>
                <c:pt idx="53">
                  <c:v>Белогорье</c:v>
                </c:pt>
                <c:pt idx="54">
                  <c:v>Эрманн</c:v>
                </c:pt>
                <c:pt idx="55">
                  <c:v>Гавриш</c:v>
                </c:pt>
                <c:pt idx="56">
                  <c:v>Ахмад</c:v>
                </c:pt>
                <c:pt idx="57">
                  <c:v>Добрый</c:v>
                </c:pt>
                <c:pt idx="58">
                  <c:v>Русская картошка</c:v>
                </c:pt>
                <c:pt idx="59">
                  <c:v>Продимекс</c:v>
                </c:pt>
                <c:pt idx="60">
                  <c:v>Сладов</c:v>
                </c:pt>
                <c:pt idx="61">
                  <c:v>President</c:v>
                </c:pt>
                <c:pt idx="62">
                  <c:v>Илецкая</c:v>
                </c:pt>
                <c:pt idx="63">
                  <c:v>Славянская</c:v>
                </c:pt>
                <c:pt idx="64">
                  <c:v>Борилла</c:v>
                </c:pt>
                <c:pt idx="65">
                  <c:v>Роллтон</c:v>
                </c:pt>
                <c:pt idx="66">
                  <c:v>Юбилейное</c:v>
                </c:pt>
                <c:pt idx="67">
                  <c:v>Мистраль</c:v>
                </c:pt>
                <c:pt idx="68">
                  <c:v>Черная Карта</c:v>
                </c:pt>
                <c:pt idx="69">
                  <c:v>Санта Бремор</c:v>
                </c:pt>
                <c:pt idx="70">
                  <c:v>Агросахар</c:v>
                </c:pt>
                <c:pt idx="71">
                  <c:v>Сава</c:v>
                </c:pt>
                <c:pt idx="72">
                  <c:v>Семко</c:v>
                </c:pt>
                <c:pt idx="73">
                  <c:v>Вимм-Билль-Данн</c:v>
                </c:pt>
                <c:pt idx="74">
                  <c:v>Hochland</c:v>
                </c:pt>
                <c:pt idx="75">
                  <c:v>Зеленая грядка</c:v>
                </c:pt>
                <c:pt idx="76">
                  <c:v>Tchibo</c:v>
                </c:pt>
                <c:pt idx="77">
                  <c:v>Микоян</c:v>
                </c:pt>
              </c:strCache>
            </c:strRef>
          </c:cat>
          <c:val>
            <c:numRef>
              <c:f>'Анализ цен по поставщикам '!$B$4:$B$82</c:f>
              <c:numCache>
                <c:formatCode>0.0</c:formatCode>
                <c:ptCount val="78"/>
                <c:pt idx="0">
                  <c:v>369.2</c:v>
                </c:pt>
                <c:pt idx="1">
                  <c:v>331.16666666666663</c:v>
                </c:pt>
                <c:pt idx="2">
                  <c:v>329.2727272727272</c:v>
                </c:pt>
                <c:pt idx="3">
                  <c:v>323.07692307692298</c:v>
                </c:pt>
                <c:pt idx="4">
                  <c:v>322.54545454545456</c:v>
                </c:pt>
                <c:pt idx="5">
                  <c:v>321.63636363636357</c:v>
                </c:pt>
                <c:pt idx="6">
                  <c:v>320.84615384615387</c:v>
                </c:pt>
                <c:pt idx="7">
                  <c:v>320.5714285714285</c:v>
                </c:pt>
                <c:pt idx="8">
                  <c:v>320.25</c:v>
                </c:pt>
                <c:pt idx="9">
                  <c:v>318.81818181818187</c:v>
                </c:pt>
                <c:pt idx="10">
                  <c:v>317.85714285714283</c:v>
                </c:pt>
                <c:pt idx="11">
                  <c:v>316.59999999999997</c:v>
                </c:pt>
                <c:pt idx="12">
                  <c:v>316.58333333333337</c:v>
                </c:pt>
                <c:pt idx="13">
                  <c:v>312.66666666666669</c:v>
                </c:pt>
                <c:pt idx="14">
                  <c:v>311.33333333333331</c:v>
                </c:pt>
                <c:pt idx="15">
                  <c:v>311.19999999999993</c:v>
                </c:pt>
                <c:pt idx="16">
                  <c:v>303.82352941176475</c:v>
                </c:pt>
                <c:pt idx="17">
                  <c:v>293.66666666666669</c:v>
                </c:pt>
                <c:pt idx="18">
                  <c:v>293.41176470588232</c:v>
                </c:pt>
                <c:pt idx="19">
                  <c:v>292.66666666666669</c:v>
                </c:pt>
                <c:pt idx="20">
                  <c:v>291.45454545454533</c:v>
                </c:pt>
                <c:pt idx="21">
                  <c:v>289.88888888888891</c:v>
                </c:pt>
                <c:pt idx="22">
                  <c:v>288.2380952380953</c:v>
                </c:pt>
                <c:pt idx="23">
                  <c:v>287.09999999999997</c:v>
                </c:pt>
                <c:pt idx="24">
                  <c:v>281.96875</c:v>
                </c:pt>
                <c:pt idx="25">
                  <c:v>281.75</c:v>
                </c:pt>
                <c:pt idx="26">
                  <c:v>281.73333333333346</c:v>
                </c:pt>
                <c:pt idx="27">
                  <c:v>280.66666666666669</c:v>
                </c:pt>
                <c:pt idx="28">
                  <c:v>280.2380952380953</c:v>
                </c:pt>
                <c:pt idx="29">
                  <c:v>276.67567567567562</c:v>
                </c:pt>
                <c:pt idx="30">
                  <c:v>276.21052631578948</c:v>
                </c:pt>
                <c:pt idx="31">
                  <c:v>274.77777777777771</c:v>
                </c:pt>
                <c:pt idx="32">
                  <c:v>273.69999999999993</c:v>
                </c:pt>
                <c:pt idx="33">
                  <c:v>273.625</c:v>
                </c:pt>
                <c:pt idx="34">
                  <c:v>273.58333333333337</c:v>
                </c:pt>
                <c:pt idx="35">
                  <c:v>272.35294117647067</c:v>
                </c:pt>
                <c:pt idx="36">
                  <c:v>272.25</c:v>
                </c:pt>
                <c:pt idx="37">
                  <c:v>271</c:v>
                </c:pt>
                <c:pt idx="38">
                  <c:v>269.7058823529411</c:v>
                </c:pt>
                <c:pt idx="39">
                  <c:v>268</c:v>
                </c:pt>
                <c:pt idx="40">
                  <c:v>266.2727272727272</c:v>
                </c:pt>
                <c:pt idx="41">
                  <c:v>264</c:v>
                </c:pt>
                <c:pt idx="42">
                  <c:v>263.375</c:v>
                </c:pt>
                <c:pt idx="43">
                  <c:v>260.64705882352933</c:v>
                </c:pt>
                <c:pt idx="44">
                  <c:v>260.15789473684202</c:v>
                </c:pt>
                <c:pt idx="45">
                  <c:v>258.30769230769232</c:v>
                </c:pt>
                <c:pt idx="46">
                  <c:v>257.78260869565207</c:v>
                </c:pt>
                <c:pt idx="47">
                  <c:v>256.90000000000003</c:v>
                </c:pt>
                <c:pt idx="48">
                  <c:v>254.18181818181819</c:v>
                </c:pt>
                <c:pt idx="49">
                  <c:v>253.6875</c:v>
                </c:pt>
                <c:pt idx="50">
                  <c:v>252.09090909090904</c:v>
                </c:pt>
                <c:pt idx="51">
                  <c:v>251.91666666666663</c:v>
                </c:pt>
                <c:pt idx="52">
                  <c:v>250.25925925925918</c:v>
                </c:pt>
                <c:pt idx="53">
                  <c:v>249.5</c:v>
                </c:pt>
                <c:pt idx="54">
                  <c:v>248.5</c:v>
                </c:pt>
                <c:pt idx="55">
                  <c:v>247.66666666666666</c:v>
                </c:pt>
                <c:pt idx="56">
                  <c:v>243.3</c:v>
                </c:pt>
                <c:pt idx="57">
                  <c:v>242.81818181818181</c:v>
                </c:pt>
                <c:pt idx="58">
                  <c:v>241.83333333333337</c:v>
                </c:pt>
                <c:pt idx="59">
                  <c:v>240.5</c:v>
                </c:pt>
                <c:pt idx="60">
                  <c:v>240.26666666666677</c:v>
                </c:pt>
                <c:pt idx="61">
                  <c:v>238.72222222222223</c:v>
                </c:pt>
                <c:pt idx="62">
                  <c:v>238.16666666666663</c:v>
                </c:pt>
                <c:pt idx="63">
                  <c:v>236.91666666666663</c:v>
                </c:pt>
                <c:pt idx="64">
                  <c:v>236.27586206896555</c:v>
                </c:pt>
                <c:pt idx="65">
                  <c:v>235.5555555555556</c:v>
                </c:pt>
                <c:pt idx="66">
                  <c:v>232.4444444444444</c:v>
                </c:pt>
                <c:pt idx="67">
                  <c:v>226.25</c:v>
                </c:pt>
                <c:pt idx="68">
                  <c:v>222.2</c:v>
                </c:pt>
                <c:pt idx="69">
                  <c:v>216.40000000000003</c:v>
                </c:pt>
                <c:pt idx="70">
                  <c:v>215.85714285714286</c:v>
                </c:pt>
                <c:pt idx="71">
                  <c:v>212.8125</c:v>
                </c:pt>
                <c:pt idx="72">
                  <c:v>208</c:v>
                </c:pt>
                <c:pt idx="73">
                  <c:v>193.5</c:v>
                </c:pt>
                <c:pt idx="74">
                  <c:v>168</c:v>
                </c:pt>
                <c:pt idx="75">
                  <c:v>159.19999999999999</c:v>
                </c:pt>
                <c:pt idx="76">
                  <c:v>140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6B2-8B9C-5C86F31E2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3424144"/>
        <c:axId val="443423728"/>
        <c:axId val="0"/>
      </c:bar3DChart>
      <c:catAx>
        <c:axId val="44342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423728"/>
        <c:crosses val="autoZero"/>
        <c:auto val="1"/>
        <c:lblAlgn val="ctr"/>
        <c:lblOffset val="100"/>
        <c:noMultiLvlLbl val="0"/>
      </c:catAx>
      <c:valAx>
        <c:axId val="4434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342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данные.xlsx]Суммарные продажи по поставщика!Сводная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/>
              <a:t> по поставщикам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#\ ##0\ "₽"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14457</c:v>
                </c:pt>
                <c:pt idx="14">
                  <c:v>14154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12207</c:v>
                </c:pt>
                <c:pt idx="25">
                  <c:v>12078</c:v>
                </c:pt>
                <c:pt idx="26">
                  <c:v>11937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9-4884-9F28-A45E15A8A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107328"/>
        <c:axId val="942108160"/>
      </c:barChart>
      <c:catAx>
        <c:axId val="9421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108160"/>
        <c:crosses val="autoZero"/>
        <c:auto val="1"/>
        <c:lblAlgn val="ctr"/>
        <c:lblOffset val="100"/>
        <c:noMultiLvlLbl val="0"/>
      </c:catAx>
      <c:valAx>
        <c:axId val="94210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1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данные.xlsx]Суммарные продажи по категориям!Сводная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/>
              <a:t>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'Суммарные продажи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Соль</c:v>
                </c:pt>
                <c:pt idx="6">
                  <c:v>Сыр</c:v>
                </c:pt>
                <c:pt idx="7">
                  <c:v>Сахар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'Суммарные продажи по категориям'!$B$4:$B$24</c:f>
              <c:numCache>
                <c:formatCode>#\ ##0\ "₽"</c:formatCode>
                <c:ptCount val="20"/>
                <c:pt idx="0">
                  <c:v>66945</c:v>
                </c:pt>
                <c:pt idx="1">
                  <c:v>48797</c:v>
                </c:pt>
                <c:pt idx="2">
                  <c:v>47223</c:v>
                </c:pt>
                <c:pt idx="3">
                  <c:v>45862</c:v>
                </c:pt>
                <c:pt idx="4">
                  <c:v>44539</c:v>
                </c:pt>
                <c:pt idx="5">
                  <c:v>44468</c:v>
                </c:pt>
                <c:pt idx="6">
                  <c:v>44265</c:v>
                </c:pt>
                <c:pt idx="7">
                  <c:v>44151</c:v>
                </c:pt>
                <c:pt idx="8">
                  <c:v>43626</c:v>
                </c:pt>
                <c:pt idx="9">
                  <c:v>42352</c:v>
                </c:pt>
                <c:pt idx="10">
                  <c:v>42165</c:v>
                </c:pt>
                <c:pt idx="11">
                  <c:v>41745</c:v>
                </c:pt>
                <c:pt idx="12">
                  <c:v>39632</c:v>
                </c:pt>
                <c:pt idx="13">
                  <c:v>33802</c:v>
                </c:pt>
                <c:pt idx="14">
                  <c:v>32430</c:v>
                </c:pt>
                <c:pt idx="15">
                  <c:v>31147</c:v>
                </c:pt>
                <c:pt idx="16">
                  <c:v>30543</c:v>
                </c:pt>
                <c:pt idx="17">
                  <c:v>28053</c:v>
                </c:pt>
                <c:pt idx="18">
                  <c:v>27375</c:v>
                </c:pt>
                <c:pt idx="19">
                  <c:v>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9-46CD-8E14-DF72B4F88F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8770752"/>
        <c:axId val="1148772416"/>
      </c:barChart>
      <c:catAx>
        <c:axId val="11487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772416"/>
        <c:crosses val="autoZero"/>
        <c:auto val="1"/>
        <c:lblAlgn val="ctr"/>
        <c:lblOffset val="100"/>
        <c:noMultiLvlLbl val="0"/>
      </c:catAx>
      <c:valAx>
        <c:axId val="114877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877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данные.xlsx]Среднее количество по категория!Сводная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 покупки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'Среднее количество по категория'!$B$3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'Среднее количество по категория'!$A$4:$A$23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'Среднее количество по категория'!$B$4:$B$23</c:f>
              <c:numCache>
                <c:formatCode>0.00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0-45DC-85B0-7A0F4B88DC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8397120"/>
        <c:axId val="518397952"/>
      </c:barChart>
      <c:catAx>
        <c:axId val="5183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8397952"/>
        <c:crosses val="autoZero"/>
        <c:auto val="1"/>
        <c:lblAlgn val="ctr"/>
        <c:lblOffset val="100"/>
        <c:noMultiLvlLbl val="0"/>
      </c:catAx>
      <c:valAx>
        <c:axId val="5183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839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данные.xlsx]Лояльность клиентов!Сводная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программе лояльности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'Лояльность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'Лояльность клиентов'!$A$4:$A$6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'Лояльность клиентов'!$B$4:$B$6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E4F-9E2F-868EEEB91F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1329872"/>
        <c:axId val="441325296"/>
      </c:barChart>
      <c:catAx>
        <c:axId val="4413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325296"/>
        <c:crosses val="autoZero"/>
        <c:auto val="1"/>
        <c:lblAlgn val="ctr"/>
        <c:lblOffset val="100"/>
        <c:noMultiLvlLbl val="0"/>
      </c:catAx>
      <c:valAx>
        <c:axId val="44132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32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данные.xlsx]География клиентов!Сводная таблица6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8-4C45-8722-75E4ED0DC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5625632"/>
        <c:axId val="1345626464"/>
      </c:barChart>
      <c:catAx>
        <c:axId val="13456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626464"/>
        <c:crosses val="autoZero"/>
        <c:auto val="1"/>
        <c:lblAlgn val="ctr"/>
        <c:lblOffset val="100"/>
        <c:noMultiLvlLbl val="0"/>
      </c:catAx>
      <c:valAx>
        <c:axId val="134562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62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данные.xlsx]Продолжит.нахождения клиентов!Сводная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Лайфтайм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'Продолжит.нахождения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'Продолжит.нахождения клиентов'!$A$4:$A$437</c:f>
              <c:strCache>
                <c:ptCount val="434"/>
                <c:pt idx="0">
                  <c:v>Васильева Ирина Анатольевна</c:v>
                </c:pt>
                <c:pt idx="1">
                  <c:v>Жуков Никифор Фомич</c:v>
                </c:pt>
                <c:pt idx="2">
                  <c:v>Савельев Федосий Феоктистович</c:v>
                </c:pt>
                <c:pt idx="3">
                  <c:v>Бурова Марфа Игоревна</c:v>
                </c:pt>
                <c:pt idx="4">
                  <c:v>Рыбаков Автоном Антонович</c:v>
                </c:pt>
                <c:pt idx="5">
                  <c:v>Емельянов Игорь Андреевич</c:v>
                </c:pt>
                <c:pt idx="6">
                  <c:v>Потапова Валерия Семеновна</c:v>
                </c:pt>
                <c:pt idx="7">
                  <c:v>Рожкова Маргарита Артемовна</c:v>
                </c:pt>
                <c:pt idx="8">
                  <c:v>Капустина Юлия Кузьминична</c:v>
                </c:pt>
                <c:pt idx="9">
                  <c:v>Чернова Регина Сергеевна</c:v>
                </c:pt>
                <c:pt idx="10">
                  <c:v>Колобов Радислав Герасимович</c:v>
                </c:pt>
                <c:pt idx="11">
                  <c:v>Русаков Модест Захарьевич</c:v>
                </c:pt>
                <c:pt idx="12">
                  <c:v>Зыков Измаил Глебович</c:v>
                </c:pt>
                <c:pt idx="13">
                  <c:v>Дроздов Николай Феоктистович</c:v>
                </c:pt>
                <c:pt idx="14">
                  <c:v>Князева Акулина Алексеевна</c:v>
                </c:pt>
                <c:pt idx="15">
                  <c:v>Харитонова Фёкла Феликсовна</c:v>
                </c:pt>
                <c:pt idx="16">
                  <c:v>Соколова Виктория Ильинична</c:v>
                </c:pt>
                <c:pt idx="17">
                  <c:v>Устинов Евграф Исидорович</c:v>
                </c:pt>
                <c:pt idx="18">
                  <c:v>Нестерова Таисия Яковлевна</c:v>
                </c:pt>
                <c:pt idx="19">
                  <c:v>Брагин Любомир Гертрудович</c:v>
                </c:pt>
                <c:pt idx="20">
                  <c:v>Федосеева Василиса Аскольдовна</c:v>
                </c:pt>
                <c:pt idx="21">
                  <c:v>Одинцов Гостомысл Фомич</c:v>
                </c:pt>
                <c:pt idx="22">
                  <c:v>Борисова Мария Кузьминична</c:v>
                </c:pt>
                <c:pt idx="23">
                  <c:v>Филатова Александра Геннадиевна</c:v>
                </c:pt>
                <c:pt idx="24">
                  <c:v>Артемьева Александра Матвеевна</c:v>
                </c:pt>
                <c:pt idx="25">
                  <c:v>Рогова Кира Степановна</c:v>
                </c:pt>
                <c:pt idx="26">
                  <c:v>Белоусов Давыд Фёдорович</c:v>
                </c:pt>
                <c:pt idx="27">
                  <c:v>Павлова Татьяна Павловна</c:v>
                </c:pt>
                <c:pt idx="28">
                  <c:v>Тимофеева Анастасия Натановна</c:v>
                </c:pt>
                <c:pt idx="29">
                  <c:v>Соколова Кира Дмитриевна</c:v>
                </c:pt>
                <c:pt idx="30">
                  <c:v>Калинина Ирина Филипповна</c:v>
                </c:pt>
                <c:pt idx="31">
                  <c:v>Волков Аггей Терентьевич</c:v>
                </c:pt>
                <c:pt idx="32">
                  <c:v>Дорофеев Тимур Валерьянович</c:v>
                </c:pt>
                <c:pt idx="33">
                  <c:v>Тимофеева Лукия Ефимовна</c:v>
                </c:pt>
                <c:pt idx="34">
                  <c:v>Лапин Потап Егорович</c:v>
                </c:pt>
                <c:pt idx="35">
                  <c:v>Емельянов Арсений Ермолаевич</c:v>
                </c:pt>
                <c:pt idx="36">
                  <c:v>Ефремов Епифан Ильич</c:v>
                </c:pt>
                <c:pt idx="37">
                  <c:v>Артемьев Аггей Валентинович</c:v>
                </c:pt>
                <c:pt idx="38">
                  <c:v>Воронов Никанор Феодосьевич</c:v>
                </c:pt>
                <c:pt idx="39">
                  <c:v>Щербаков Елизар Архипович</c:v>
                </c:pt>
                <c:pt idx="40">
                  <c:v>Афанасьев Кузьма Исидорович</c:v>
                </c:pt>
                <c:pt idx="41">
                  <c:v>Титова Марфа Георгиевна</c:v>
                </c:pt>
                <c:pt idx="42">
                  <c:v>Владимиров Конон Валентинович</c:v>
                </c:pt>
                <c:pt idx="43">
                  <c:v>Королев Эммануил Валерьевич</c:v>
                </c:pt>
                <c:pt idx="44">
                  <c:v>Жданова Антонина Борисовна</c:v>
                </c:pt>
                <c:pt idx="45">
                  <c:v>Веселова Фаина Аркадьевна</c:v>
                </c:pt>
                <c:pt idx="46">
                  <c:v>Медведева Валерия Владимировна</c:v>
                </c:pt>
                <c:pt idx="47">
                  <c:v>Анисимов Вадим Артёмович</c:v>
                </c:pt>
                <c:pt idx="48">
                  <c:v>Горбунова Наина Филипповна</c:v>
                </c:pt>
                <c:pt idx="49">
                  <c:v>Ермаков Всеслав Эдуардович</c:v>
                </c:pt>
                <c:pt idx="50">
                  <c:v>Лазарев Софон Якубович</c:v>
                </c:pt>
                <c:pt idx="51">
                  <c:v>Маслов Захар Феофанович</c:v>
                </c:pt>
                <c:pt idx="52">
                  <c:v>Михеев Андроник Ефимьевич</c:v>
                </c:pt>
                <c:pt idx="53">
                  <c:v>Ширяев Станислав Ильясович</c:v>
                </c:pt>
                <c:pt idx="54">
                  <c:v>Баранов Мартын Августович</c:v>
                </c:pt>
                <c:pt idx="55">
                  <c:v>Кудрявцев Демид Ерофеевич</c:v>
                </c:pt>
                <c:pt idx="56">
                  <c:v>Костина Жанна Рубеновна</c:v>
                </c:pt>
                <c:pt idx="57">
                  <c:v>Беляева Александра Владиславовна</c:v>
                </c:pt>
                <c:pt idx="58">
                  <c:v>Сорокина Феврония Геннадьевна</c:v>
                </c:pt>
                <c:pt idx="59">
                  <c:v>Полякова Анжела Аскольдовна</c:v>
                </c:pt>
                <c:pt idx="60">
                  <c:v>Игнатова Вера Вячеславовна</c:v>
                </c:pt>
                <c:pt idx="61">
                  <c:v>Тимофеев Аполлинарий Фомич</c:v>
                </c:pt>
                <c:pt idx="62">
                  <c:v>Кудрявцева Ульяна Филипповна</c:v>
                </c:pt>
                <c:pt idx="63">
                  <c:v>Шестакова Элеонора Дмитриевна</c:v>
                </c:pt>
                <c:pt idx="64">
                  <c:v>Калинин Лев Феодосьевич</c:v>
                </c:pt>
                <c:pt idx="65">
                  <c:v>Овчинникова Синклитикия Никифоровна</c:v>
                </c:pt>
                <c:pt idx="66">
                  <c:v>Воронов Еремей Бориславович</c:v>
                </c:pt>
                <c:pt idx="67">
                  <c:v>Тихонова Ираида Ефимовна</c:v>
                </c:pt>
                <c:pt idx="68">
                  <c:v>Муравьева Алла Петровна</c:v>
                </c:pt>
                <c:pt idx="69">
                  <c:v>Потапова Дарья Степановна</c:v>
                </c:pt>
                <c:pt idx="70">
                  <c:v>Осипов Светозар Ефремович</c:v>
                </c:pt>
                <c:pt idx="71">
                  <c:v>Фокин Самуил Зиновьевич</c:v>
                </c:pt>
                <c:pt idx="72">
                  <c:v>Красильников Павел Ермилович</c:v>
                </c:pt>
                <c:pt idx="73">
                  <c:v>Фомичев Карп Афанасьевич</c:v>
                </c:pt>
                <c:pt idx="74">
                  <c:v>Кудряшова Василиса Болеславовна</c:v>
                </c:pt>
                <c:pt idx="75">
                  <c:v>Панова Евгения Викторовна</c:v>
                </c:pt>
                <c:pt idx="76">
                  <c:v>Мясников Зосима Якубович</c:v>
                </c:pt>
                <c:pt idx="77">
                  <c:v>Самойлова Жанна Семеновна</c:v>
                </c:pt>
                <c:pt idx="78">
                  <c:v>Веселов Рубен Димитриевич</c:v>
                </c:pt>
                <c:pt idx="79">
                  <c:v>Цветков Лука Витальевич</c:v>
                </c:pt>
                <c:pt idx="80">
                  <c:v>Новикова Татьяна Михайловна</c:v>
                </c:pt>
                <c:pt idx="81">
                  <c:v>Ермакова Дарья Алексеевна</c:v>
                </c:pt>
                <c:pt idx="82">
                  <c:v>Владимирова Алина Феликсовна</c:v>
                </c:pt>
                <c:pt idx="83">
                  <c:v>Кузнецов Севастьян Валерьевич</c:v>
                </c:pt>
                <c:pt idx="84">
                  <c:v>Назарова Ия Ивановна</c:v>
                </c:pt>
                <c:pt idx="85">
                  <c:v>Лазарев Арефий Анатольевич</c:v>
                </c:pt>
                <c:pt idx="86">
                  <c:v>Никифоров Богдан Харитонович</c:v>
                </c:pt>
                <c:pt idx="87">
                  <c:v>Лобанов Елисей Игнатович</c:v>
                </c:pt>
                <c:pt idx="88">
                  <c:v>Степанова Синклитикия Александровна</c:v>
                </c:pt>
                <c:pt idx="89">
                  <c:v>Родионов Капитон Харитонович</c:v>
                </c:pt>
                <c:pt idx="90">
                  <c:v>Степанов Никита Виленович</c:v>
                </c:pt>
                <c:pt idx="91">
                  <c:v>Соловьев Родион Данилович</c:v>
                </c:pt>
                <c:pt idx="92">
                  <c:v>Носкова Вера Федоровна</c:v>
                </c:pt>
                <c:pt idx="93">
                  <c:v>Егоров Ладимир Гурьевич</c:v>
                </c:pt>
                <c:pt idx="94">
                  <c:v>Фокин Глеб Елизарович</c:v>
                </c:pt>
                <c:pt idx="95">
                  <c:v>Пестов Измаил Глебович</c:v>
                </c:pt>
                <c:pt idx="96">
                  <c:v>Зыкова Таисия Леонидовна</c:v>
                </c:pt>
                <c:pt idx="97">
                  <c:v>Мартынова Агата Олеговна</c:v>
                </c:pt>
                <c:pt idx="98">
                  <c:v>Королева Элеонора Ивановна</c:v>
                </c:pt>
                <c:pt idx="99">
                  <c:v>Морозов Андрон Валерьевич</c:v>
                </c:pt>
                <c:pt idx="100">
                  <c:v>Рябова Майя Вадимовна</c:v>
                </c:pt>
                <c:pt idx="101">
                  <c:v>Бирюков Олимпий Иосифович</c:v>
                </c:pt>
                <c:pt idx="102">
                  <c:v>Маслова Агафья Юрьевна</c:v>
                </c:pt>
                <c:pt idx="103">
                  <c:v>Филиппова Юлия Леоновна</c:v>
                </c:pt>
                <c:pt idx="104">
                  <c:v>Абрамова Евдокия Егоровна</c:v>
                </c:pt>
                <c:pt idx="105">
                  <c:v>Воробьев Мефодий Филиппович</c:v>
                </c:pt>
                <c:pt idx="106">
                  <c:v>Никонов Софон Авдеевич</c:v>
                </c:pt>
                <c:pt idx="107">
                  <c:v>Кошелева Марина Рудольфовна</c:v>
                </c:pt>
                <c:pt idx="108">
                  <c:v>Гурьев Влас Юлианович</c:v>
                </c:pt>
                <c:pt idx="109">
                  <c:v>Маслова Иванна Макаровна</c:v>
                </c:pt>
                <c:pt idx="110">
                  <c:v>Крюкова Лариса Романовна</c:v>
                </c:pt>
                <c:pt idx="111">
                  <c:v>Кабанов Капитон Феликсович</c:v>
                </c:pt>
                <c:pt idx="112">
                  <c:v>Мамонтов Елизар Харлампьевич</c:v>
                </c:pt>
                <c:pt idx="113">
                  <c:v>Цветкова Пелагея Антоновна</c:v>
                </c:pt>
                <c:pt idx="114">
                  <c:v>Лапин Эрнест Антипович</c:v>
                </c:pt>
                <c:pt idx="115">
                  <c:v>Нестеров Чеслав Аверьянович</c:v>
                </c:pt>
                <c:pt idx="116">
                  <c:v>Одинцов Анисим Евсеевич</c:v>
                </c:pt>
                <c:pt idx="117">
                  <c:v>Якушева Светлана Даниловна</c:v>
                </c:pt>
                <c:pt idx="118">
                  <c:v>Михайлова Олимпиада Львовна</c:v>
                </c:pt>
                <c:pt idx="119">
                  <c:v>Воробьев Захар Артемьевич</c:v>
                </c:pt>
                <c:pt idx="120">
                  <c:v>Колесников Константин Ефимьевич</c:v>
                </c:pt>
                <c:pt idx="121">
                  <c:v>Турова Лора Вадимовна</c:v>
                </c:pt>
                <c:pt idx="122">
                  <c:v>Исаков Юрий Августович</c:v>
                </c:pt>
                <c:pt idx="123">
                  <c:v>Карпова Евдокия Ефимовна</c:v>
                </c:pt>
                <c:pt idx="124">
                  <c:v>Абрамов Спиридон Чеславович</c:v>
                </c:pt>
                <c:pt idx="125">
                  <c:v>Авдеев Филипп Елисеевич</c:v>
                </c:pt>
                <c:pt idx="126">
                  <c:v>Воронцов Спиридон Владленович</c:v>
                </c:pt>
                <c:pt idx="127">
                  <c:v>Гаврилов Матвей Трифонович</c:v>
                </c:pt>
                <c:pt idx="128">
                  <c:v>Маркова Василиса Юрьевна</c:v>
                </c:pt>
                <c:pt idx="129">
                  <c:v>Калашников Боян Дорофеевич</c:v>
                </c:pt>
                <c:pt idx="130">
                  <c:v>Сорокина Феврония Натановна</c:v>
                </c:pt>
                <c:pt idx="131">
                  <c:v>Воронова Вероника Геннадьевна</c:v>
                </c:pt>
                <c:pt idx="132">
                  <c:v>Белоусова Марфа Архиповна</c:v>
                </c:pt>
                <c:pt idx="133">
                  <c:v>Дементьева Фёкла Натановна</c:v>
                </c:pt>
                <c:pt idx="134">
                  <c:v>Иванов Филимон Федотович</c:v>
                </c:pt>
                <c:pt idx="135">
                  <c:v>Гришин Творимир Артурович</c:v>
                </c:pt>
                <c:pt idx="136">
                  <c:v>Макарова Марфа Эдуардовна</c:v>
                </c:pt>
                <c:pt idx="137">
                  <c:v>Семенов Максим Анатольевич</c:v>
                </c:pt>
                <c:pt idx="138">
                  <c:v>Коновалов Родион Яковлевич</c:v>
                </c:pt>
                <c:pt idx="139">
                  <c:v>Миронов Аверкий Зиновьевич</c:v>
                </c:pt>
                <c:pt idx="140">
                  <c:v>Колесникова Агата Геннадьевна</c:v>
                </c:pt>
                <c:pt idx="141">
                  <c:v>Горшкова Клавдия Борисовна</c:v>
                </c:pt>
                <c:pt idx="142">
                  <c:v>Мамонтова Любовь Георгиевна</c:v>
                </c:pt>
                <c:pt idx="143">
                  <c:v>Суханов Станислав Архипович</c:v>
                </c:pt>
                <c:pt idx="144">
                  <c:v>Корнилов Марк Яковлевич</c:v>
                </c:pt>
                <c:pt idx="145">
                  <c:v>Стрелкова Наина Эдуардовна</c:v>
                </c:pt>
                <c:pt idx="146">
                  <c:v>Маслова Анастасия Станиславовна</c:v>
                </c:pt>
                <c:pt idx="147">
                  <c:v>Яковлев Феликс Ааронович</c:v>
                </c:pt>
                <c:pt idx="148">
                  <c:v>Боброва Валентина Захаровна</c:v>
                </c:pt>
                <c:pt idx="149">
                  <c:v>Шестаков Чеслав Виленович</c:v>
                </c:pt>
                <c:pt idx="150">
                  <c:v>Силин Антип Ильясович</c:v>
                </c:pt>
                <c:pt idx="151">
                  <c:v>Никитин Светозар Харлампьевич</c:v>
                </c:pt>
                <c:pt idx="152">
                  <c:v>Русакова Полина Михайловна</c:v>
                </c:pt>
                <c:pt idx="153">
                  <c:v>Макаров Велимир Игоревич</c:v>
                </c:pt>
                <c:pt idx="154">
                  <c:v>Юдин Амвросий Игнатович</c:v>
                </c:pt>
                <c:pt idx="155">
                  <c:v>Гуляева Раиса Кузьминична</c:v>
                </c:pt>
                <c:pt idx="156">
                  <c:v>Евдокимова Полина Николаевна</c:v>
                </c:pt>
                <c:pt idx="157">
                  <c:v>Дементьева Прасковья Петровна</c:v>
                </c:pt>
                <c:pt idx="158">
                  <c:v>Лукин Харлампий Игнатович</c:v>
                </c:pt>
                <c:pt idx="159">
                  <c:v>Шарапова Эмилия Руслановна</c:v>
                </c:pt>
                <c:pt idx="160">
                  <c:v>Третьякова Зоя Егоровна</c:v>
                </c:pt>
                <c:pt idx="161">
                  <c:v>Меркушева Марина Наумовна</c:v>
                </c:pt>
                <c:pt idx="162">
                  <c:v>Шубина Феврония Юрьевна</c:v>
                </c:pt>
                <c:pt idx="163">
                  <c:v>Тихонова Евфросиния Феликсовна</c:v>
                </c:pt>
                <c:pt idx="164">
                  <c:v>Брагин Август Вячеславович</c:v>
                </c:pt>
                <c:pt idx="165">
                  <c:v>Новикова Любовь Богдановна</c:v>
                </c:pt>
                <c:pt idx="166">
                  <c:v>Бобылева Анна Мироновна</c:v>
                </c:pt>
                <c:pt idx="167">
                  <c:v>Кулагина Феврония Антоновна</c:v>
                </c:pt>
                <c:pt idx="168">
                  <c:v>Кононова Прасковья Павловна</c:v>
                </c:pt>
                <c:pt idx="169">
                  <c:v>Горбунов Кир Васильевич</c:v>
                </c:pt>
                <c:pt idx="170">
                  <c:v>Копылова Эмилия Тарасовна</c:v>
                </c:pt>
                <c:pt idx="171">
                  <c:v>Логинов Агап Валерьевич</c:v>
                </c:pt>
                <c:pt idx="172">
                  <c:v>Дьячков Серафим Дорофеевич</c:v>
                </c:pt>
                <c:pt idx="173">
                  <c:v>Зуев Гостомысл Игоревич</c:v>
                </c:pt>
                <c:pt idx="174">
                  <c:v>Вишняков Ярослав Анатольевич</c:v>
                </c:pt>
                <c:pt idx="175">
                  <c:v>Белоусова Жанна Кузьминична</c:v>
                </c:pt>
                <c:pt idx="176">
                  <c:v>Лыткина Ираида Александровна</c:v>
                </c:pt>
                <c:pt idx="177">
                  <c:v>Фролова Анастасия Альбертовна</c:v>
                </c:pt>
                <c:pt idx="178">
                  <c:v>Горбачев Мирон Давидович</c:v>
                </c:pt>
                <c:pt idx="179">
                  <c:v>Морозова Феврония Николаевна</c:v>
                </c:pt>
                <c:pt idx="180">
                  <c:v>Самсонов Борислав Фролович</c:v>
                </c:pt>
                <c:pt idx="181">
                  <c:v>Зыкова Алевтина Михайловна</c:v>
                </c:pt>
                <c:pt idx="182">
                  <c:v>Петров Ратибор Арсеньевич</c:v>
                </c:pt>
                <c:pt idx="183">
                  <c:v>Князев Платон Андреевич</c:v>
                </c:pt>
                <c:pt idx="184">
                  <c:v>Цветкова Эмилия Болеславовна</c:v>
                </c:pt>
                <c:pt idx="185">
                  <c:v>Кононова Элеонора Юрьевна</c:v>
                </c:pt>
                <c:pt idx="186">
                  <c:v>Афанасьев Сократ Юльевич</c:v>
                </c:pt>
                <c:pt idx="187">
                  <c:v>Исаков Бажен Дмитриевич</c:v>
                </c:pt>
                <c:pt idx="188">
                  <c:v>Гурьев Евсей Гертрудович</c:v>
                </c:pt>
                <c:pt idx="189">
                  <c:v>Блинов Алексей Трифонович</c:v>
                </c:pt>
                <c:pt idx="190">
                  <c:v>Туров Любомир Валерианович</c:v>
                </c:pt>
                <c:pt idx="191">
                  <c:v>Белозеров Лука Харлампьевич</c:v>
                </c:pt>
                <c:pt idx="192">
                  <c:v>Чернова Раиса Станиславовна</c:v>
                </c:pt>
                <c:pt idx="193">
                  <c:v>Николаева Зинаида Ивановна</c:v>
                </c:pt>
                <c:pt idx="194">
                  <c:v>Горбунова Алевтина Максимовна</c:v>
                </c:pt>
                <c:pt idx="195">
                  <c:v>Васильева Анжелика Наумовна</c:v>
                </c:pt>
                <c:pt idx="196">
                  <c:v>Назарова Василиса Леоновна</c:v>
                </c:pt>
                <c:pt idx="197">
                  <c:v>Белова Анастасия Игоревна</c:v>
                </c:pt>
                <c:pt idx="198">
                  <c:v>Новикова Анжела Филипповна</c:v>
                </c:pt>
                <c:pt idx="199">
                  <c:v>Исакова Алевтина Алексеевна</c:v>
                </c:pt>
                <c:pt idx="200">
                  <c:v>Моисеев Евстафий Чеславович</c:v>
                </c:pt>
                <c:pt idx="201">
                  <c:v>Пономарев Творимир Демидович</c:v>
                </c:pt>
                <c:pt idx="202">
                  <c:v>Волков Викентий Герасимович</c:v>
                </c:pt>
                <c:pt idx="203">
                  <c:v>Журавлева Нинель Кузьминична</c:v>
                </c:pt>
                <c:pt idx="204">
                  <c:v>Новиков Галактион Жанович</c:v>
                </c:pt>
                <c:pt idx="205">
                  <c:v>Соловьева Евдокия Эдуардовна</c:v>
                </c:pt>
                <c:pt idx="206">
                  <c:v>Максимова Елена Валериевна</c:v>
                </c:pt>
                <c:pt idx="207">
                  <c:v>Ефимова Алевтина Архиповна</c:v>
                </c:pt>
                <c:pt idx="208">
                  <c:v>Орехова Кира Натановна</c:v>
                </c:pt>
                <c:pt idx="209">
                  <c:v>Шарова Екатерина Леоновна</c:v>
                </c:pt>
                <c:pt idx="210">
                  <c:v>Лихачев Михей Феликсович</c:v>
                </c:pt>
                <c:pt idx="211">
                  <c:v>Лазарева Нинель Натановна</c:v>
                </c:pt>
                <c:pt idx="212">
                  <c:v>Миронов Фома Вилорович</c:v>
                </c:pt>
                <c:pt idx="213">
                  <c:v>Кулакова Нина Семеновна</c:v>
                </c:pt>
                <c:pt idx="214">
                  <c:v>Титова Ксения Дмитриевна</c:v>
                </c:pt>
                <c:pt idx="215">
                  <c:v>Лукин Борис Власович</c:v>
                </c:pt>
                <c:pt idx="216">
                  <c:v>Фомичева Феврония Даниловна</c:v>
                </c:pt>
                <c:pt idx="217">
                  <c:v>Щукин Христофор Авдеевич</c:v>
                </c:pt>
                <c:pt idx="218">
                  <c:v>Фомина Алла Геннадьевна</c:v>
                </c:pt>
                <c:pt idx="219">
                  <c:v>Гурьева Людмила Владимировна</c:v>
                </c:pt>
                <c:pt idx="220">
                  <c:v>Власов Адриан Чеславович</c:v>
                </c:pt>
                <c:pt idx="221">
                  <c:v>Зуева Маргарита Ждановна</c:v>
                </c:pt>
                <c:pt idx="222">
                  <c:v>Николаева Светлана Семеновна</c:v>
                </c:pt>
                <c:pt idx="223">
                  <c:v>Захаров Эммануил Филимонович</c:v>
                </c:pt>
                <c:pt idx="224">
                  <c:v>Русаков Лев Тимурович</c:v>
                </c:pt>
                <c:pt idx="225">
                  <c:v>Ефимова Анна Филипповна</c:v>
                </c:pt>
                <c:pt idx="226">
                  <c:v>Брагина Зоя Кирилловна</c:v>
                </c:pt>
                <c:pt idx="227">
                  <c:v>Данилова Ольга Аскольдовна</c:v>
                </c:pt>
                <c:pt idx="228">
                  <c:v>Зуев Трифон Зиновьевич</c:v>
                </c:pt>
                <c:pt idx="229">
                  <c:v>Кузьмин Пахом Даниилович</c:v>
                </c:pt>
                <c:pt idx="230">
                  <c:v>Владимиров Орест Артемьевич</c:v>
                </c:pt>
                <c:pt idx="231">
                  <c:v>Назаров Назар Августович</c:v>
                </c:pt>
                <c:pt idx="232">
                  <c:v>Большаков Антип Тихонович</c:v>
                </c:pt>
                <c:pt idx="233">
                  <c:v>Медведев Гордей Матвеевич</c:v>
                </c:pt>
                <c:pt idx="234">
                  <c:v>Калинин Фадей Ефимович</c:v>
                </c:pt>
                <c:pt idx="235">
                  <c:v>Зимина Октябрина Павловна</c:v>
                </c:pt>
                <c:pt idx="236">
                  <c:v>Некрасова Вера Георгиевна</c:v>
                </c:pt>
                <c:pt idx="237">
                  <c:v>Пономарев Любомир Архипович</c:v>
                </c:pt>
                <c:pt idx="238">
                  <c:v>Третьяков Владилен Иосифович</c:v>
                </c:pt>
                <c:pt idx="239">
                  <c:v>Михайлова Лора Наумовна</c:v>
                </c:pt>
                <c:pt idx="240">
                  <c:v>Маркова Ксения Максимовна</c:v>
                </c:pt>
                <c:pt idx="241">
                  <c:v>Ермаков Ярослав Тихонович</c:v>
                </c:pt>
                <c:pt idx="242">
                  <c:v>Нестерова Регина Кирилловна</c:v>
                </c:pt>
                <c:pt idx="243">
                  <c:v>Стрелков Геннадий Бориславович</c:v>
                </c:pt>
                <c:pt idx="244">
                  <c:v>Блинов Натан Всеволодович</c:v>
                </c:pt>
                <c:pt idx="245">
                  <c:v>Баранов Эраст Терентьевич</c:v>
                </c:pt>
                <c:pt idx="246">
                  <c:v>Новикова Лидия Павловна</c:v>
                </c:pt>
                <c:pt idx="247">
                  <c:v>Исакова Людмила Олеговна</c:v>
                </c:pt>
                <c:pt idx="248">
                  <c:v>Алексеев Касьян Ефимович</c:v>
                </c:pt>
                <c:pt idx="249">
                  <c:v>Медведева Алина Алексеевна</c:v>
                </c:pt>
                <c:pt idx="250">
                  <c:v>Филиппов Павел Игнатович</c:v>
                </c:pt>
                <c:pt idx="251">
                  <c:v>Сысоева Светлана Захаровна</c:v>
                </c:pt>
                <c:pt idx="252">
                  <c:v>Хохлова Клавдия Константиновна</c:v>
                </c:pt>
                <c:pt idx="253">
                  <c:v>Константинов Милован Денисович</c:v>
                </c:pt>
                <c:pt idx="254">
                  <c:v>Сазонова Оксана Александровна</c:v>
                </c:pt>
                <c:pt idx="255">
                  <c:v>Самойлова Татьяна Эльдаровна</c:v>
                </c:pt>
                <c:pt idx="256">
                  <c:v>Иванов Христофор Ильясович</c:v>
                </c:pt>
                <c:pt idx="257">
                  <c:v>Лыткина Вера Ждановна</c:v>
                </c:pt>
                <c:pt idx="258">
                  <c:v>Лобанов Арсений Вилорович</c:v>
                </c:pt>
                <c:pt idx="259">
                  <c:v>Мамонтов Чеслав Бориславович</c:v>
                </c:pt>
                <c:pt idx="260">
                  <c:v>Ильина Милица Захаровна</c:v>
                </c:pt>
                <c:pt idx="261">
                  <c:v>Рожкова Анжелика Валериевна</c:v>
                </c:pt>
                <c:pt idx="262">
                  <c:v>Одинцова Любовь Альбертовна</c:v>
                </c:pt>
                <c:pt idx="263">
                  <c:v>Чернова Евфросиния Петровна</c:v>
                </c:pt>
                <c:pt idx="264">
                  <c:v>Никитина Лора Георгиевна</c:v>
                </c:pt>
                <c:pt idx="265">
                  <c:v>Сергеев Эдуард Фадеевич</c:v>
                </c:pt>
                <c:pt idx="266">
                  <c:v>Лапина Елизавета Яковлевна</c:v>
                </c:pt>
                <c:pt idx="267">
                  <c:v>Морозова Майя Борисовна</c:v>
                </c:pt>
                <c:pt idx="268">
                  <c:v>Зимин Ипатий Устинович</c:v>
                </c:pt>
                <c:pt idx="269">
                  <c:v>Савин Николай Гавриилович</c:v>
                </c:pt>
                <c:pt idx="270">
                  <c:v>Ковалева Клавдия Богдановна</c:v>
                </c:pt>
                <c:pt idx="271">
                  <c:v>Воробьева Иванна Юрьевна</c:v>
                </c:pt>
                <c:pt idx="272">
                  <c:v>Лазарев Аникей Венедиктович</c:v>
                </c:pt>
                <c:pt idx="273">
                  <c:v>Абрамов Адриан Фролович</c:v>
                </c:pt>
                <c:pt idx="274">
                  <c:v>Белякова Алевтина Ефимовна</c:v>
                </c:pt>
                <c:pt idx="275">
                  <c:v>Воробьева Анжела Аскольдовна</c:v>
                </c:pt>
                <c:pt idx="276">
                  <c:v>Шаров Панфил Федотович</c:v>
                </c:pt>
                <c:pt idx="277">
                  <c:v>Кудряшова Елена Эдуардовна</c:v>
                </c:pt>
                <c:pt idx="278">
                  <c:v>Виноградов Карл Алексеевич</c:v>
                </c:pt>
                <c:pt idx="279">
                  <c:v>Миронова Клавдия Феликсовна</c:v>
                </c:pt>
                <c:pt idx="280">
                  <c:v>Колесникова Наталья Геннадьевна</c:v>
                </c:pt>
                <c:pt idx="281">
                  <c:v>Сергеев Панкратий Теймуразович</c:v>
                </c:pt>
                <c:pt idx="282">
                  <c:v>Брагина Полина Евгеньевна</c:v>
                </c:pt>
                <c:pt idx="283">
                  <c:v>Блинова Вероника Сергеевна</c:v>
                </c:pt>
                <c:pt idx="284">
                  <c:v>Фомина Евпраксия Федоровна</c:v>
                </c:pt>
                <c:pt idx="285">
                  <c:v>Беляков Филимон Ефимьевич</c:v>
                </c:pt>
                <c:pt idx="286">
                  <c:v>Наумова Юлия Леоновна</c:v>
                </c:pt>
                <c:pt idx="287">
                  <c:v>Никитина Виктория Наумовна</c:v>
                </c:pt>
                <c:pt idx="288">
                  <c:v>Авдеев Ираклий Изотович</c:v>
                </c:pt>
                <c:pt idx="289">
                  <c:v>Горшкова Василиса Святославовна</c:v>
                </c:pt>
                <c:pt idx="290">
                  <c:v>Давыдов Леонид Арсенович</c:v>
                </c:pt>
                <c:pt idx="291">
                  <c:v>Евдокимов Януарий Феликсович</c:v>
                </c:pt>
                <c:pt idx="292">
                  <c:v>Молчанов Якуб Филатович</c:v>
                </c:pt>
                <c:pt idx="293">
                  <c:v>Белова Ия Робертовна</c:v>
                </c:pt>
                <c:pt idx="294">
                  <c:v>Веселов Любосмысл Тихонович</c:v>
                </c:pt>
                <c:pt idx="295">
                  <c:v>Панов Ипат Дмитриевич</c:v>
                </c:pt>
                <c:pt idx="296">
                  <c:v>Комиссаров Корнил Адрианович</c:v>
                </c:pt>
                <c:pt idx="297">
                  <c:v>Алексеев Харлампий Демьянович</c:v>
                </c:pt>
                <c:pt idx="298">
                  <c:v>Маслов Сократ Анатольевич</c:v>
                </c:pt>
                <c:pt idx="299">
                  <c:v>Калинина Эмилия Олеговна</c:v>
                </c:pt>
                <c:pt idx="300">
                  <c:v>Миронова Евфросиния Тимофеевна</c:v>
                </c:pt>
                <c:pt idx="301">
                  <c:v>Рожкова Евгения Георгиевна</c:v>
                </c:pt>
                <c:pt idx="302">
                  <c:v>Дорофеев Феофан Гурьевич</c:v>
                </c:pt>
                <c:pt idx="303">
                  <c:v>Григорьева Анжела Ивановна</c:v>
                </c:pt>
                <c:pt idx="304">
                  <c:v>Мартынов Фома Гордеевич</c:v>
                </c:pt>
                <c:pt idx="305">
                  <c:v>Маслов Ратибор Андреевич</c:v>
                </c:pt>
                <c:pt idx="306">
                  <c:v>Евсеев Амос Гордеевич</c:v>
                </c:pt>
                <c:pt idx="307">
                  <c:v>Зиновьев Сидор Вячеславович</c:v>
                </c:pt>
                <c:pt idx="308">
                  <c:v>Белоусова Ираида Феликсовна</c:v>
                </c:pt>
                <c:pt idx="309">
                  <c:v>Корнилов Леон Иосипович</c:v>
                </c:pt>
                <c:pt idx="310">
                  <c:v>Калинин Герман Арсеньевич</c:v>
                </c:pt>
                <c:pt idx="311">
                  <c:v>Мясников Демид Антонович</c:v>
                </c:pt>
                <c:pt idx="312">
                  <c:v>Никонов Лонгин Арсенович</c:v>
                </c:pt>
                <c:pt idx="313">
                  <c:v>Трофимова Василиса Матвеевна</c:v>
                </c:pt>
                <c:pt idx="314">
                  <c:v>Кузнецова Алевтина Егоровна</c:v>
                </c:pt>
                <c:pt idx="315">
                  <c:v>Белоусова Прасковья Яковлевна</c:v>
                </c:pt>
                <c:pt idx="316">
                  <c:v>Копылова Жанна Архиповна</c:v>
                </c:pt>
                <c:pt idx="317">
                  <c:v>Копылов Мартьян Августович</c:v>
                </c:pt>
                <c:pt idx="318">
                  <c:v>Авдеева Ксения Кузьминична</c:v>
                </c:pt>
                <c:pt idx="319">
                  <c:v>Фомичев Ипполит Артурович</c:v>
                </c:pt>
                <c:pt idx="320">
                  <c:v>Цветков Валерьян Федосеевич</c:v>
                </c:pt>
                <c:pt idx="321">
                  <c:v>Панова Зоя Вячеславовна</c:v>
                </c:pt>
                <c:pt idx="322">
                  <c:v>Носкова Ольга Ждановна</c:v>
                </c:pt>
                <c:pt idx="323">
                  <c:v>Никифорова Анна Альбертовна</c:v>
                </c:pt>
                <c:pt idx="324">
                  <c:v>Бирюкова Агафья Артемовна</c:v>
                </c:pt>
                <c:pt idx="325">
                  <c:v>Мухин Дементий Антипович</c:v>
                </c:pt>
                <c:pt idx="326">
                  <c:v>Федорова Жанна Вадимовна</c:v>
                </c:pt>
                <c:pt idx="327">
                  <c:v>Прохорова Галина Кирилловна</c:v>
                </c:pt>
                <c:pt idx="328">
                  <c:v>Иванова Людмила Борисовна</c:v>
                </c:pt>
                <c:pt idx="329">
                  <c:v>Капустина Тамара Валериевна</c:v>
                </c:pt>
                <c:pt idx="330">
                  <c:v>Крюкова Лидия Андреевна</c:v>
                </c:pt>
                <c:pt idx="331">
                  <c:v>Сидорова Алла Рудольфовна</c:v>
                </c:pt>
                <c:pt idx="332">
                  <c:v>Петрова Майя Богдановна</c:v>
                </c:pt>
                <c:pt idx="333">
                  <c:v>Игнатов Виктор Марсович</c:v>
                </c:pt>
                <c:pt idx="334">
                  <c:v>Абрамова Елизавета Эдуардовна</c:v>
                </c:pt>
                <c:pt idx="335">
                  <c:v>Волкова Валентина Николаевна</c:v>
                </c:pt>
                <c:pt idx="336">
                  <c:v>Бобров Никодим Игоревич</c:v>
                </c:pt>
                <c:pt idx="337">
                  <c:v>Новиков Ростислав Августович</c:v>
                </c:pt>
                <c:pt idx="338">
                  <c:v>Ефимова Регина Сергеевна</c:v>
                </c:pt>
                <c:pt idx="339">
                  <c:v>Рогов Сила Гордеевич</c:v>
                </c:pt>
                <c:pt idx="340">
                  <c:v>Беляков Лавр Харлампович</c:v>
                </c:pt>
                <c:pt idx="341">
                  <c:v>Белякова Юлия Геннадиевна</c:v>
                </c:pt>
                <c:pt idx="342">
                  <c:v>Евсеев Ратмир Артемьевич</c:v>
                </c:pt>
                <c:pt idx="343">
                  <c:v>Шестакова Алина Михайловна</c:v>
                </c:pt>
                <c:pt idx="344">
                  <c:v>Гаврилов Амвросий Артемьевич</c:v>
                </c:pt>
                <c:pt idx="345">
                  <c:v>Гущин Александр Архипович</c:v>
                </c:pt>
                <c:pt idx="346">
                  <c:v>Кондратьева Валентина Львовна</c:v>
                </c:pt>
                <c:pt idx="347">
                  <c:v>Лаврентьева Вера Владиславовна</c:v>
                </c:pt>
                <c:pt idx="348">
                  <c:v>Калинин Никита Артурович</c:v>
                </c:pt>
                <c:pt idx="349">
                  <c:v>Григорьева Ульяна Артемовна</c:v>
                </c:pt>
                <c:pt idx="350">
                  <c:v>Кулакова Екатерина Рудольфовна</c:v>
                </c:pt>
                <c:pt idx="351">
                  <c:v>Копылов Лаврентий Артемьевич</c:v>
                </c:pt>
                <c:pt idx="352">
                  <c:v>Бобылев Никодим Виленович</c:v>
                </c:pt>
                <c:pt idx="353">
                  <c:v>Данилова Любовь Романовна</c:v>
                </c:pt>
                <c:pt idx="354">
                  <c:v>Журавлева Юлия Вячеславовна</c:v>
                </c:pt>
                <c:pt idx="355">
                  <c:v>Сергеева Иванна Захаровна</c:v>
                </c:pt>
                <c:pt idx="356">
                  <c:v>Галкина Агата Юрьевна</c:v>
                </c:pt>
                <c:pt idx="357">
                  <c:v>Якушева Таисия Богдановна</c:v>
                </c:pt>
                <c:pt idx="358">
                  <c:v>Журавлева Александра Валентиновна</c:v>
                </c:pt>
                <c:pt idx="359">
                  <c:v>Зайцев Ефрем Даниилович</c:v>
                </c:pt>
                <c:pt idx="360">
                  <c:v>Капустина Любовь Павловна</c:v>
                </c:pt>
                <c:pt idx="361">
                  <c:v>Никифоров Виктор Жанович</c:v>
                </c:pt>
                <c:pt idx="362">
                  <c:v>Щукина Элеонора Робертовна</c:v>
                </c:pt>
                <c:pt idx="363">
                  <c:v>Богданов Матвей Адамович</c:v>
                </c:pt>
                <c:pt idx="364">
                  <c:v>Александрова Эмилия Вадимовна</c:v>
                </c:pt>
                <c:pt idx="365">
                  <c:v>Герасимов Еремей Демидович</c:v>
                </c:pt>
                <c:pt idx="366">
                  <c:v>Вишняков Фома Викентьевич</c:v>
                </c:pt>
                <c:pt idx="367">
                  <c:v>Силина Татьяна Аркадьевна</c:v>
                </c:pt>
                <c:pt idx="368">
                  <c:v>Родионова Ираида Егоровна</c:v>
                </c:pt>
                <c:pt idx="369">
                  <c:v>Новикова Ия Рубеновна</c:v>
                </c:pt>
                <c:pt idx="370">
                  <c:v>Ефремова Вероника Руслановна</c:v>
                </c:pt>
                <c:pt idx="371">
                  <c:v>Лаврентьева Маргарита Артемовна</c:v>
                </c:pt>
                <c:pt idx="372">
                  <c:v>Жданов Аверьян Валерьевич</c:v>
                </c:pt>
                <c:pt idx="373">
                  <c:v>Кудряшов Влас Алексеевич</c:v>
                </c:pt>
                <c:pt idx="374">
                  <c:v>Ермаков Вадим Юлианович</c:v>
                </c:pt>
                <c:pt idx="375">
                  <c:v>Потапов Никодим Арсенович</c:v>
                </c:pt>
                <c:pt idx="376">
                  <c:v>Поляков Силантий Адамович</c:v>
                </c:pt>
                <c:pt idx="377">
                  <c:v>Абрамов Амвросий Богданович</c:v>
                </c:pt>
                <c:pt idx="378">
                  <c:v>Васильев Милован Георгиевич</c:v>
                </c:pt>
                <c:pt idx="379">
                  <c:v>Максимова Евпраксия Ждановна</c:v>
                </c:pt>
                <c:pt idx="380">
                  <c:v>Филиппов Автоном Терентьевич</c:v>
                </c:pt>
                <c:pt idx="381">
                  <c:v>Герасимов Родион Харитонович</c:v>
                </c:pt>
                <c:pt idx="382">
                  <c:v>Семенова Валентина Кирилловна</c:v>
                </c:pt>
                <c:pt idx="383">
                  <c:v>Мухин Давыд Филатович</c:v>
                </c:pt>
                <c:pt idx="384">
                  <c:v>Давыдов Амос Владиславович</c:v>
                </c:pt>
                <c:pt idx="385">
                  <c:v>Федотов Радислав Антонович</c:v>
                </c:pt>
                <c:pt idx="386">
                  <c:v>Третьяков Никита Венедиктович</c:v>
                </c:pt>
                <c:pt idx="387">
                  <c:v>Иванова Иванна Наумовна</c:v>
                </c:pt>
                <c:pt idx="388">
                  <c:v>Королев Феофан Бориславович</c:v>
                </c:pt>
                <c:pt idx="389">
                  <c:v>Родионова Евпраксия Олеговна</c:v>
                </c:pt>
                <c:pt idx="390">
                  <c:v>Шарова Ирина Макаровна</c:v>
                </c:pt>
                <c:pt idx="391">
                  <c:v>Петухова Галина Семеновна</c:v>
                </c:pt>
                <c:pt idx="392">
                  <c:v>Суханова Алла Эльдаровна</c:v>
                </c:pt>
                <c:pt idx="393">
                  <c:v>Савельев Климент Гурьевич</c:v>
                </c:pt>
                <c:pt idx="394">
                  <c:v>Данилова Елизавета Артемовна</c:v>
                </c:pt>
                <c:pt idx="395">
                  <c:v>Сорокина Марфа Викторовна</c:v>
                </c:pt>
                <c:pt idx="396">
                  <c:v>Александров Прокл Тимурович</c:v>
                </c:pt>
                <c:pt idx="397">
                  <c:v>Кириллов Валерьян Иосипович</c:v>
                </c:pt>
                <c:pt idx="398">
                  <c:v>Якушев Мина Гавриилович</c:v>
                </c:pt>
                <c:pt idx="399">
                  <c:v>Ермаков Степан Егорович</c:v>
                </c:pt>
                <c:pt idx="400">
                  <c:v>Поляков Боян Андреевич</c:v>
                </c:pt>
                <c:pt idx="401">
                  <c:v>Федосеева Вероника Евгеньевна</c:v>
                </c:pt>
                <c:pt idx="402">
                  <c:v>Баранова Раиса Эльдаровна</c:v>
                </c:pt>
                <c:pt idx="403">
                  <c:v>Денисов Дмитрий Трифонович</c:v>
                </c:pt>
                <c:pt idx="404">
                  <c:v>Федотова Ангелина Максимовна</c:v>
                </c:pt>
                <c:pt idx="405">
                  <c:v>Захаров Леон Аверьянович</c:v>
                </c:pt>
                <c:pt idx="406">
                  <c:v>Семенова Жанна Станиславовна</c:v>
                </c:pt>
                <c:pt idx="407">
                  <c:v>Артемьева София Ильинична</c:v>
                </c:pt>
                <c:pt idx="408">
                  <c:v>Устинов Милан Архипович</c:v>
                </c:pt>
                <c:pt idx="409">
                  <c:v>Лапина Ия Никифоровна</c:v>
                </c:pt>
                <c:pt idx="410">
                  <c:v>Фадеев Фрол Авдеевич</c:v>
                </c:pt>
                <c:pt idx="411">
                  <c:v>Шубин Орест Августович</c:v>
                </c:pt>
                <c:pt idx="412">
                  <c:v>Авдеев Олимпий Жанович</c:v>
                </c:pt>
                <c:pt idx="413">
                  <c:v>Белов Симон Иосипович</c:v>
                </c:pt>
                <c:pt idx="414">
                  <c:v>Фомина Антонина Павловна</c:v>
                </c:pt>
                <c:pt idx="415">
                  <c:v>Стрелков Любомир Ермолаевич</c:v>
                </c:pt>
                <c:pt idx="416">
                  <c:v>Григорьев Сократ Ануфриевич</c:v>
                </c:pt>
                <c:pt idx="417">
                  <c:v>Потапова Лора Болеславовна</c:v>
                </c:pt>
                <c:pt idx="418">
                  <c:v>Куликова Евгения Григорьевна</c:v>
                </c:pt>
                <c:pt idx="419">
                  <c:v>Кириллова Пелагея Юльевна</c:v>
                </c:pt>
                <c:pt idx="420">
                  <c:v>Брагин Любим Зиновьевич</c:v>
                </c:pt>
                <c:pt idx="421">
                  <c:v>Журавлев Аристарх Евсеевич</c:v>
                </c:pt>
                <c:pt idx="422">
                  <c:v>Родионов Флорентин Демьянович</c:v>
                </c:pt>
                <c:pt idx="423">
                  <c:v>Владимиров Авдей Брониславович</c:v>
                </c:pt>
                <c:pt idx="424">
                  <c:v>Мельникова Глафира Николаевна</c:v>
                </c:pt>
                <c:pt idx="425">
                  <c:v>Назаров Пантелеймон Трофимович</c:v>
                </c:pt>
                <c:pt idx="426">
                  <c:v>Овчинникова Зоя Вячеславовна</c:v>
                </c:pt>
                <c:pt idx="427">
                  <c:v>Кошелев Эммануил Ааронович</c:v>
                </c:pt>
                <c:pt idx="428">
                  <c:v>Фролов Савватий Богданович</c:v>
                </c:pt>
                <c:pt idx="429">
                  <c:v>Гущин Ипполит Яковлевич</c:v>
                </c:pt>
                <c:pt idx="430">
                  <c:v>Гурьева Лариса Степановна</c:v>
                </c:pt>
                <c:pt idx="431">
                  <c:v>Смирнова Мария Анатольевна</c:v>
                </c:pt>
                <c:pt idx="432">
                  <c:v>Власов Лука Игнатьевич</c:v>
                </c:pt>
                <c:pt idx="433">
                  <c:v>Гурьев Сила Денисович</c:v>
                </c:pt>
              </c:strCache>
            </c:strRef>
          </c:cat>
          <c:val>
            <c:numRef>
              <c:f>'Продолжит.нахождения клиентов'!$B$4:$B$437</c:f>
              <c:numCache>
                <c:formatCode>0.0</c:formatCode>
                <c:ptCount val="434"/>
                <c:pt idx="0">
                  <c:v>48.6</c:v>
                </c:pt>
                <c:pt idx="1">
                  <c:v>48.56666666666667</c:v>
                </c:pt>
                <c:pt idx="2">
                  <c:v>48.56666666666667</c:v>
                </c:pt>
                <c:pt idx="3">
                  <c:v>48.56666666666667</c:v>
                </c:pt>
                <c:pt idx="4">
                  <c:v>48.56666666666667</c:v>
                </c:pt>
                <c:pt idx="5">
                  <c:v>48.533333333333331</c:v>
                </c:pt>
                <c:pt idx="6">
                  <c:v>48.5</c:v>
                </c:pt>
                <c:pt idx="7">
                  <c:v>48.5</c:v>
                </c:pt>
                <c:pt idx="8">
                  <c:v>48.4</c:v>
                </c:pt>
                <c:pt idx="9">
                  <c:v>48.4</c:v>
                </c:pt>
                <c:pt idx="10">
                  <c:v>48.4</c:v>
                </c:pt>
                <c:pt idx="11">
                  <c:v>48.4</c:v>
                </c:pt>
                <c:pt idx="12">
                  <c:v>48.366666666666667</c:v>
                </c:pt>
                <c:pt idx="13">
                  <c:v>48.333333333333336</c:v>
                </c:pt>
                <c:pt idx="14">
                  <c:v>48.333333333333336</c:v>
                </c:pt>
                <c:pt idx="15">
                  <c:v>48.333333333333336</c:v>
                </c:pt>
                <c:pt idx="16">
                  <c:v>48.3</c:v>
                </c:pt>
                <c:pt idx="17">
                  <c:v>48.266666666666666</c:v>
                </c:pt>
                <c:pt idx="18">
                  <c:v>48.233333333333334</c:v>
                </c:pt>
                <c:pt idx="19">
                  <c:v>48.233333333333334</c:v>
                </c:pt>
                <c:pt idx="20">
                  <c:v>48.166666666666664</c:v>
                </c:pt>
                <c:pt idx="21">
                  <c:v>48.133333333333333</c:v>
                </c:pt>
                <c:pt idx="22">
                  <c:v>48.133333333333333</c:v>
                </c:pt>
                <c:pt idx="23">
                  <c:v>48.1</c:v>
                </c:pt>
                <c:pt idx="24">
                  <c:v>48.1</c:v>
                </c:pt>
                <c:pt idx="25">
                  <c:v>48.06666666666667</c:v>
                </c:pt>
                <c:pt idx="26">
                  <c:v>48</c:v>
                </c:pt>
                <c:pt idx="27">
                  <c:v>48</c:v>
                </c:pt>
                <c:pt idx="28">
                  <c:v>47.966666666666669</c:v>
                </c:pt>
                <c:pt idx="29">
                  <c:v>47.966666666666669</c:v>
                </c:pt>
                <c:pt idx="30">
                  <c:v>47.93333333333333</c:v>
                </c:pt>
                <c:pt idx="31">
                  <c:v>47.93333333333333</c:v>
                </c:pt>
                <c:pt idx="32">
                  <c:v>47.866666666666667</c:v>
                </c:pt>
                <c:pt idx="33">
                  <c:v>47.866666666666667</c:v>
                </c:pt>
                <c:pt idx="34">
                  <c:v>47.833333333333336</c:v>
                </c:pt>
                <c:pt idx="35">
                  <c:v>47.833333333333336</c:v>
                </c:pt>
                <c:pt idx="36">
                  <c:v>47.833333333333336</c:v>
                </c:pt>
                <c:pt idx="37">
                  <c:v>47.8</c:v>
                </c:pt>
                <c:pt idx="38">
                  <c:v>47.766666666666666</c:v>
                </c:pt>
                <c:pt idx="39">
                  <c:v>47.766666666666666</c:v>
                </c:pt>
                <c:pt idx="40">
                  <c:v>47.733333333333334</c:v>
                </c:pt>
                <c:pt idx="41">
                  <c:v>47.733333333333334</c:v>
                </c:pt>
                <c:pt idx="42">
                  <c:v>47.733333333333334</c:v>
                </c:pt>
                <c:pt idx="43">
                  <c:v>47.633333333333333</c:v>
                </c:pt>
                <c:pt idx="44">
                  <c:v>47.56666666666667</c:v>
                </c:pt>
                <c:pt idx="45">
                  <c:v>47.533333333333331</c:v>
                </c:pt>
                <c:pt idx="46">
                  <c:v>47.5</c:v>
                </c:pt>
                <c:pt idx="47">
                  <c:v>47.366666666666667</c:v>
                </c:pt>
                <c:pt idx="48">
                  <c:v>47.366666666666667</c:v>
                </c:pt>
                <c:pt idx="49">
                  <c:v>47.333333333333336</c:v>
                </c:pt>
                <c:pt idx="50">
                  <c:v>47.3</c:v>
                </c:pt>
                <c:pt idx="51">
                  <c:v>47.3</c:v>
                </c:pt>
                <c:pt idx="52">
                  <c:v>47.3</c:v>
                </c:pt>
                <c:pt idx="53">
                  <c:v>47.266666666666666</c:v>
                </c:pt>
                <c:pt idx="54">
                  <c:v>47.266666666666666</c:v>
                </c:pt>
                <c:pt idx="55">
                  <c:v>47.233333333333334</c:v>
                </c:pt>
                <c:pt idx="56">
                  <c:v>47.166666666666664</c:v>
                </c:pt>
                <c:pt idx="57">
                  <c:v>47.166666666666664</c:v>
                </c:pt>
                <c:pt idx="58">
                  <c:v>47.1</c:v>
                </c:pt>
                <c:pt idx="59">
                  <c:v>47.06666666666667</c:v>
                </c:pt>
                <c:pt idx="60">
                  <c:v>47.06666666666667</c:v>
                </c:pt>
                <c:pt idx="61">
                  <c:v>47.06666666666667</c:v>
                </c:pt>
                <c:pt idx="62">
                  <c:v>47.033333333333331</c:v>
                </c:pt>
                <c:pt idx="63">
                  <c:v>46.93333333333333</c:v>
                </c:pt>
                <c:pt idx="64">
                  <c:v>46.8</c:v>
                </c:pt>
                <c:pt idx="65">
                  <c:v>46.8</c:v>
                </c:pt>
                <c:pt idx="66">
                  <c:v>46.766666666666666</c:v>
                </c:pt>
                <c:pt idx="67">
                  <c:v>46.733333333333334</c:v>
                </c:pt>
                <c:pt idx="68">
                  <c:v>46.733333333333334</c:v>
                </c:pt>
                <c:pt idx="69">
                  <c:v>46.7</c:v>
                </c:pt>
                <c:pt idx="70">
                  <c:v>46.7</c:v>
                </c:pt>
                <c:pt idx="71">
                  <c:v>46.7</c:v>
                </c:pt>
                <c:pt idx="72">
                  <c:v>46.666666666666664</c:v>
                </c:pt>
                <c:pt idx="73">
                  <c:v>46.633333333333333</c:v>
                </c:pt>
                <c:pt idx="74">
                  <c:v>46.633333333333333</c:v>
                </c:pt>
                <c:pt idx="75">
                  <c:v>46.6</c:v>
                </c:pt>
                <c:pt idx="76">
                  <c:v>46.56666666666667</c:v>
                </c:pt>
                <c:pt idx="77">
                  <c:v>46.56666666666667</c:v>
                </c:pt>
                <c:pt idx="78">
                  <c:v>46.56666666666667</c:v>
                </c:pt>
                <c:pt idx="79">
                  <c:v>46.5</c:v>
                </c:pt>
                <c:pt idx="80">
                  <c:v>46.43333333333333</c:v>
                </c:pt>
                <c:pt idx="81">
                  <c:v>46.4</c:v>
                </c:pt>
                <c:pt idx="82">
                  <c:v>46.4</c:v>
                </c:pt>
                <c:pt idx="83">
                  <c:v>46.333333333333336</c:v>
                </c:pt>
                <c:pt idx="84">
                  <c:v>46.3</c:v>
                </c:pt>
                <c:pt idx="85">
                  <c:v>46.266666666666666</c:v>
                </c:pt>
                <c:pt idx="86">
                  <c:v>46.166666666666664</c:v>
                </c:pt>
                <c:pt idx="87">
                  <c:v>46.166666666666664</c:v>
                </c:pt>
                <c:pt idx="88">
                  <c:v>46.133333333333333</c:v>
                </c:pt>
                <c:pt idx="89">
                  <c:v>46.133333333333333</c:v>
                </c:pt>
                <c:pt idx="90">
                  <c:v>46.1</c:v>
                </c:pt>
                <c:pt idx="91">
                  <c:v>46.033333333333331</c:v>
                </c:pt>
                <c:pt idx="92">
                  <c:v>45.9</c:v>
                </c:pt>
                <c:pt idx="93">
                  <c:v>45.9</c:v>
                </c:pt>
                <c:pt idx="94">
                  <c:v>45.866666666666667</c:v>
                </c:pt>
                <c:pt idx="95">
                  <c:v>45.833333333333336</c:v>
                </c:pt>
                <c:pt idx="96">
                  <c:v>45.733333333333334</c:v>
                </c:pt>
                <c:pt idx="97">
                  <c:v>45.7</c:v>
                </c:pt>
                <c:pt idx="98">
                  <c:v>45.7</c:v>
                </c:pt>
                <c:pt idx="99">
                  <c:v>45.633333333333333</c:v>
                </c:pt>
                <c:pt idx="100">
                  <c:v>45.6</c:v>
                </c:pt>
                <c:pt idx="101">
                  <c:v>45.56666666666667</c:v>
                </c:pt>
                <c:pt idx="102">
                  <c:v>45.56666666666667</c:v>
                </c:pt>
                <c:pt idx="103">
                  <c:v>45.56666666666667</c:v>
                </c:pt>
                <c:pt idx="104">
                  <c:v>45.533333333333331</c:v>
                </c:pt>
                <c:pt idx="105">
                  <c:v>45.533333333333331</c:v>
                </c:pt>
                <c:pt idx="106">
                  <c:v>45.5</c:v>
                </c:pt>
                <c:pt idx="107">
                  <c:v>45.5</c:v>
                </c:pt>
                <c:pt idx="108">
                  <c:v>45.466666666666669</c:v>
                </c:pt>
                <c:pt idx="109">
                  <c:v>45.4</c:v>
                </c:pt>
                <c:pt idx="110">
                  <c:v>45.366666666666667</c:v>
                </c:pt>
                <c:pt idx="111">
                  <c:v>45.3</c:v>
                </c:pt>
                <c:pt idx="112">
                  <c:v>45.266666666666666</c:v>
                </c:pt>
                <c:pt idx="113">
                  <c:v>45.266666666666666</c:v>
                </c:pt>
                <c:pt idx="114">
                  <c:v>45.166666666666664</c:v>
                </c:pt>
                <c:pt idx="115">
                  <c:v>45.133333333333333</c:v>
                </c:pt>
                <c:pt idx="116">
                  <c:v>45.133333333333333</c:v>
                </c:pt>
                <c:pt idx="117">
                  <c:v>45.133333333333333</c:v>
                </c:pt>
                <c:pt idx="118">
                  <c:v>45.1</c:v>
                </c:pt>
                <c:pt idx="119">
                  <c:v>45.06666666666667</c:v>
                </c:pt>
                <c:pt idx="120">
                  <c:v>45.033333333333331</c:v>
                </c:pt>
                <c:pt idx="121">
                  <c:v>44.966666666666669</c:v>
                </c:pt>
                <c:pt idx="122">
                  <c:v>44.966666666666669</c:v>
                </c:pt>
                <c:pt idx="123">
                  <c:v>44.966666666666669</c:v>
                </c:pt>
                <c:pt idx="124">
                  <c:v>44.93333333333333</c:v>
                </c:pt>
                <c:pt idx="125">
                  <c:v>44.9</c:v>
                </c:pt>
                <c:pt idx="126">
                  <c:v>44.9</c:v>
                </c:pt>
                <c:pt idx="127">
                  <c:v>44.9</c:v>
                </c:pt>
                <c:pt idx="128">
                  <c:v>44.866666666666667</c:v>
                </c:pt>
                <c:pt idx="129">
                  <c:v>44.866666666666667</c:v>
                </c:pt>
                <c:pt idx="130">
                  <c:v>44.833333333333336</c:v>
                </c:pt>
                <c:pt idx="131">
                  <c:v>44.833333333333336</c:v>
                </c:pt>
                <c:pt idx="132">
                  <c:v>44.8</c:v>
                </c:pt>
                <c:pt idx="133">
                  <c:v>44.733333333333334</c:v>
                </c:pt>
                <c:pt idx="134">
                  <c:v>44.733333333333334</c:v>
                </c:pt>
                <c:pt idx="135">
                  <c:v>44.7</c:v>
                </c:pt>
                <c:pt idx="136">
                  <c:v>44.633333333333333</c:v>
                </c:pt>
                <c:pt idx="137">
                  <c:v>44.56666666666667</c:v>
                </c:pt>
                <c:pt idx="138">
                  <c:v>44.56666666666667</c:v>
                </c:pt>
                <c:pt idx="139">
                  <c:v>44.56666666666667</c:v>
                </c:pt>
                <c:pt idx="140">
                  <c:v>44.56666666666667</c:v>
                </c:pt>
                <c:pt idx="141">
                  <c:v>44.533333333333331</c:v>
                </c:pt>
                <c:pt idx="142">
                  <c:v>44.533333333333331</c:v>
                </c:pt>
                <c:pt idx="143">
                  <c:v>44.5</c:v>
                </c:pt>
                <c:pt idx="144">
                  <c:v>44.466666666666669</c:v>
                </c:pt>
                <c:pt idx="145">
                  <c:v>44.43333333333333</c:v>
                </c:pt>
                <c:pt idx="146">
                  <c:v>44.4</c:v>
                </c:pt>
                <c:pt idx="147">
                  <c:v>44.4</c:v>
                </c:pt>
                <c:pt idx="148">
                  <c:v>44.366666666666667</c:v>
                </c:pt>
                <c:pt idx="149">
                  <c:v>44.366666666666667</c:v>
                </c:pt>
                <c:pt idx="150">
                  <c:v>44.333333333333336</c:v>
                </c:pt>
                <c:pt idx="151">
                  <c:v>44.333333333333336</c:v>
                </c:pt>
                <c:pt idx="152">
                  <c:v>44.333333333333336</c:v>
                </c:pt>
                <c:pt idx="153">
                  <c:v>44.3</c:v>
                </c:pt>
                <c:pt idx="154">
                  <c:v>44.3</c:v>
                </c:pt>
                <c:pt idx="155">
                  <c:v>44.266666666666666</c:v>
                </c:pt>
                <c:pt idx="156">
                  <c:v>44.233333333333334</c:v>
                </c:pt>
                <c:pt idx="157">
                  <c:v>44.233333333333334</c:v>
                </c:pt>
                <c:pt idx="158">
                  <c:v>44.233333333333334</c:v>
                </c:pt>
                <c:pt idx="159">
                  <c:v>44.2</c:v>
                </c:pt>
                <c:pt idx="160">
                  <c:v>44.2</c:v>
                </c:pt>
                <c:pt idx="161">
                  <c:v>44.2</c:v>
                </c:pt>
                <c:pt idx="162">
                  <c:v>44.166666666666664</c:v>
                </c:pt>
                <c:pt idx="163">
                  <c:v>44.06666666666667</c:v>
                </c:pt>
                <c:pt idx="164">
                  <c:v>44.033333333333331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43.966666666666669</c:v>
                </c:pt>
                <c:pt idx="169">
                  <c:v>43.966666666666669</c:v>
                </c:pt>
                <c:pt idx="170">
                  <c:v>43.966666666666669</c:v>
                </c:pt>
                <c:pt idx="171">
                  <c:v>43.93333333333333</c:v>
                </c:pt>
                <c:pt idx="172">
                  <c:v>43.9</c:v>
                </c:pt>
                <c:pt idx="173">
                  <c:v>43.9</c:v>
                </c:pt>
                <c:pt idx="174">
                  <c:v>43.866666666666667</c:v>
                </c:pt>
                <c:pt idx="175">
                  <c:v>43.866666666666667</c:v>
                </c:pt>
                <c:pt idx="176">
                  <c:v>43.833333333333336</c:v>
                </c:pt>
                <c:pt idx="177">
                  <c:v>43.833333333333336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43.766666666666666</c:v>
                </c:pt>
                <c:pt idx="182">
                  <c:v>43.766666666666666</c:v>
                </c:pt>
                <c:pt idx="183">
                  <c:v>43.733333333333334</c:v>
                </c:pt>
                <c:pt idx="184">
                  <c:v>43.666666666666664</c:v>
                </c:pt>
                <c:pt idx="185">
                  <c:v>43.666666666666664</c:v>
                </c:pt>
                <c:pt idx="186">
                  <c:v>43.666666666666664</c:v>
                </c:pt>
                <c:pt idx="187">
                  <c:v>43.666666666666664</c:v>
                </c:pt>
                <c:pt idx="188">
                  <c:v>43.633333333333333</c:v>
                </c:pt>
                <c:pt idx="189">
                  <c:v>43.633333333333333</c:v>
                </c:pt>
                <c:pt idx="190">
                  <c:v>43.633333333333333</c:v>
                </c:pt>
                <c:pt idx="191">
                  <c:v>43.56666666666667</c:v>
                </c:pt>
                <c:pt idx="192">
                  <c:v>43.533333333333331</c:v>
                </c:pt>
                <c:pt idx="193">
                  <c:v>43.533333333333331</c:v>
                </c:pt>
                <c:pt idx="194">
                  <c:v>43.5</c:v>
                </c:pt>
                <c:pt idx="195">
                  <c:v>43.466666666666669</c:v>
                </c:pt>
                <c:pt idx="196">
                  <c:v>43.43333333333333</c:v>
                </c:pt>
                <c:pt idx="197">
                  <c:v>43.4</c:v>
                </c:pt>
                <c:pt idx="198">
                  <c:v>43.333333333333336</c:v>
                </c:pt>
                <c:pt idx="199">
                  <c:v>43.3</c:v>
                </c:pt>
                <c:pt idx="200">
                  <c:v>43.3</c:v>
                </c:pt>
                <c:pt idx="201">
                  <c:v>43.233333333333334</c:v>
                </c:pt>
                <c:pt idx="202">
                  <c:v>43.233333333333334</c:v>
                </c:pt>
                <c:pt idx="203">
                  <c:v>43.233333333333334</c:v>
                </c:pt>
                <c:pt idx="204">
                  <c:v>43.233333333333334</c:v>
                </c:pt>
                <c:pt idx="205">
                  <c:v>43.233333333333334</c:v>
                </c:pt>
                <c:pt idx="206">
                  <c:v>43.2</c:v>
                </c:pt>
                <c:pt idx="207">
                  <c:v>43.2</c:v>
                </c:pt>
                <c:pt idx="208">
                  <c:v>43.133333333333333</c:v>
                </c:pt>
                <c:pt idx="209">
                  <c:v>43.133333333333333</c:v>
                </c:pt>
                <c:pt idx="210">
                  <c:v>43.1</c:v>
                </c:pt>
                <c:pt idx="211">
                  <c:v>43.06666666666667</c:v>
                </c:pt>
                <c:pt idx="212">
                  <c:v>43.06666666666667</c:v>
                </c:pt>
                <c:pt idx="213">
                  <c:v>43.06666666666667</c:v>
                </c:pt>
                <c:pt idx="214">
                  <c:v>43.033333333333331</c:v>
                </c:pt>
                <c:pt idx="215">
                  <c:v>43</c:v>
                </c:pt>
                <c:pt idx="216">
                  <c:v>43</c:v>
                </c:pt>
                <c:pt idx="217">
                  <c:v>43</c:v>
                </c:pt>
                <c:pt idx="218">
                  <c:v>42.966666666666669</c:v>
                </c:pt>
                <c:pt idx="219">
                  <c:v>42.93333333333333</c:v>
                </c:pt>
                <c:pt idx="220">
                  <c:v>42.9</c:v>
                </c:pt>
                <c:pt idx="221">
                  <c:v>42.866666666666667</c:v>
                </c:pt>
                <c:pt idx="222">
                  <c:v>42.833333333333336</c:v>
                </c:pt>
                <c:pt idx="223">
                  <c:v>42.8</c:v>
                </c:pt>
                <c:pt idx="224">
                  <c:v>42.766666666666666</c:v>
                </c:pt>
                <c:pt idx="225">
                  <c:v>42.733333333333334</c:v>
                </c:pt>
                <c:pt idx="226">
                  <c:v>42.733333333333334</c:v>
                </c:pt>
                <c:pt idx="227">
                  <c:v>42.733333333333334</c:v>
                </c:pt>
                <c:pt idx="228">
                  <c:v>42.7</c:v>
                </c:pt>
                <c:pt idx="229">
                  <c:v>42.6</c:v>
                </c:pt>
                <c:pt idx="230">
                  <c:v>42.56666666666667</c:v>
                </c:pt>
                <c:pt idx="231">
                  <c:v>42.56666666666667</c:v>
                </c:pt>
                <c:pt idx="232">
                  <c:v>42.533333333333331</c:v>
                </c:pt>
                <c:pt idx="233">
                  <c:v>42.466666666666669</c:v>
                </c:pt>
                <c:pt idx="234">
                  <c:v>42.43333333333333</c:v>
                </c:pt>
                <c:pt idx="235">
                  <c:v>42.43333333333333</c:v>
                </c:pt>
                <c:pt idx="236">
                  <c:v>42.333333333333336</c:v>
                </c:pt>
                <c:pt idx="237">
                  <c:v>42.333333333333336</c:v>
                </c:pt>
                <c:pt idx="238">
                  <c:v>42.3</c:v>
                </c:pt>
                <c:pt idx="239">
                  <c:v>42.266666666666666</c:v>
                </c:pt>
                <c:pt idx="240">
                  <c:v>42.266666666666666</c:v>
                </c:pt>
                <c:pt idx="241">
                  <c:v>42.266666666666666</c:v>
                </c:pt>
                <c:pt idx="242">
                  <c:v>42.233333333333334</c:v>
                </c:pt>
                <c:pt idx="243">
                  <c:v>42.233333333333334</c:v>
                </c:pt>
                <c:pt idx="244">
                  <c:v>42.133333333333333</c:v>
                </c:pt>
                <c:pt idx="245">
                  <c:v>42.133333333333333</c:v>
                </c:pt>
                <c:pt idx="246">
                  <c:v>42.133333333333333</c:v>
                </c:pt>
                <c:pt idx="247">
                  <c:v>42.06666666666667</c:v>
                </c:pt>
                <c:pt idx="248">
                  <c:v>41.966666666666669</c:v>
                </c:pt>
                <c:pt idx="249">
                  <c:v>41.93333333333333</c:v>
                </c:pt>
                <c:pt idx="250">
                  <c:v>41.93333333333333</c:v>
                </c:pt>
                <c:pt idx="251">
                  <c:v>41.9</c:v>
                </c:pt>
                <c:pt idx="252">
                  <c:v>41.866666666666667</c:v>
                </c:pt>
                <c:pt idx="253">
                  <c:v>41.833333333333336</c:v>
                </c:pt>
                <c:pt idx="254">
                  <c:v>41.8</c:v>
                </c:pt>
                <c:pt idx="255">
                  <c:v>41.8</c:v>
                </c:pt>
                <c:pt idx="256">
                  <c:v>41.766666666666666</c:v>
                </c:pt>
                <c:pt idx="257">
                  <c:v>41.733333333333334</c:v>
                </c:pt>
                <c:pt idx="258">
                  <c:v>41.7</c:v>
                </c:pt>
                <c:pt idx="259">
                  <c:v>41.7</c:v>
                </c:pt>
                <c:pt idx="260">
                  <c:v>41.666666666666664</c:v>
                </c:pt>
                <c:pt idx="261">
                  <c:v>41.666666666666664</c:v>
                </c:pt>
                <c:pt idx="262">
                  <c:v>41.666666666666664</c:v>
                </c:pt>
                <c:pt idx="263">
                  <c:v>41.633333333333333</c:v>
                </c:pt>
                <c:pt idx="264">
                  <c:v>41.6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41.5</c:v>
                </c:pt>
                <c:pt idx="269">
                  <c:v>41.43333333333333</c:v>
                </c:pt>
                <c:pt idx="270">
                  <c:v>41.43333333333333</c:v>
                </c:pt>
                <c:pt idx="271">
                  <c:v>41.4</c:v>
                </c:pt>
                <c:pt idx="272">
                  <c:v>41.366666666666667</c:v>
                </c:pt>
                <c:pt idx="273">
                  <c:v>41.3</c:v>
                </c:pt>
                <c:pt idx="274">
                  <c:v>41.266666666666666</c:v>
                </c:pt>
                <c:pt idx="275">
                  <c:v>41.233333333333334</c:v>
                </c:pt>
                <c:pt idx="276">
                  <c:v>41.233333333333334</c:v>
                </c:pt>
                <c:pt idx="277">
                  <c:v>41.233333333333334</c:v>
                </c:pt>
                <c:pt idx="278">
                  <c:v>41.2</c:v>
                </c:pt>
                <c:pt idx="279">
                  <c:v>41.166666666666664</c:v>
                </c:pt>
                <c:pt idx="280">
                  <c:v>41.133333333333333</c:v>
                </c:pt>
                <c:pt idx="281">
                  <c:v>41.1</c:v>
                </c:pt>
                <c:pt idx="282">
                  <c:v>41.1</c:v>
                </c:pt>
                <c:pt idx="283">
                  <c:v>40.966666666666669</c:v>
                </c:pt>
                <c:pt idx="284">
                  <c:v>40.9</c:v>
                </c:pt>
                <c:pt idx="285">
                  <c:v>40.9</c:v>
                </c:pt>
                <c:pt idx="286">
                  <c:v>40.866666666666667</c:v>
                </c:pt>
                <c:pt idx="287">
                  <c:v>40.866666666666667</c:v>
                </c:pt>
                <c:pt idx="288">
                  <c:v>40.833333333333336</c:v>
                </c:pt>
                <c:pt idx="289">
                  <c:v>40.833333333333336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40.733333333333334</c:v>
                </c:pt>
                <c:pt idx="293">
                  <c:v>40.733333333333334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40.700000000000003</c:v>
                </c:pt>
                <c:pt idx="297">
                  <c:v>40.633333333333333</c:v>
                </c:pt>
                <c:pt idx="298">
                  <c:v>40.6</c:v>
                </c:pt>
                <c:pt idx="299">
                  <c:v>40.533333333333331</c:v>
                </c:pt>
                <c:pt idx="300">
                  <c:v>40.5</c:v>
                </c:pt>
                <c:pt idx="301">
                  <c:v>40.5</c:v>
                </c:pt>
                <c:pt idx="302">
                  <c:v>40.43333333333333</c:v>
                </c:pt>
                <c:pt idx="303">
                  <c:v>40.299999999999997</c:v>
                </c:pt>
                <c:pt idx="304">
                  <c:v>40.233333333333334</c:v>
                </c:pt>
                <c:pt idx="305">
                  <c:v>40.166666666666664</c:v>
                </c:pt>
                <c:pt idx="306">
                  <c:v>40.166666666666664</c:v>
                </c:pt>
                <c:pt idx="307">
                  <c:v>40.166666666666664</c:v>
                </c:pt>
                <c:pt idx="308">
                  <c:v>40.033333333333331</c:v>
                </c:pt>
                <c:pt idx="309">
                  <c:v>40.033333333333331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39.966666666666669</c:v>
                </c:pt>
                <c:pt idx="314">
                  <c:v>39.966666666666669</c:v>
                </c:pt>
                <c:pt idx="315">
                  <c:v>39.966666666666669</c:v>
                </c:pt>
                <c:pt idx="316">
                  <c:v>39.93333333333333</c:v>
                </c:pt>
                <c:pt idx="317">
                  <c:v>39.866666666666667</c:v>
                </c:pt>
                <c:pt idx="318">
                  <c:v>39.833333333333336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39.766666666666666</c:v>
                </c:pt>
                <c:pt idx="322">
                  <c:v>39.766666666666666</c:v>
                </c:pt>
                <c:pt idx="323">
                  <c:v>39.766666666666666</c:v>
                </c:pt>
                <c:pt idx="324">
                  <c:v>39.766666666666666</c:v>
                </c:pt>
                <c:pt idx="325">
                  <c:v>39.766666666666666</c:v>
                </c:pt>
                <c:pt idx="326">
                  <c:v>39.633333333333333</c:v>
                </c:pt>
                <c:pt idx="327">
                  <c:v>39.6</c:v>
                </c:pt>
                <c:pt idx="328">
                  <c:v>39.6</c:v>
                </c:pt>
                <c:pt idx="329">
                  <c:v>39.56666666666667</c:v>
                </c:pt>
                <c:pt idx="330">
                  <c:v>39.533333333333331</c:v>
                </c:pt>
                <c:pt idx="331">
                  <c:v>39.5</c:v>
                </c:pt>
                <c:pt idx="332">
                  <c:v>39.5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39.266666666666666</c:v>
                </c:pt>
                <c:pt idx="336">
                  <c:v>39.266666666666666</c:v>
                </c:pt>
                <c:pt idx="337">
                  <c:v>39.233333333333334</c:v>
                </c:pt>
                <c:pt idx="338">
                  <c:v>39.200000000000003</c:v>
                </c:pt>
                <c:pt idx="339">
                  <c:v>39.1</c:v>
                </c:pt>
                <c:pt idx="340">
                  <c:v>39.06666666666667</c:v>
                </c:pt>
                <c:pt idx="341">
                  <c:v>39.06666666666667</c:v>
                </c:pt>
                <c:pt idx="342">
                  <c:v>39.06666666666667</c:v>
                </c:pt>
                <c:pt idx="343">
                  <c:v>39</c:v>
                </c:pt>
                <c:pt idx="344">
                  <c:v>38.833333333333336</c:v>
                </c:pt>
                <c:pt idx="345">
                  <c:v>38.833333333333336</c:v>
                </c:pt>
                <c:pt idx="346">
                  <c:v>38.833333333333336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38.766666666666666</c:v>
                </c:pt>
                <c:pt idx="353">
                  <c:v>38.766666666666666</c:v>
                </c:pt>
                <c:pt idx="354">
                  <c:v>38.766666666666666</c:v>
                </c:pt>
                <c:pt idx="355">
                  <c:v>38.766666666666666</c:v>
                </c:pt>
                <c:pt idx="356">
                  <c:v>38.733333333333334</c:v>
                </c:pt>
                <c:pt idx="357">
                  <c:v>38.733333333333334</c:v>
                </c:pt>
                <c:pt idx="358">
                  <c:v>38.700000000000003</c:v>
                </c:pt>
                <c:pt idx="359">
                  <c:v>38.666666666666664</c:v>
                </c:pt>
                <c:pt idx="360">
                  <c:v>38.6</c:v>
                </c:pt>
                <c:pt idx="361">
                  <c:v>38.56666666666667</c:v>
                </c:pt>
                <c:pt idx="362">
                  <c:v>38.56666666666667</c:v>
                </c:pt>
                <c:pt idx="363">
                  <c:v>38.466666666666669</c:v>
                </c:pt>
                <c:pt idx="364">
                  <c:v>38.43333333333333</c:v>
                </c:pt>
                <c:pt idx="365">
                  <c:v>38.43333333333333</c:v>
                </c:pt>
                <c:pt idx="366">
                  <c:v>38.43333333333333</c:v>
                </c:pt>
                <c:pt idx="367">
                  <c:v>38.43333333333333</c:v>
                </c:pt>
                <c:pt idx="368">
                  <c:v>38.4</c:v>
                </c:pt>
                <c:pt idx="369">
                  <c:v>38.366666666666667</c:v>
                </c:pt>
                <c:pt idx="370">
                  <c:v>38.366666666666667</c:v>
                </c:pt>
                <c:pt idx="371">
                  <c:v>38.366666666666667</c:v>
                </c:pt>
                <c:pt idx="372">
                  <c:v>38.366666666666667</c:v>
                </c:pt>
                <c:pt idx="373">
                  <c:v>38.333333333333336</c:v>
                </c:pt>
                <c:pt idx="374">
                  <c:v>38.299999999999997</c:v>
                </c:pt>
                <c:pt idx="375">
                  <c:v>38.266666666666666</c:v>
                </c:pt>
                <c:pt idx="376">
                  <c:v>38.266666666666666</c:v>
                </c:pt>
                <c:pt idx="377">
                  <c:v>38.200000000000003</c:v>
                </c:pt>
                <c:pt idx="378">
                  <c:v>38.166666666666664</c:v>
                </c:pt>
                <c:pt idx="379">
                  <c:v>38.166666666666664</c:v>
                </c:pt>
                <c:pt idx="380">
                  <c:v>38.133333333333333</c:v>
                </c:pt>
                <c:pt idx="381">
                  <c:v>38.133333333333333</c:v>
                </c:pt>
                <c:pt idx="382">
                  <c:v>38.1</c:v>
                </c:pt>
                <c:pt idx="383">
                  <c:v>38.033333333333331</c:v>
                </c:pt>
                <c:pt idx="384">
                  <c:v>37.966666666666669</c:v>
                </c:pt>
                <c:pt idx="385">
                  <c:v>37.966666666666669</c:v>
                </c:pt>
                <c:pt idx="386">
                  <c:v>37.966666666666669</c:v>
                </c:pt>
                <c:pt idx="387">
                  <c:v>37.93333333333333</c:v>
                </c:pt>
                <c:pt idx="388">
                  <c:v>37.93333333333333</c:v>
                </c:pt>
                <c:pt idx="389">
                  <c:v>37.9</c:v>
                </c:pt>
                <c:pt idx="390">
                  <c:v>37.9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37.666666666666664</c:v>
                </c:pt>
                <c:pt idx="399">
                  <c:v>37.6</c:v>
                </c:pt>
                <c:pt idx="400">
                  <c:v>37.6</c:v>
                </c:pt>
                <c:pt idx="401">
                  <c:v>37.56666666666667</c:v>
                </c:pt>
                <c:pt idx="402">
                  <c:v>37.56666666666667</c:v>
                </c:pt>
                <c:pt idx="403">
                  <c:v>37.5</c:v>
                </c:pt>
                <c:pt idx="404">
                  <c:v>37.466666666666669</c:v>
                </c:pt>
                <c:pt idx="405">
                  <c:v>37.466666666666669</c:v>
                </c:pt>
                <c:pt idx="406">
                  <c:v>37.4</c:v>
                </c:pt>
                <c:pt idx="407">
                  <c:v>37.366666666666667</c:v>
                </c:pt>
                <c:pt idx="408">
                  <c:v>37.333333333333336</c:v>
                </c:pt>
                <c:pt idx="409">
                  <c:v>37.333333333333336</c:v>
                </c:pt>
                <c:pt idx="410">
                  <c:v>37.299999999999997</c:v>
                </c:pt>
                <c:pt idx="411">
                  <c:v>37.266666666666666</c:v>
                </c:pt>
                <c:pt idx="412">
                  <c:v>37.166666666666664</c:v>
                </c:pt>
                <c:pt idx="413">
                  <c:v>37.166666666666664</c:v>
                </c:pt>
                <c:pt idx="414">
                  <c:v>37.133333333333333</c:v>
                </c:pt>
                <c:pt idx="415">
                  <c:v>37.1</c:v>
                </c:pt>
                <c:pt idx="416">
                  <c:v>37.033333333333331</c:v>
                </c:pt>
                <c:pt idx="417">
                  <c:v>37</c:v>
                </c:pt>
                <c:pt idx="418">
                  <c:v>36.93333333333333</c:v>
                </c:pt>
                <c:pt idx="419">
                  <c:v>36.9</c:v>
                </c:pt>
                <c:pt idx="420">
                  <c:v>36.9</c:v>
                </c:pt>
                <c:pt idx="421">
                  <c:v>36.866666666666667</c:v>
                </c:pt>
                <c:pt idx="422">
                  <c:v>36.866666666666667</c:v>
                </c:pt>
                <c:pt idx="423">
                  <c:v>36.799999999999997</c:v>
                </c:pt>
                <c:pt idx="424">
                  <c:v>36.766666666666666</c:v>
                </c:pt>
                <c:pt idx="425">
                  <c:v>36.733333333333334</c:v>
                </c:pt>
                <c:pt idx="426">
                  <c:v>36.733333333333334</c:v>
                </c:pt>
                <c:pt idx="427">
                  <c:v>36.700000000000003</c:v>
                </c:pt>
                <c:pt idx="428">
                  <c:v>36.666666666666664</c:v>
                </c:pt>
                <c:pt idx="429">
                  <c:v>36.6</c:v>
                </c:pt>
                <c:pt idx="430">
                  <c:v>36.6</c:v>
                </c:pt>
                <c:pt idx="431">
                  <c:v>36.56666666666667</c:v>
                </c:pt>
                <c:pt idx="432">
                  <c:v>36.56666666666667</c:v>
                </c:pt>
                <c:pt idx="433">
                  <c:v>36.533333333333331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5-4A42-94A6-1AAB89410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780304"/>
        <c:axId val="1516777808"/>
      </c:barChart>
      <c:catAx>
        <c:axId val="15167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6777808"/>
        <c:crosses val="autoZero"/>
        <c:auto val="1"/>
        <c:lblAlgn val="ctr"/>
        <c:lblOffset val="100"/>
        <c:noMultiLvlLbl val="0"/>
      </c:catAx>
      <c:valAx>
        <c:axId val="15167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67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исходные данные.xlsx]Частотность имен!Сводная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Частотность</a:t>
            </a:r>
            <a:r>
              <a:rPr lang="ru-RU" baseline="0"/>
              <a:t> имён для рекламной компании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'Частотность имен'!$A$4:$A$233</c:f>
              <c:strCache>
                <c:ptCount val="230"/>
                <c:pt idx="0">
                  <c:v>Жанна</c:v>
                </c:pt>
                <c:pt idx="1">
                  <c:v>Феврония</c:v>
                </c:pt>
                <c:pt idx="2">
                  <c:v>Алевтина</c:v>
                </c:pt>
                <c:pt idx="3">
                  <c:v>Василиса</c:v>
                </c:pt>
                <c:pt idx="4">
                  <c:v>Любовь</c:v>
                </c:pt>
                <c:pt idx="5">
                  <c:v>Марфа</c:v>
                </c:pt>
                <c:pt idx="6">
                  <c:v>Эмилия</c:v>
                </c:pt>
                <c:pt idx="7">
                  <c:v>Вера</c:v>
                </c:pt>
                <c:pt idx="8">
                  <c:v>Юлия</c:v>
                </c:pt>
                <c:pt idx="9">
                  <c:v>Ия</c:v>
                </c:pt>
                <c:pt idx="10">
                  <c:v>Татьяна</c:v>
                </c:pt>
                <c:pt idx="11">
                  <c:v>Лора</c:v>
                </c:pt>
                <c:pt idx="12">
                  <c:v>Валентина</c:v>
                </c:pt>
                <c:pt idx="13">
                  <c:v>Элеонора</c:v>
                </c:pt>
                <c:pt idx="14">
                  <c:v>Александра</c:v>
                </c:pt>
                <c:pt idx="15">
                  <c:v>Клавдия</c:v>
                </c:pt>
                <c:pt idx="16">
                  <c:v>Вероника</c:v>
                </c:pt>
                <c:pt idx="17">
                  <c:v>Любомир</c:v>
                </c:pt>
                <c:pt idx="18">
                  <c:v>Зоя</c:v>
                </c:pt>
                <c:pt idx="19">
                  <c:v>Анастасия</c:v>
                </c:pt>
                <c:pt idx="20">
                  <c:v>Иванна</c:v>
                </c:pt>
                <c:pt idx="21">
                  <c:v>Анжела</c:v>
                </c:pt>
                <c:pt idx="22">
                  <c:v>Ираида</c:v>
                </c:pt>
                <c:pt idx="23">
                  <c:v>Алла</c:v>
                </c:pt>
                <c:pt idx="24">
                  <c:v>Раиса</c:v>
                </c:pt>
                <c:pt idx="25">
                  <c:v>Фома</c:v>
                </c:pt>
                <c:pt idx="26">
                  <c:v>Сократ</c:v>
                </c:pt>
                <c:pt idx="27">
                  <c:v>Эммануил</c:v>
                </c:pt>
                <c:pt idx="28">
                  <c:v>Евпраксия</c:v>
                </c:pt>
                <c:pt idx="29">
                  <c:v>Евфросиния</c:v>
                </c:pt>
                <c:pt idx="30">
                  <c:v>Родион</c:v>
                </c:pt>
                <c:pt idx="31">
                  <c:v>Елизавета</c:v>
                </c:pt>
                <c:pt idx="32">
                  <c:v>Агата</c:v>
                </c:pt>
                <c:pt idx="33">
                  <c:v>Лука</c:v>
                </c:pt>
                <c:pt idx="34">
                  <c:v>Евдокия</c:v>
                </c:pt>
                <c:pt idx="35">
                  <c:v>Анна</c:v>
                </c:pt>
                <c:pt idx="36">
                  <c:v>Прасковья</c:v>
                </c:pt>
                <c:pt idx="37">
                  <c:v>Алина</c:v>
                </c:pt>
                <c:pt idx="38">
                  <c:v>Регина</c:v>
                </c:pt>
                <c:pt idx="39">
                  <c:v>Людмила</c:v>
                </c:pt>
                <c:pt idx="40">
                  <c:v>Светлана</c:v>
                </c:pt>
                <c:pt idx="41">
                  <c:v>Майя</c:v>
                </c:pt>
                <c:pt idx="42">
                  <c:v>Таисия</c:v>
                </c:pt>
                <c:pt idx="43">
                  <c:v>Маргарита</c:v>
                </c:pt>
                <c:pt idx="44">
                  <c:v>Евгения</c:v>
                </c:pt>
                <c:pt idx="45">
                  <c:v>Амвросий</c:v>
                </c:pt>
                <c:pt idx="46">
                  <c:v>Чеслав</c:v>
                </c:pt>
                <c:pt idx="47">
                  <c:v>Никита</c:v>
                </c:pt>
                <c:pt idx="48">
                  <c:v>Ирина</c:v>
                </c:pt>
                <c:pt idx="49">
                  <c:v>Никодим</c:v>
                </c:pt>
                <c:pt idx="50">
                  <c:v>Полина</c:v>
                </c:pt>
                <c:pt idx="51">
                  <c:v>Кира</c:v>
                </c:pt>
                <c:pt idx="52">
                  <c:v>Ксения</c:v>
                </c:pt>
                <c:pt idx="53">
                  <c:v>Радислав</c:v>
                </c:pt>
                <c:pt idx="54">
                  <c:v>Ульяна</c:v>
                </c:pt>
                <c:pt idx="55">
                  <c:v>Синклитикия</c:v>
                </c:pt>
                <c:pt idx="56">
                  <c:v>Агафья</c:v>
                </c:pt>
                <c:pt idx="57">
                  <c:v>Измаил</c:v>
                </c:pt>
                <c:pt idx="58">
                  <c:v>Аггей</c:v>
                </c:pt>
                <c:pt idx="59">
                  <c:v>Арсений</c:v>
                </c:pt>
                <c:pt idx="60">
                  <c:v>Ярослав</c:v>
                </c:pt>
                <c:pt idx="61">
                  <c:v>Станислав</c:v>
                </c:pt>
                <c:pt idx="62">
                  <c:v>Лариса</c:v>
                </c:pt>
                <c:pt idx="63">
                  <c:v>Филимон</c:v>
                </c:pt>
                <c:pt idx="64">
                  <c:v>Лев</c:v>
                </c:pt>
                <c:pt idx="65">
                  <c:v>Амос</c:v>
                </c:pt>
                <c:pt idx="66">
                  <c:v>Лидия</c:v>
                </c:pt>
                <c:pt idx="67">
                  <c:v>Ратибор</c:v>
                </c:pt>
                <c:pt idx="68">
                  <c:v>Виктор</c:v>
                </c:pt>
                <c:pt idx="69">
                  <c:v>Светозар</c:v>
                </c:pt>
                <c:pt idx="70">
                  <c:v>Виктория</c:v>
                </c:pt>
                <c:pt idx="71">
                  <c:v>Софон</c:v>
                </c:pt>
                <c:pt idx="72">
                  <c:v>Влас</c:v>
                </c:pt>
                <c:pt idx="73">
                  <c:v>Захар</c:v>
                </c:pt>
                <c:pt idx="74">
                  <c:v>Галина</c:v>
                </c:pt>
                <c:pt idx="75">
                  <c:v>Фёкла</c:v>
                </c:pt>
                <c:pt idx="76">
                  <c:v>Гостомысл</c:v>
                </c:pt>
                <c:pt idx="77">
                  <c:v>Харлампий</c:v>
                </c:pt>
                <c:pt idx="78">
                  <c:v>Давыд</c:v>
                </c:pt>
                <c:pt idx="79">
                  <c:v>Валерия</c:v>
                </c:pt>
                <c:pt idx="80">
                  <c:v>Дарья</c:v>
                </c:pt>
                <c:pt idx="81">
                  <c:v>Антонина</c:v>
                </c:pt>
                <c:pt idx="82">
                  <c:v>Марина</c:v>
                </c:pt>
                <c:pt idx="83">
                  <c:v>Екатерина</c:v>
                </c:pt>
                <c:pt idx="84">
                  <c:v>Мария</c:v>
                </c:pt>
                <c:pt idx="85">
                  <c:v>Елена</c:v>
                </c:pt>
                <c:pt idx="86">
                  <c:v>Демид</c:v>
                </c:pt>
                <c:pt idx="87">
                  <c:v>Елизар</c:v>
                </c:pt>
                <c:pt idx="88">
                  <c:v>Матвей</c:v>
                </c:pt>
                <c:pt idx="89">
                  <c:v>Сила</c:v>
                </c:pt>
                <c:pt idx="90">
                  <c:v>Милован</c:v>
                </c:pt>
                <c:pt idx="91">
                  <c:v>Еремей</c:v>
                </c:pt>
                <c:pt idx="92">
                  <c:v>Наина</c:v>
                </c:pt>
                <c:pt idx="93">
                  <c:v>Спиридон</c:v>
                </c:pt>
                <c:pt idx="94">
                  <c:v>Анжелика</c:v>
                </c:pt>
                <c:pt idx="95">
                  <c:v>Боян</c:v>
                </c:pt>
                <c:pt idx="96">
                  <c:v>Адриан</c:v>
                </c:pt>
                <c:pt idx="97">
                  <c:v>Творимир</c:v>
                </c:pt>
                <c:pt idx="98">
                  <c:v>Николай</c:v>
                </c:pt>
                <c:pt idx="99">
                  <c:v>Вадим</c:v>
                </c:pt>
                <c:pt idx="100">
                  <c:v>Нинель</c:v>
                </c:pt>
                <c:pt idx="101">
                  <c:v>Феофан</c:v>
                </c:pt>
                <c:pt idx="102">
                  <c:v>Олимпий</c:v>
                </c:pt>
                <c:pt idx="103">
                  <c:v>Автоном</c:v>
                </c:pt>
                <c:pt idx="104">
                  <c:v>Ольга</c:v>
                </c:pt>
                <c:pt idx="105">
                  <c:v>Христофор</c:v>
                </c:pt>
                <c:pt idx="106">
                  <c:v>Орест</c:v>
                </c:pt>
                <c:pt idx="107">
                  <c:v>Ипполит</c:v>
                </c:pt>
                <c:pt idx="108">
                  <c:v>Павел</c:v>
                </c:pt>
                <c:pt idx="109">
                  <c:v>Валерьян</c:v>
                </c:pt>
                <c:pt idx="110">
                  <c:v>Пелагея</c:v>
                </c:pt>
                <c:pt idx="111">
                  <c:v>Капитон</c:v>
                </c:pt>
                <c:pt idx="112">
                  <c:v>Антип</c:v>
                </c:pt>
                <c:pt idx="113">
                  <c:v>Леон</c:v>
                </c:pt>
                <c:pt idx="114">
                  <c:v>Авдей</c:v>
                </c:pt>
                <c:pt idx="115">
                  <c:v>Феликс</c:v>
                </c:pt>
                <c:pt idx="116">
                  <c:v>Акулина</c:v>
                </c:pt>
                <c:pt idx="117">
                  <c:v>Леонид</c:v>
                </c:pt>
                <c:pt idx="118">
                  <c:v>Глафира</c:v>
                </c:pt>
                <c:pt idx="119">
                  <c:v>Гордей</c:v>
                </c:pt>
                <c:pt idx="120">
                  <c:v>Серафим</c:v>
                </c:pt>
                <c:pt idx="121">
                  <c:v>Лонгин</c:v>
                </c:pt>
                <c:pt idx="122">
                  <c:v>Тимур</c:v>
                </c:pt>
                <c:pt idx="123">
                  <c:v>Арефий</c:v>
                </c:pt>
                <c:pt idx="124">
                  <c:v>Герман</c:v>
                </c:pt>
                <c:pt idx="125">
                  <c:v>Аристарх</c:v>
                </c:pt>
                <c:pt idx="126">
                  <c:v>Анисим</c:v>
                </c:pt>
                <c:pt idx="127">
                  <c:v>Лукия</c:v>
                </c:pt>
                <c:pt idx="128">
                  <c:v>Самуил</c:v>
                </c:pt>
                <c:pt idx="129">
                  <c:v>Любим</c:v>
                </c:pt>
                <c:pt idx="130">
                  <c:v>Симон</c:v>
                </c:pt>
                <c:pt idx="131">
                  <c:v>Аверкий</c:v>
                </c:pt>
                <c:pt idx="132">
                  <c:v>Карл</c:v>
                </c:pt>
                <c:pt idx="133">
                  <c:v>Дементий</c:v>
                </c:pt>
                <c:pt idx="134">
                  <c:v>Фаина</c:v>
                </c:pt>
                <c:pt idx="135">
                  <c:v>Любосмысл</c:v>
                </c:pt>
                <c:pt idx="136">
                  <c:v>Флорентин</c:v>
                </c:pt>
                <c:pt idx="137">
                  <c:v>Бажен</c:v>
                </c:pt>
                <c:pt idx="138">
                  <c:v>Лаврентий</c:v>
                </c:pt>
                <c:pt idx="139">
                  <c:v>Дмитрий</c:v>
                </c:pt>
                <c:pt idx="140">
                  <c:v>Глеб</c:v>
                </c:pt>
                <c:pt idx="141">
                  <c:v>Максим</c:v>
                </c:pt>
                <c:pt idx="142">
                  <c:v>Ратмир</c:v>
                </c:pt>
                <c:pt idx="143">
                  <c:v>Богдан</c:v>
                </c:pt>
                <c:pt idx="144">
                  <c:v>Рубен</c:v>
                </c:pt>
                <c:pt idx="145">
                  <c:v>Евграф</c:v>
                </c:pt>
                <c:pt idx="146">
                  <c:v>Ипатий</c:v>
                </c:pt>
                <c:pt idx="147">
                  <c:v>Борис</c:v>
                </c:pt>
                <c:pt idx="148">
                  <c:v>Агап</c:v>
                </c:pt>
                <c:pt idx="149">
                  <c:v>Марк</c:v>
                </c:pt>
                <c:pt idx="150">
                  <c:v>Ираклий</c:v>
                </c:pt>
                <c:pt idx="151">
                  <c:v>Мартын</c:v>
                </c:pt>
                <c:pt idx="152">
                  <c:v>Галактион</c:v>
                </c:pt>
                <c:pt idx="153">
                  <c:v>Мартьян</c:v>
                </c:pt>
                <c:pt idx="154">
                  <c:v>Карп</c:v>
                </c:pt>
                <c:pt idx="155">
                  <c:v>Борислав</c:v>
                </c:pt>
                <c:pt idx="156">
                  <c:v>Кир</c:v>
                </c:pt>
                <c:pt idx="157">
                  <c:v>Евсей</c:v>
                </c:pt>
                <c:pt idx="158">
                  <c:v>Федосий</c:v>
                </c:pt>
                <c:pt idx="159">
                  <c:v>Мефодий</c:v>
                </c:pt>
                <c:pt idx="160">
                  <c:v>Конон</c:v>
                </c:pt>
                <c:pt idx="161">
                  <c:v>Милан</c:v>
                </c:pt>
                <c:pt idx="162">
                  <c:v>Фрол</c:v>
                </c:pt>
                <c:pt idx="163">
                  <c:v>Милица</c:v>
                </c:pt>
                <c:pt idx="164">
                  <c:v>Эдуард</c:v>
                </c:pt>
                <c:pt idx="165">
                  <c:v>Евстафий</c:v>
                </c:pt>
                <c:pt idx="166">
                  <c:v>Эраст</c:v>
                </c:pt>
                <c:pt idx="167">
                  <c:v>Мина</c:v>
                </c:pt>
                <c:pt idx="168">
                  <c:v>Якуб</c:v>
                </c:pt>
                <c:pt idx="169">
                  <c:v>Мирон</c:v>
                </c:pt>
                <c:pt idx="170">
                  <c:v>Зосима</c:v>
                </c:pt>
                <c:pt idx="171">
                  <c:v>Михей</c:v>
                </c:pt>
                <c:pt idx="172">
                  <c:v>Викентий</c:v>
                </c:pt>
                <c:pt idx="173">
                  <c:v>Модест</c:v>
                </c:pt>
                <c:pt idx="174">
                  <c:v>Игорь</c:v>
                </c:pt>
                <c:pt idx="175">
                  <c:v>Назар</c:v>
                </c:pt>
                <c:pt idx="176">
                  <c:v>Ростислав</c:v>
                </c:pt>
                <c:pt idx="177">
                  <c:v>Александр</c:v>
                </c:pt>
                <c:pt idx="178">
                  <c:v>Савватий</c:v>
                </c:pt>
                <c:pt idx="179">
                  <c:v>Наталья</c:v>
                </c:pt>
                <c:pt idx="180">
                  <c:v>Ипат</c:v>
                </c:pt>
                <c:pt idx="181">
                  <c:v>Натан</c:v>
                </c:pt>
                <c:pt idx="182">
                  <c:v>Севастьян</c:v>
                </c:pt>
                <c:pt idx="183">
                  <c:v>Никанор</c:v>
                </c:pt>
                <c:pt idx="184">
                  <c:v>Сидор</c:v>
                </c:pt>
                <c:pt idx="185">
                  <c:v>Ангелина</c:v>
                </c:pt>
                <c:pt idx="186">
                  <c:v>Силантий</c:v>
                </c:pt>
                <c:pt idx="187">
                  <c:v>Никифор</c:v>
                </c:pt>
                <c:pt idx="188">
                  <c:v>Владилен</c:v>
                </c:pt>
                <c:pt idx="189">
                  <c:v>Андрон</c:v>
                </c:pt>
                <c:pt idx="190">
                  <c:v>София</c:v>
                </c:pt>
                <c:pt idx="191">
                  <c:v>Андроник</c:v>
                </c:pt>
                <c:pt idx="192">
                  <c:v>Всеслав</c:v>
                </c:pt>
                <c:pt idx="193">
                  <c:v>Нина</c:v>
                </c:pt>
                <c:pt idx="194">
                  <c:v>Степан</c:v>
                </c:pt>
                <c:pt idx="195">
                  <c:v>Аверьян</c:v>
                </c:pt>
                <c:pt idx="196">
                  <c:v>Тамара</c:v>
                </c:pt>
                <c:pt idx="197">
                  <c:v>Оксана</c:v>
                </c:pt>
                <c:pt idx="198">
                  <c:v>Касьян</c:v>
                </c:pt>
                <c:pt idx="199">
                  <c:v>Октябрина</c:v>
                </c:pt>
                <c:pt idx="200">
                  <c:v>Трифон</c:v>
                </c:pt>
                <c:pt idx="201">
                  <c:v>Олимпиада</c:v>
                </c:pt>
                <c:pt idx="202">
                  <c:v>Фадей</c:v>
                </c:pt>
                <c:pt idx="203">
                  <c:v>Елисей</c:v>
                </c:pt>
                <c:pt idx="204">
                  <c:v>Аполлинарий</c:v>
                </c:pt>
                <c:pt idx="205">
                  <c:v>Епифан</c:v>
                </c:pt>
                <c:pt idx="206">
                  <c:v>Геннадий</c:v>
                </c:pt>
                <c:pt idx="207">
                  <c:v>Алексей</c:v>
                </c:pt>
                <c:pt idx="208">
                  <c:v>Климент</c:v>
                </c:pt>
                <c:pt idx="209">
                  <c:v>Ефрем</c:v>
                </c:pt>
                <c:pt idx="210">
                  <c:v>Филипп</c:v>
                </c:pt>
                <c:pt idx="211">
                  <c:v>Панкратий</c:v>
                </c:pt>
                <c:pt idx="212">
                  <c:v>Константин</c:v>
                </c:pt>
                <c:pt idx="213">
                  <c:v>Пантелеймон</c:v>
                </c:pt>
                <c:pt idx="214">
                  <c:v>Корнил</c:v>
                </c:pt>
                <c:pt idx="215">
                  <c:v>Панфил</c:v>
                </c:pt>
                <c:pt idx="216">
                  <c:v>Кузьма</c:v>
                </c:pt>
                <c:pt idx="217">
                  <c:v>Пахом</c:v>
                </c:pt>
                <c:pt idx="218">
                  <c:v>Лавр</c:v>
                </c:pt>
                <c:pt idx="219">
                  <c:v>Велимир</c:v>
                </c:pt>
                <c:pt idx="220">
                  <c:v>Ладимир</c:v>
                </c:pt>
                <c:pt idx="221">
                  <c:v>Платон</c:v>
                </c:pt>
                <c:pt idx="222">
                  <c:v>Эрнест</c:v>
                </c:pt>
                <c:pt idx="223">
                  <c:v>Аникей</c:v>
                </c:pt>
                <c:pt idx="224">
                  <c:v>Юрий</c:v>
                </c:pt>
                <c:pt idx="225">
                  <c:v>Потап</c:v>
                </c:pt>
                <c:pt idx="226">
                  <c:v>Януарий</c:v>
                </c:pt>
                <c:pt idx="227">
                  <c:v>Зинаида</c:v>
                </c:pt>
                <c:pt idx="228">
                  <c:v>Август</c:v>
                </c:pt>
                <c:pt idx="229">
                  <c:v>Прокл</c:v>
                </c:pt>
              </c:strCache>
            </c:strRef>
          </c:cat>
          <c:val>
            <c:numRef>
              <c:f>'Частотность имен'!$B$4:$B$233</c:f>
              <c:numCache>
                <c:formatCode>General</c:formatCode>
                <c:ptCount val="23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D-4591-81F5-F2D402C57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axId val="1125964624"/>
        <c:axId val="1125970032"/>
      </c:barChart>
      <c:catAx>
        <c:axId val="11259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970032"/>
        <c:crosses val="autoZero"/>
        <c:auto val="1"/>
        <c:lblAlgn val="ctr"/>
        <c:lblOffset val="100"/>
        <c:noMultiLvlLbl val="0"/>
      </c:catAx>
      <c:valAx>
        <c:axId val="112597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596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Дней с момента регистрации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Дней с момента регистрации</a:t>
          </a:r>
        </a:p>
      </cx:txPr>
    </cx:title>
    <cx:plotArea>
      <cx:plotAreaRegion>
        <cx:series layoutId="clusteredColumn" uniqueId="{847FD9D7-A551-4834-A5FA-3750E95E3CB0}">
          <cx:dataId val="0"/>
          <cx:layoutPr>
            <cx:binning intervalClosed="r" underflow="auto" overflow="auto">
              <cx:binSize val="100"/>
            </cx:binning>
          </cx:layoutPr>
        </cx:series>
      </cx:plotAreaRegion>
      <cx:axis id="0">
        <cx:catScaling gapWidth="0.200000003"/>
        <cx:tickLabels/>
        <cx:numFmt formatCode="Основной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47625</xdr:colOff>
      <xdr:row>4</xdr:row>
      <xdr:rowOff>38100</xdr:rowOff>
    </xdr:from>
    <xdr:to>
      <xdr:col>31</xdr:col>
      <xdr:colOff>66675</xdr:colOff>
      <xdr:row>18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5D17DBBF-834B-4ED5-8ED9-12E5C2370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07650" y="800100"/>
              <a:ext cx="6515100" cy="2714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</xdr:row>
      <xdr:rowOff>176211</xdr:rowOff>
    </xdr:from>
    <xdr:to>
      <xdr:col>13</xdr:col>
      <xdr:colOff>57150</xdr:colOff>
      <xdr:row>16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A4D9BF-AE91-4A5E-8AE9-2339759BD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90487</xdr:rowOff>
    </xdr:from>
    <xdr:to>
      <xdr:col>17</xdr:col>
      <xdr:colOff>295275</xdr:colOff>
      <xdr:row>26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C2FC5C-43DF-46EC-9897-6150E3C5F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176211</xdr:rowOff>
    </xdr:from>
    <xdr:to>
      <xdr:col>18</xdr:col>
      <xdr:colOff>400050</xdr:colOff>
      <xdr:row>22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A3FB15-EB0A-447B-9B3D-69D164331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352423</xdr:colOff>
      <xdr:row>2</xdr:row>
      <xdr:rowOff>14285</xdr:rowOff>
    </xdr:from>
    <xdr:to>
      <xdr:col>19</xdr:col>
      <xdr:colOff>19050</xdr:colOff>
      <xdr:row>25</xdr:row>
      <xdr:rowOff>161924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3E30F8-C414-4079-8F2E-E46A7AD89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142873</xdr:colOff>
      <xdr:row>4</xdr:row>
      <xdr:rowOff>147637</xdr:rowOff>
    </xdr:from>
    <xdr:to>
      <xdr:col>25</xdr:col>
      <xdr:colOff>28574</xdr:colOff>
      <xdr:row>24</xdr:row>
      <xdr:rowOff>133351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8B588C-4CF6-4D92-AC04-04CEF8D92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447672</xdr:colOff>
      <xdr:row>2</xdr:row>
      <xdr:rowOff>128586</xdr:rowOff>
    </xdr:from>
    <xdr:to>
      <xdr:col>28</xdr:col>
      <xdr:colOff>104775</xdr:colOff>
      <xdr:row>28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0A8364-1D55-46FA-9732-7FAB1D0D9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3</xdr:row>
      <xdr:rowOff>80961</xdr:rowOff>
    </xdr:from>
    <xdr:to>
      <xdr:col>22</xdr:col>
      <xdr:colOff>333374</xdr:colOff>
      <xdr:row>22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DC2E39-7C09-49A7-B87C-D14FB61BA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3</xdr:row>
      <xdr:rowOff>71436</xdr:rowOff>
    </xdr:from>
    <xdr:to>
      <xdr:col>16</xdr:col>
      <xdr:colOff>438150</xdr:colOff>
      <xdr:row>23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500DB8-6735-4D45-982F-BFD1A82B7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2</xdr:row>
      <xdr:rowOff>138112</xdr:rowOff>
    </xdr:from>
    <xdr:to>
      <xdr:col>11</xdr:col>
      <xdr:colOff>514350</xdr:colOff>
      <xdr:row>17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B28B1B-DF4D-496C-A75D-F4A6AD938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33337</xdr:rowOff>
    </xdr:from>
    <xdr:to>
      <xdr:col>11</xdr:col>
      <xdr:colOff>533400</xdr:colOff>
      <xdr:row>16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3F7CFC-2997-4289-8D49-0208CF46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26</xdr:col>
      <xdr:colOff>228600</xdr:colOff>
      <xdr:row>27</xdr:row>
      <xdr:rowOff>176214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A179FD1-AA9A-4029-8CFD-D0D6B9A68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190498</xdr:colOff>
      <xdr:row>3</xdr:row>
      <xdr:rowOff>114300</xdr:rowOff>
    </xdr:from>
    <xdr:to>
      <xdr:col>36</xdr:col>
      <xdr:colOff>361949</xdr:colOff>
      <xdr:row>32</xdr:row>
      <xdr:rowOff>47626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F95CC4-9BE3-44A6-A77D-414BC02C5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ем Золотухин" refreshedDate="46020.97045335648" createdVersion="7" refreshedVersion="7" minRefreshableVersion="3" recordCount="434" xr:uid="{CE6CD5C8-D052-48B9-B819-3A67B1E45A98}">
  <cacheSource type="worksheet">
    <worksheetSource name="Клиенты"/>
  </cacheSource>
  <cacheFields count="12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49">
      <sharedItems count="666">
        <s v="Калинин Фадей Ефимович"/>
        <s v="Некрасова Вера Георгиевна"/>
        <s v="Бобров Никодим Игоревич"/>
        <s v="Носкова Вера Федоровна"/>
        <s v="Артемьева Александра Матвеевна"/>
        <s v="Калинина Ирина Филипповна"/>
        <s v="Брагина Зоя Кирилловна"/>
        <s v="Осипов Светозар Ефремович"/>
        <s v="Мамонтова Любовь Георгиевна"/>
        <s v="Брагин Август Вячеславович"/>
        <s v="Воробьев Мефодий Филиппович"/>
        <s v="Гурьев Влас Юлианович"/>
        <s v="Галкина Агата Юрьевна"/>
        <s v="Наумова Юлия Леоновна"/>
        <s v="Никонов Лонгин Арсенович"/>
        <s v="Иванов Филимон Федотович"/>
        <s v="Кудрявцев Демид Ерофеевич"/>
        <s v="Федосеева Вероника Евгеньевна"/>
        <s v="Герасимов Еремей Демидович"/>
        <s v="Новикова Лидия Павловна"/>
        <s v="Сорокина Феврония Натановна"/>
        <s v="Лазарева Нинель Натановна"/>
        <s v="Рыбаков Автоном Антонович"/>
        <s v="Бирюков Олимпий Иосифович"/>
        <s v="Шестаков Чеслав Виленович"/>
        <s v="Виноградов Карл Алексеевич"/>
        <s v="Кудрявцева Ульяна Филипповна"/>
        <s v="Рябова Майя Вадимовна"/>
        <s v="Тимофеева Лукия Ефимовна"/>
        <s v="Евдокимова Полина Николаевна"/>
        <s v="Королева Элеонора Ивановна"/>
        <s v="Журавлева Юлия Вячеславовна"/>
        <s v="Алексеев Касьян Ефимович"/>
        <s v="Дорофеев Феофан Гурьевич"/>
        <s v="Капустина Тамара Валериевна"/>
        <s v="Петров Ратибор Арсеньевич"/>
        <s v="Поляков Боян Андреевич"/>
        <s v="Иванов Христофор Ильясович"/>
        <s v="Гурьев Сила Денисович"/>
        <s v="Потапова Лора Болеславовна"/>
        <s v="Федотов Радислав Антонович"/>
        <s v="Лукин Харлампий Игнатович"/>
        <s v="Полякова Анжела Аскольдовна"/>
        <s v="Филиппова Юлия Леоновна"/>
        <s v="Мухин Дементий Антипович"/>
        <s v="Лапина Ия Никифоровна"/>
        <s v="Морозова Майя Борисовна"/>
        <s v="Самойлова Татьяна Эльдаровна"/>
        <s v="Стрелков Геннадий Бориславович"/>
        <s v="Фомичев Карп Афанасьевич"/>
        <s v="Кондратьева Валентина Львовна"/>
        <s v="Абрамова Евдокия Егоровна"/>
        <s v="Боброва Валентина Захаровна"/>
        <s v="Горшкова Василиса Святославовна"/>
        <s v="Шарапова Эмилия Руслановна"/>
        <s v="Шестакова Алина Михайловна"/>
        <s v="Колесникова Агата Геннадьевна"/>
        <s v="Панова Евгения Викторовна"/>
        <s v="Зимин Ипатий Устинович"/>
        <s v="Ефимова Регина Сергеевна"/>
        <s v="Чернова Регина Сергеевна"/>
        <s v="Исаков Бажен Дмитриевич"/>
        <s v="Иванова Иванна Наумовна"/>
        <s v="Родионов Капитон Харитонович"/>
        <s v="Кабанов Капитон Феликсович"/>
        <s v="Прохорова Галина Кирилловна"/>
        <s v="Шаров Панфил Федотович"/>
        <s v="Афанасьев Сократ Юльевич"/>
        <s v="Пестов Измаил Глебович"/>
        <s v="Ильина Милица Захаровна"/>
        <s v="Лыткина Вера Ждановна"/>
        <s v="Волков Аггей Терентьевич"/>
        <s v="Третьяков Владилен Иосифович"/>
        <s v="Егоров Ладимир Гурьевич"/>
        <s v="Кошелев Эммануил Ааронович"/>
        <s v="Зиновьев Сидор Вячеславович"/>
        <s v="Нестерова Регина Кирилловна"/>
        <s v="Силин Антип Ильясович"/>
        <s v="Третьякова Зоя Егоровна"/>
        <s v="Никифоров Виктор Жанович"/>
        <s v="Маслов Ратибор Андреевич"/>
        <s v="Жуков Никифор Фомич"/>
        <s v="Новикова Татьяна Михайловна"/>
        <s v="Игнатов Виктор Марсович"/>
        <s v="Абрамова Елизавета Эдуардовна"/>
        <s v="Мамонтов Чеслав Бориславович"/>
        <s v="Ефремов Епифан Ильич"/>
        <s v="Давыдов Леонид Арсенович"/>
        <s v="Медведева Алина Алексеевна"/>
        <s v="Федотова Ангелина Максимовна"/>
        <s v="Николаева Зинаида Ивановна"/>
        <s v="Дорофеев Тимур Валерьянович"/>
        <s v="Беляева Александра Владиславовна"/>
        <s v="Калинина Эмилия Олеговна"/>
        <s v="Копылова Жанна Архиповна"/>
        <s v="Князева Акулина Алексеевна"/>
        <s v="Евдокимов Януарий Феликсович"/>
        <s v="Соловьев Родион Данилович"/>
        <s v="Назаров Назар Августович"/>
        <s v="Кудряшова Василиса Болеславовна"/>
        <s v="Лазарев Софон Якубович"/>
        <s v="Бобылев Никодим Виленович"/>
        <s v="Трофимова Василиса Матвеевна"/>
        <s v="Горбунова Наина Филипповна"/>
        <s v="Блинов Натан Всеволодович"/>
        <s v="Никитин Светозар Харлампьевич"/>
        <s v="Фадеев Фрол Авдеевич"/>
        <s v="Ермаков Вадим Юлианович"/>
        <s v="Новикова Анжела Филипповна"/>
        <s v="Белозеров Лука Харлампьевич"/>
        <s v="Гурьев Евсей Гертрудович"/>
        <s v="Королев Феофан Бориславович"/>
        <s v="Бурова Марфа Игоревна"/>
        <s v="Александров Прокл Тимурович"/>
        <s v="Чернова Раиса Станиславовна"/>
        <s v="Харитонова Фёкла Феликсовна"/>
        <s v="Лазарев Арефий Анатольевич"/>
        <s v="Брагин Любомир Гертрудович"/>
        <s v="Зуева Маргарита Ждановна"/>
        <s v="Владимиров Авдей Брониславович"/>
        <s v="Кириллов Валерьян Иосипович"/>
        <s v="Тимофеева Анастасия Натановна"/>
        <s v="Борисова Мария Кузьминична"/>
        <s v="Фокин Самуил Зиновьевич"/>
        <s v="Зайцев Ефрем Даниилович"/>
        <s v="Лобанов Арсений Вилорович"/>
        <s v="Родионова Евпраксия Олеговна"/>
        <s v="Вишняков Фома Викентьевич"/>
        <s v="Носкова Ольга Ждановна"/>
        <s v="Жданов Аверьян Валерьевич"/>
        <s v="Филиппов Павел Игнатович"/>
        <s v="Лапин Эрнест Антипович"/>
        <s v="Зыкова Таисия Леонидовна"/>
        <s v="Назарова Василиса Леоновна"/>
        <s v="Авдеев Филипп Елисеевич"/>
        <s v="Васильев Милован Георгиевич"/>
        <s v="Копылов Лаврентий Артемьевич"/>
        <s v="Маслов Сократ Анатольевич"/>
        <s v="Савельев Федосий Феоктистович"/>
        <s v="Гущин Ипполит Яковлевич"/>
        <s v="Абрамов Спиридон Чеславович"/>
        <s v="Тихонова Евфросиния Феликсовна"/>
        <s v="Сазонова Оксана Александровна"/>
        <s v="Кулакова Нина Семеновна"/>
        <s v="Никифорова Анна Альбертовна"/>
        <s v="Щукин Христофор Авдеевич"/>
        <s v="Русаков Лев Тимурович"/>
        <s v="Мельникова Глафира Николаевна"/>
        <s v="Якушев Мина Гавриилович"/>
        <s v="Степанова Синклитикия Александровна"/>
        <s v="Федорова Жанна Вадимовна"/>
        <s v="Чернова Евфросиния Петровна"/>
        <s v="Горбунов Кир Васильевич"/>
        <s v="Зуев Гостомысл Игоревич"/>
        <s v="Данилова Любовь Романовна"/>
        <s v="Калинин Лев Феодосьевич"/>
        <s v="Корнилов Марк Яковлевич"/>
        <s v="Якушева Таисия Богдановна"/>
        <s v="Самойлова Жанна Семеновна"/>
        <s v="Медведева Валерия Владимировна"/>
        <s v="Беляков Филимон Ефимьевич"/>
        <s v="Миронов Аверкий Зиновьевич"/>
        <s v="Потапова Валерия Семеновна"/>
        <s v="Сорокина Феврония Геннадьевна"/>
        <s v="Одинцова Любовь Альбертовна"/>
        <s v="Воронцов Спиридон Владленович"/>
        <s v="Зыкова Алевтина Михайловна"/>
        <s v="Максимова Евпраксия Ждановна"/>
        <s v="Григорьева Анжела Ивановна"/>
        <s v="Маслова Агафья Юрьевна"/>
        <s v="Родионов Флорентин Демьянович"/>
        <s v="Рожкова Анжелика Валериевна"/>
        <s v="Никитина Виктория Наумовна"/>
        <s v="Брагина Полина Евгеньевна"/>
        <s v="Суханова Алла Эльдаровна"/>
        <s v="Исаков Юрий Августович"/>
        <s v="Владимиров Конон Валентинович"/>
        <s v="Лобанов Елисей Игнатович"/>
        <s v="Белов Симон Иосипович"/>
        <s v="Рожкова Маргарита Артемовна"/>
        <s v="Морозов Андрон Валерьевич"/>
        <s v="Сергеева Иванна Захаровна"/>
        <s v="Русаков Модест Захарьевич"/>
        <s v="Шарова Екатерина Леоновна"/>
        <s v="Цветков Лука Витальевич"/>
        <s v="Мясников Зосима Якубович"/>
        <s v="Бирюкова Агафья Артемовна"/>
        <s v="Савельев Климент Гурьевич"/>
        <s v="Волкова Валентина Николаевна"/>
        <s v="Филиппов Автоном Терентьевич"/>
        <s v="Абрамов Адриан Фролович"/>
        <s v="Самсонов Борислав Фролович"/>
        <s v="Сысоева Светлана Захаровна"/>
        <s v="Белова Ия Робертовна"/>
        <s v="Лукин Борис Власович"/>
        <s v="Воронов Никанор Феодосьевич"/>
        <s v="Гущин Александр Архипович"/>
        <s v="Большаков Антип Тихонович"/>
        <s v="Костина Жанна Рубеновна"/>
        <s v="Устинов Милан Архипович"/>
        <s v="Муравьева Алла Петровна"/>
        <s v="Белоусов Давыд Фёдорович"/>
        <s v="Никонов Софон Авдеевич"/>
        <s v="Фокин Глеб Елизарович"/>
        <s v="Устинов Евграф Исидорович"/>
        <s v="Васильева Ирина Анатольевна"/>
        <s v="Калинин Герман Арсеньевич"/>
        <s v="Капустина Юлия Кузьминична"/>
        <s v="Суханов Станислав Архипович"/>
        <s v="Третьяков Никита Венедиктович"/>
        <s v="Журавлева Александра Валентиновна"/>
        <s v="Ефимова Алевтина Архиповна"/>
        <s v="Ефремова Вероника Руслановна"/>
        <s v="Красильников Павел Ермилович"/>
        <s v="Гуляева Раиса Кузьминична"/>
        <s v="Маркова Василиса Юрьевна"/>
        <s v="Савин Николай Гавриилович"/>
        <s v="Максимова Елена Валериевна"/>
        <s v="Никифоров Богдан Харитонович"/>
        <s v="Макаров Велимир Игоревич"/>
        <s v="Тимофеев Аполлинарий Фомич"/>
        <s v="Лапин Потап Егорович"/>
        <s v="Степанов Никита Виленович"/>
        <s v="Логинов Агап Валерьевич"/>
        <s v="Исакова Людмила Олеговна"/>
        <s v="Вишняков Ярослав Анатольевич"/>
        <s v="Нестеров Чеслав Аверьянович"/>
        <s v="Цветков Валерьян Федосеевич"/>
        <s v="Богданов Матвей Адамович"/>
        <s v="Владимирова Алина Феликсовна"/>
        <s v="Турова Лора Вадимовна"/>
        <s v="Горбачев Мирон Давидович"/>
        <s v="Белякова Юлия Геннадиевна"/>
        <s v="Ермаков Ярослав Тихонович"/>
        <s v="Баранов Эраст Терентьевич"/>
        <s v="Воронова Вероника Геннадьевна"/>
        <s v="Назарова Ия Ивановна"/>
        <s v="Пономарев Любомир Архипович"/>
        <s v="Лапина Елизавета Яковлевна"/>
        <s v="Гурьева Людмила Владимировна"/>
        <s v="Дементьева Фёкла Натановна"/>
        <s v="Маслова Иванна Макаровна"/>
        <s v="Ковалева Клавдия Богдановна"/>
        <s v="Евсеев Ратмир Артемьевич"/>
        <s v="Хохлова Клавдия Константиновна"/>
        <s v="Фролова Анастасия Альбертовна"/>
        <s v="Федосеева Василиса Аскольдовна"/>
        <s v="Рожкова Евгения Георгиевна"/>
        <s v="Авдеева Ксения Кузьминична"/>
        <s v="Кудряшова Елена Эдуардовна"/>
        <s v="Колесников Константин Ефимьевич"/>
        <s v="Фомина Евпраксия Федоровна"/>
        <s v="Денисов Дмитрий Трифонович"/>
        <s v="Цветкова Пелагея Антоновна"/>
        <s v="Давыдов Амос Владиславович"/>
        <s v="Лазарев Аникей Венедиктович"/>
        <s v="Фомина Антонина Павловна"/>
        <s v="Белоусова Ираида Феликсовна"/>
        <s v="Рогова Кира Степановна"/>
        <s v="Кузнецов Севастьян Валерьевич"/>
        <s v="Родионова Ираида Егоровна"/>
        <s v="Шубин Орест Августович"/>
        <s v="Сорокина Марфа Викторовна"/>
        <s v="Гурьева Лариса Степановна"/>
        <s v="Михайлова Олимпиада Львовна"/>
        <s v="Фролов Савватий Богданович"/>
        <s v="Миронова Евфросиния Тимофеевна"/>
        <s v="Назаров Пантелеймон Трофимович"/>
        <s v="Брагин Любим Зиновьевич"/>
        <s v="Блинова Вероника Сергеевна"/>
        <s v="Белоусова Прасковья Яковлевна"/>
        <s v="Коновалов Родион Яковлевич"/>
        <s v="Артемьева София Ильинична"/>
        <s v="Дьячков Серафим Дорофеевич"/>
        <s v="Калашников Боян Дорофеевич"/>
        <s v="Овчинникова Синклитикия Никифоровна"/>
        <s v="Щербаков Елизар Архипович"/>
        <s v="Капустина Любовь Павловна"/>
        <s v="Емельянов Арсений Ермолаевич"/>
        <s v="Смирнова Мария Анатольевна"/>
        <s v="Сергеев Эдуард Фадеевич"/>
        <s v="Белова Анастасия Игоревна"/>
        <s v="Мясников Демид Антонович"/>
        <s v="Кулагина Феврония Антоновна"/>
        <s v="Ермакова Дарья Алексеевна"/>
        <s v="Шестакова Элеонора Дмитриевна"/>
        <s v="Лихачев Михей Феликсович"/>
        <s v="Авдеев Ираклий Изотович"/>
        <s v="Кононова Прасковья Павловна"/>
        <s v="Туров Любомир Валерианович"/>
        <s v="Сергеев Панкратий Теймуразович"/>
        <s v="Павлова Татьяна Павловна"/>
        <s v="Поляков Силантий Адамович"/>
        <s v="Герасимов Родион Харитонович"/>
        <s v="Александрова Эмилия Вадимовна"/>
        <s v="Журавлева Нинель Кузьминична"/>
        <s v="Маркова Ксения Максимовна"/>
        <s v="Фомичев Ипполит Артурович"/>
        <s v="Новиков Галактион Жанович"/>
        <s v="Белякова Алевтина Ефимовна"/>
        <s v="Куликова Евгения Григорьевна"/>
        <s v="Кошелева Марина Рудольфовна"/>
        <s v="Кузьмин Пахом Даниилович"/>
        <s v="Морозова Феврония Николаевна"/>
        <s v="Потапова Дарья Степановна"/>
        <s v="Владимиров Орест Артемьевич"/>
        <s v="Калинин Никита Артурович"/>
        <s v="Панова Зоя Вячеславовна"/>
        <s v="Власов Лука Игнатьевич"/>
        <s v="Беляков Лавр Харлампович"/>
        <s v="Дементьева Прасковья Петровна"/>
        <s v="Карпова Евдокия Ефимовна"/>
        <s v="Комиссаров Корнил Адрианович"/>
        <s v="Блинов Алексей Трифонович"/>
        <s v="Орехова Кира Натановна"/>
        <s v="Веселов Рубен Димитриевич"/>
        <s v="Семенова Валентина Кирилловна"/>
        <s v="Журавлев Аристарх Евсеевич"/>
        <s v="Силина Татьяна Аркадьевна"/>
        <s v="Дроздов Николай Феоктистович"/>
        <s v="Колобов Радислав Герасимович"/>
        <s v="Баранов Мартын Августович"/>
        <s v="Фомина Алла Геннадьевна"/>
        <s v="Копылова Эмилия Тарасовна"/>
        <s v="Власов Адриан Чеславович"/>
        <s v="Григорьева Ульяна Артемовна"/>
        <s v="Мухин Давыд Филатович"/>
        <s v="Артемьев Аггей Валентинович"/>
        <s v="Жданова Антонина Борисовна"/>
        <s v="Маслов Захар Феофанович"/>
        <s v="Ширяев Станислав Ильясович"/>
        <s v="Колесникова Наталья Геннадьевна"/>
        <s v="Ермаков Степан Егорович"/>
        <s v="Маслова Анастасия Станиславовна"/>
        <s v="Титова Марфа Георгиевна"/>
        <s v="Копылов Мартьян Августович"/>
        <s v="Рогов Сила Гордеевич"/>
        <s v="Захаров Леон Аверьянович"/>
        <s v="Воробьев Захар Артемьевич"/>
        <s v="Анисимов Вадим Артёмович"/>
        <s v="Михеев Андроник Ефимьевич"/>
        <s v="Лаврентьева Маргарита Артемовна"/>
        <s v="Зыков Измаил Глебович"/>
        <s v="Щукина Элеонора Робертовна"/>
        <s v="Гаврилов Амвросий Артемьевич"/>
        <s v="Шубина Феврония Юрьевна"/>
        <s v="Никитина Лора Георгиевна"/>
        <s v="Семенов Максим Анатольевич"/>
        <s v="Горбунова Алевтина Максимовна"/>
        <s v="Семенова Жанна Станиславовна"/>
        <s v="Соколова Виктория Ильинична"/>
        <s v="Новикова Ия Рубеновна"/>
        <s v="Гаврилов Матвей Трифонович"/>
        <s v="Пономарев Творимир Демидович"/>
        <s v="Кулакова Екатерина Рудольфовна"/>
        <s v="Соколова Кира Дмитриевна"/>
        <s v="Новиков Ростислав Августович"/>
        <s v="Моисеев Евстафий Чеславович"/>
        <s v="Данилова Елизавета Артемовна"/>
        <s v="Веселова Фаина Аркадьевна"/>
        <s v="Кузнецова Алевтина Егоровна"/>
        <s v="Одинцов Гостомысл Фомич"/>
        <s v="Миронова Клавдия Феликсовна"/>
        <s v="Макарова Марфа Эдуардовна"/>
        <s v="Мамонтов Елизар Харлампьевич"/>
        <s v="Зимина Октябрина Павловна"/>
        <s v="Васильева Анжелика Наумовна"/>
        <s v="Королев Эммануил Валерьевич"/>
        <s v="Лыткина Ираида Александровна"/>
        <s v="Фомичева Феврония Даниловна"/>
        <s v="Баранова Раиса Эльдаровна"/>
        <s v="Ефимова Анна Филипповна"/>
        <s v="Зуев Трифон Зиновьевич"/>
        <s v="Нестерова Таисия Яковлевна"/>
        <s v="Шарова Ирина Макаровна"/>
        <s v="Кононова Элеонора Юрьевна"/>
        <s v="Новикова Любовь Богдановна"/>
        <s v="Русакова Полина Михайловна"/>
        <s v="Ермаков Всеслав Эдуардович"/>
        <s v="Медведев Гордей Матвеевич"/>
        <s v="Исакова Алевтина Алексеевна"/>
        <s v="Мартынов Фома Гордеевич"/>
        <s v="Петрова Майя Богдановна"/>
        <s v="Бобылева Анна Мироновна"/>
        <s v="Кудряшов Влас Алексеевич"/>
        <s v="Миронов Фома Вилорович"/>
        <s v="Алексеев Харлампий Демьянович"/>
        <s v="Горшкова Клавдия Борисовна"/>
        <s v="Григорьев Сократ Ануфриевич"/>
        <s v="Овчинникова Зоя Вячеславовна"/>
        <s v="Титова Ксения Дмитриевна"/>
        <s v="Князев Платон Андреевич"/>
        <s v="Меркушева Марина Наумовна"/>
        <s v="Якушева Светлана Даниловна"/>
        <s v="Тихонова Ираида Ефимовна"/>
        <s v="Воробьева Иванна Юрьевна"/>
        <s v="Стрелков Любомир Ермолаевич"/>
        <s v="Петухова Галина Семеновна"/>
        <s v="Кириллова Пелагея Юльевна"/>
        <s v="Воронов Еремей Бориславович"/>
        <s v="Филатова Александра Геннадиевна"/>
        <s v="Белоусова Марфа Архиповна"/>
        <s v="Захаров Эммануил Филимонович"/>
        <s v="Абрамов Амвросий Богданович"/>
        <s v="Волков Викентий Герасимович"/>
        <s v="Одинцов Анисим Евсеевич"/>
        <s v="Потапов Никодим Арсенович"/>
        <s v="Сидорова Алла Рудольфовна"/>
        <s v="Мартынова Агата Олеговна"/>
        <s v="Стрелкова Наина Эдуардовна"/>
        <s v="Панов Ипат Дмитриевич"/>
        <s v="Гришин Творимир Артурович"/>
        <s v="Лаврентьева Вера Владиславовна"/>
        <s v="Корнилов Леон Иосипович"/>
        <s v="Игнатова Вера Вячеславовна"/>
        <s v="Михайлова Лора Наумовна"/>
        <s v="Яковлев Феликс Ааронович"/>
        <s v="Емельянов Игорь Андреевич"/>
        <s v="Веселов Любосмысл Тихонович"/>
        <s v="Данилова Ольга Аскольдовна"/>
        <s v="Цветкова Эмилия Болеславовна"/>
        <s v="Константинов Милован Денисович"/>
        <s v="Николаева Светлана Семеновна"/>
        <s v="Иванова Людмила Борисовна"/>
        <s v="Евсеев Амос Гордеевич"/>
        <s v="Молчанов Якуб Филатович"/>
        <s v="Афанасьев Кузьма Исидорович"/>
        <s v="Крюкова Лариса Романовна"/>
        <s v="Авдеев Олимпий Жанович"/>
        <s v="Воробьева Анжела Аскольдовна"/>
        <s v="Белоусова Жанна Кузьминична"/>
        <s v="Юдин Амвросий Игнатович"/>
        <s v="Соловьева Евдокия Эдуардовна"/>
        <s v="Крюкова Лидия Андреевна"/>
        <s v="Евдокия Эдуардовна Соловьева" u="1"/>
        <s v="Аггей Терентьевич Волков" u="1"/>
        <s v="Давыд Фёдорович Белоусов" u="1"/>
        <s v="Николай Феоктистович Дроздов" u="1"/>
        <s v="Харлампий Демьянович Алексеев" u="1"/>
        <s v="Автоном Терентьевич Филиппов" u="1"/>
        <s v="Прасковья Петровна Дементьева" u="1"/>
        <s v="Ратибор Андреевич Маслов" u="1"/>
        <s v="Елена Эдуардовна Кудряшова" u="1"/>
        <s v="Маргарита Ждановна Зуева" u="1"/>
        <s v="Александра Владиславовна Беляева" u="1"/>
        <s v="Кира Степановна Рогова" u="1"/>
        <s v="Вадим Артёмович Анисимов" u="1"/>
        <s v="Александра Геннадиевна Филатова" u="1"/>
        <s v="Агата Олеговна Мартынова" u="1"/>
        <s v="Екатерина Рудольфовна Кулакова" u="1"/>
        <s v="Фёкла Феликсовна Харитонова" u="1"/>
        <s v="Сократ Юльевич Афанасьев" u="1"/>
        <s v="Ипатий Устинович Зимин" u="1"/>
        <s v="Октябрина Павловна Зимина" u="1"/>
        <s v="Светлана Семеновна Николаева" u="1"/>
        <s v="Иванна Захаровна Сергеева" u="1"/>
        <s v="Любовь Павловна Капустина" u="1"/>
        <s v="Август Вячеславович Брагин" u="1"/>
        <s v="Лора Болеславовна Потапова" u="1"/>
        <s v="г-жа Ефимова Анна Филипповна" u="1"/>
        <s v="Элеонора Ивановна Королева" u="1"/>
        <s v="Галактион Жанович Новиков" u="1"/>
        <s v="Нинель Кузьминична Журавлева" u="1"/>
        <s v="Лариса Степановна Гурьева" u="1"/>
        <s v="Бажен Дмитриевич Исаков" u="1"/>
        <s v="г-н Рыбаков Автоном Антонович" u="1"/>
        <s v="Эммануил Ааронович Кошелев" u="1"/>
        <s v="Глафира Николаевна Мельникова" u="1"/>
        <s v="Юлия Леоновна Наумова" u="1"/>
        <s v="Валентина Кирилловна Семенова" u="1"/>
        <s v="Измаил Глебович Зыков" u="1"/>
        <s v="Галина Семеновна Петухова" u="1"/>
        <s v="Лукия Ефимовна Тимофеева" u="1"/>
        <s v="Лавр Харлампович Беляков" u="1"/>
        <s v="Алевтина Ефимовна Белякова" u="1"/>
        <s v="Кир Васильевич Горбунов" u="1"/>
        <s v="Герман Арсеньевич Калинин" u="1"/>
        <s v="Ираида Егоровна Родионова" u="1"/>
        <s v="Любомир Валерианович Туров" u="1"/>
        <s v="Владилен Иосифович Третьяков" u="1"/>
        <s v="Валерия Владимировна Медведева" u="1"/>
        <s v="Мефодий Филиппович Воробьев" u="1"/>
        <s v="Зоя Кирилловна Брагина" u="1"/>
        <s v="Марфа Архиповна Белоусова" u="1"/>
        <s v="Валерия Семеновна Потапова" u="1"/>
        <s v="Виктор Марсович Игнатов" u="1"/>
        <s v="Феврония Антоновна Кулагина" u="1"/>
        <s v="Родион Яковлевич Коновалов" u="1"/>
        <s v="Флорентин Демьянович Родионов" u="1"/>
        <s v="Эмилия Болеславовна Цветкова" u="1"/>
        <s v="г-жа Миронова Клавдия Феликсовна" u="1"/>
        <s v="Любим Зиновьевич Брагин" u="1"/>
        <s v="Прасковья Яковлевна Белоусова" u="1"/>
        <s v="Алевтина Егоровна Кузнецова" u="1"/>
        <s v="Захар Артемьевич Воробьев" u="1"/>
        <s v="Любосмысл Тихонович Веселов" u="1"/>
        <s v="Марфа Эдуардовна Макарова" u="1"/>
        <s v="г-н Копылов Лаврентий Артемьевич" u="1"/>
        <s v="Лука Игнатьевич Власов" u="1"/>
        <s v="Анжела Филипповна Новикова" u="1"/>
        <s v="Ия Робертовна Белова" u="1"/>
        <s v="Прокл Тимурович Александров" u="1"/>
        <s v="Марфа Георгиевна Титова" u="1"/>
        <s v="Валерьян Федосеевич Цветков" u="1"/>
        <s v="Конон Валентинович Владимиров" u="1"/>
        <s v="Ираклий Изотович Авдеев" u="1"/>
        <s v="Татьяна Павловна Павлова" u="1"/>
        <s v="Елисей Игнатович Лобанов" u="1"/>
        <s v="Любовь Богдановна Новикова" u="1"/>
        <s v="Якуб Филатович Молчанов" u="1"/>
        <s v="Ольга Аскольдовна Данилова" u="1"/>
        <s v="Лариса Романовна Крюкова" u="1"/>
        <s v="Дмитрий Трифонович Денисов" u="1"/>
        <s v="Зоя Егоровна Третьякова" u="1"/>
        <s v="тов. Степанова Синклитикия Александровна" u="1"/>
        <s v="Анжелика Валериевна Рожкова" u="1"/>
        <s v="Карп Афанасьевич Фомичев" u="1"/>
        <s v="Людмила Борисовна Иванова" u="1"/>
        <s v="Евгения Георгиевна Рожкова" u="1"/>
        <s v="Панфил Федотович Шаров" u="1"/>
        <s v="Амвросий Игнатович Юдин" u="1"/>
        <s v="Велимир Игоревич Макаров" u="1"/>
        <s v="Алевтина Михайловна Зыкова" u="1"/>
        <s v="г-жа Воробьева Иванна Юрьевна" u="1"/>
        <s v="Спиридон Владленович Воронцов" u="1"/>
        <s v="Потап Егорович Лапин" u="1"/>
        <s v="Никодим Игоревич Бобров" u="1"/>
        <s v="Антонина Борисовна Жданова" u="1"/>
        <s v="Мирон Давидович Горбачев" u="1"/>
        <s v="Матвей Адамович Богданов" u="1"/>
        <s v="Фрол Авдеевич Фадеев" u="1"/>
        <s v="Наталья Геннадьевна Колесникова" u="1"/>
        <s v="Елизар Архипович Щербаков" u="1"/>
        <s v="Юлия Кузьминична Капустина" u="1"/>
        <s v="Марк Яковлевич Корнилов" u="1"/>
        <s v="Вероника Геннадьевна Воронова" u="1"/>
        <s v="Филимон Ефимьевич Беляков" u="1"/>
        <s v="Регина Кирилловна Нестерова" u="1"/>
        <s v="Амос Гордеевич Евсеев" u="1"/>
        <s v="Любовь Романовна Данилова" u="1"/>
        <s v="Валентина Захаровна Боброва" u="1"/>
        <s v="Ирина Анатольевна Васильева" u="1"/>
        <s v="Фадей Ефимович Калинин" u="1"/>
        <s v="Любомир Ермолаевич Стрелков" u="1"/>
        <s v="Нинель Натановна Лазарева" u="1"/>
        <s v="Анастасия Игоревна Белова" u="1"/>
        <s v="Гостомысл Фомич Одинцов" u="1"/>
        <s v="Мартын Августович Баранов" u="1"/>
        <s v="Виктор Жанович Никифоров" u="1"/>
        <s v="Сила Денисович Гурьев" u="1"/>
        <s v="Арсений Вилорович Лобанов" u="1"/>
        <s v="Регина Сергеевна Ефимова" u="1"/>
        <s v="Рубен Димитриевич Веселов" u="1"/>
        <s v="Ксения Кузьминична Авдеева" u="1"/>
        <s v="Чеслав Бориславович Мамонтов" u="1"/>
        <s v="Василиса Леоновна Назарова" u="1"/>
        <s v="Анастасия Альбертовна Фролова" u="1"/>
        <s v="Анжела Ивановна Григорьева" u="1"/>
        <s v="Елизавета Яковлевна Лапина" u="1"/>
        <s v="Феврония Юрьевна Шубина" u="1"/>
        <s v="Феофан Гурьевич Дорофеев" u="1"/>
        <s v="Вера Георгиевна Некрасова" u="1"/>
        <s v="Олимпиада Львовна Михайлова" u="1"/>
        <s v="Станислав Ильясович Ширяев" u="1"/>
        <s v="Лора Вадимовна Турова" u="1"/>
        <s v="Таисия Богдановна Якушева" u="1"/>
        <s v="Майя Вадимовна Рябова" u="1"/>
        <s v="Сидор Вячеславович Зиновьев" u="1"/>
        <s v="Никанор Феодосьевич Воронов" u="1"/>
        <s v="Михей Феликсович Лихачев" u="1"/>
        <s v="Николай Гавриилович Савин" u="1"/>
        <s v="Анна Альбертовна Никифорова" u="1"/>
        <s v="Ирина Макаровна Шарова" u="1"/>
        <s v="Регина Сергеевна Чернова" u="1"/>
        <s v="Пелагея Антоновна Цветкова" u="1"/>
        <s v="Лонгин Арсенович Никонов" u="1"/>
        <s v="Клавдия Богдановна Ковалева" u="1"/>
        <s v="Дементий Антипович Мухин" u="1"/>
        <s v="Спиридон Чеславович Абрамов" u="1"/>
        <s v="Самуил Зиновьевич Фокин" u="1"/>
        <s v="Пахом Даниилович Кузьмин" u="1"/>
        <s v="Евфросиния Тимофеевна Миронова" u="1"/>
        <s v="Андрон Валерьевич Морозов" u="1"/>
        <s v="Александра Матвеевна Артемьева" u="1"/>
        <s v="Никита Венедиктович Третьяков" u="1"/>
        <s v="Эмилия Руслановна Шарапова" u="1"/>
        <s v="Эммануил Валерьевич Королев" u="1"/>
        <s v="Капитон Феликсович Кабанов" u="1"/>
        <s v="Клавдия Константиновна Хохлова" u="1"/>
        <s v="Алевтина Алексеевна Исакова" u="1"/>
        <s v="Вероника Сергеевна Блинова" u="1"/>
        <s v="Евфросиния Петровна Чернова" u="1"/>
        <s v="Ладимир Гурьевич Егоров" u="1"/>
        <s v="Эмилия Олеговна Калинина" u="1"/>
        <s v="Арсений Ермолаевич Емельянов" u="1"/>
        <s v="Юрий Августович Исаков" u="1"/>
        <s v="Синклитикия Никифоровна Овчинникова" u="1"/>
        <s v="Юлия Геннадиевна Белякова" u="1"/>
        <s v="Давыд Филатович Мухин" u="1"/>
        <s v="Леонид Арсенович Давыдов" u="1"/>
        <s v="Радислав Герасимович Колобов" u="1"/>
        <s v="Ипат Дмитриевич Панов" u="1"/>
        <s v="Аггей Валентинович Артемьев" u="1"/>
        <s v="Эмилия Вадимовна Александрова" u="1"/>
        <s v="Никодим Арсенович Потапов" u="1"/>
        <s v="Елизар Харлампьевич Мамонтов" u="1"/>
        <s v="Агата Геннадьевна Колесникова" u="1"/>
        <s v="Леон Аверьянович Захаров" u="1"/>
        <s v="Капитон Харитонович Родионов" u="1"/>
        <s v="Амвросий Артемьевич Гаврилов" u="1"/>
        <s v="Любовь Георгиевна Мамонтова" u="1"/>
        <s v="Любовь Альбертовна Одинцова" u="1"/>
        <s v="Виктория Ильинична Соколова" u="1"/>
        <s v="Евпраксия Федоровна Фомина" u="1"/>
        <s v="Дарья Степановна Потапова" u="1"/>
        <s v="Раиса Станиславовна Чернова" u="1"/>
        <s v="Вероника Евгеньевна Федосеева" u="1"/>
        <s v="Мария Кузьминична Борисова" u="1"/>
        <s v="Алексей Трифонович Блинов" u="1"/>
        <s v="Галина Кирилловна Прохорова" u="1"/>
        <s v="Алла Рудольфовна Сидорова" u="1"/>
        <s v="Константин Ефимьевич Колесников" u="1"/>
        <s v="Филимон Федотович Иванов" u="1"/>
        <s v="Иванна Наумовна Иванова" u="1"/>
        <s v="Творимир Артурович Гришин" u="1"/>
        <s v="Фёкла Натановна Дементьева" u="1"/>
        <s v="тов. Копылова Жанна Архиповна" u="1"/>
        <s v="Еремей Бориславович Воронов" u="1"/>
        <s v="Евдокия Ефимовна Карпова" u="1"/>
        <s v="Корнил Адрианович Комиссаров" u="1"/>
        <s v="Эммануил Филимонович Захаров" u="1"/>
        <s v="Лидия Андреевна Крюкова" u="1"/>
        <s v="Савватий Богданович Фролов" u="1"/>
        <s v="Ираида Феликсовна Белоусова" u="1"/>
        <s v="Алла Геннадьевна Фомина" u="1"/>
        <s v="Елизавета Артемовна Данилова" u="1"/>
        <s v="Александр Архипович Гущин" u="1"/>
        <s v="Ратибор Арсеньевич Петров" u="1"/>
        <s v="Демид Антонович Мясников" u="1"/>
        <s v="Боян Дорофеевич Калашников" u="1"/>
        <s v="Гордей Матвеевич Медведев" u="1"/>
        <s v="Эдуард Фадеевич Сергеев" u="1"/>
        <s v="Максим Анатольевич Семенов" u="1"/>
        <s v="Юлия Вячеславовна Журавлева" u="1"/>
        <s v="Полина Николаевна Евдокимова" u="1"/>
        <s v="Авдей Брониславович Владимиров" u="1"/>
        <s v="Алина Михайловна Шестакова" u="1"/>
        <s v="Христофор Авдеевич Щукин" u="1"/>
        <s v="Вероника Руслановна Ефремова" u="1"/>
        <s v="Чеслав Виленович Шестаков" u="1"/>
        <s v="Мария Анатольевна Смирнова" u="1"/>
        <s v="Алевтина Архиповна Ефимова" u="1"/>
        <s v="г-н Савельев Федосий Феоктистович" u="1"/>
        <s v="Любомир Архипович Пономарев" u="1"/>
        <s v="Феликс Ааронович Яковлев" u="1"/>
        <s v="Никита Виленович Степанов" u="1"/>
        <s v="Зоя Вячеславовна Панова" u="1"/>
        <s v="Агап Валерьевич Логинов" u="1"/>
        <s v="Агата Юрьевна Галкина" u="1"/>
        <s v="Жанна Станиславовна Семенова" u="1"/>
        <s v="Назар Августович Назаров" u="1"/>
        <s v="Фаина Аркадьевна Веселова" u="1"/>
        <s v="Татьяна Михайловна Новикова" u="1"/>
        <s v="г-н Зуев Трифон Зиновьевич" u="1"/>
        <s v="Ия Никифоровна Лапина" u="1"/>
        <s v="Виктория Наумовна Никитина" u="1"/>
      </sharedItems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ды телефона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Текущая дата" numFmtId="14">
      <sharedItems containsSemiMixedTypes="0" containsNonDate="0" containsDate="1" containsString="0" minDate="2025-12-29T00:00:00" maxDate="2025-12-30T00:00:00"/>
    </cacheField>
    <cacheField name="нахождение клиента" numFmtId="165">
      <sharedItems containsSemiMixedTypes="0" containsString="0" containsNumber="1" minValue="36.533333333333331" maxValue="48.6"/>
    </cacheField>
    <cacheField name="Фамилия" numFmtId="0">
      <sharedItems/>
    </cacheField>
    <cacheField name="Имя" numFmtId="0">
      <sharedItems count="230">
        <s v="Фадей"/>
        <s v="Вера"/>
        <s v="Никодим"/>
        <s v="Александра"/>
        <s v="Ирина"/>
        <s v="Зоя"/>
        <s v="Светозар"/>
        <s v="Любовь"/>
        <s v="Август"/>
        <s v="Мефодий"/>
        <s v="Влас"/>
        <s v="Агата"/>
        <s v="Юлия"/>
        <s v="Лонгин"/>
        <s v="Филимон"/>
        <s v="Демид"/>
        <s v="Вероника"/>
        <s v="Еремей"/>
        <s v="Лидия"/>
        <s v="Феврония"/>
        <s v="Нинель"/>
        <s v="Автоном"/>
        <s v="Олимпий"/>
        <s v="Чеслав"/>
        <s v="Карл"/>
        <s v="Ульяна"/>
        <s v="Майя"/>
        <s v="Лукия"/>
        <s v="Полина"/>
        <s v="Элеонора"/>
        <s v="Касьян"/>
        <s v="Феофан"/>
        <s v="Тамара"/>
        <s v="Ратибор"/>
        <s v="Боян"/>
        <s v="Христофор"/>
        <s v="Сила"/>
        <s v="Лора"/>
        <s v="Радислав"/>
        <s v="Харлампий"/>
        <s v="Анжела"/>
        <s v="Дементий"/>
        <s v="Ия"/>
        <s v="Татьяна"/>
        <s v="Геннадий"/>
        <s v="Карп"/>
        <s v="Валентина"/>
        <s v="Евдокия"/>
        <s v="Василиса"/>
        <s v="Эмилия"/>
        <s v="Алина"/>
        <s v="Евгения"/>
        <s v="Ипатий"/>
        <s v="Регина"/>
        <s v="Бажен"/>
        <s v="Иванна"/>
        <s v="Капитон"/>
        <s v="Галина"/>
        <s v="Панфил"/>
        <s v="Сократ"/>
        <s v="Измаил"/>
        <s v="Милица"/>
        <s v="Аггей"/>
        <s v="Владилен"/>
        <s v="Ладимир"/>
        <s v="Эммануил"/>
        <s v="Сидор"/>
        <s v="Антип"/>
        <s v="Виктор"/>
        <s v="Никифор"/>
        <s v="Елизавета"/>
        <s v="Епифан"/>
        <s v="Леонид"/>
        <s v="Ангелина"/>
        <s v="Зинаида"/>
        <s v="Тимур"/>
        <s v="Жанна"/>
        <s v="Акулина"/>
        <s v="Януарий"/>
        <s v="Родион"/>
        <s v="Назар"/>
        <s v="Софон"/>
        <s v="Наина"/>
        <s v="Натан"/>
        <s v="Фрол"/>
        <s v="Вадим"/>
        <s v="Лука"/>
        <s v="Евсей"/>
        <s v="Марфа"/>
        <s v="Прокл"/>
        <s v="Раиса"/>
        <s v="Фёкла"/>
        <s v="Арефий"/>
        <s v="Любомир"/>
        <s v="Маргарита"/>
        <s v="Авдей"/>
        <s v="Валерьян"/>
        <s v="Анастасия"/>
        <s v="Мария"/>
        <s v="Самуил"/>
        <s v="Ефрем"/>
        <s v="Арсений"/>
        <s v="Евпраксия"/>
        <s v="Фома"/>
        <s v="Ольга"/>
        <s v="Аверьян"/>
        <s v="Павел"/>
        <s v="Эрнест"/>
        <s v="Таисия"/>
        <s v="Филипп"/>
        <s v="Милован"/>
        <s v="Лаврентий"/>
        <s v="Федосий"/>
        <s v="Ипполит"/>
        <s v="Спиридон"/>
        <s v="Евфросиния"/>
        <s v="Оксана"/>
        <s v="Нина"/>
        <s v="Анна"/>
        <s v="Лев"/>
        <s v="Глафира"/>
        <s v="Мина"/>
        <s v="Синклитикия"/>
        <s v="Кир"/>
        <s v="Гостомысл"/>
        <s v="Марк"/>
        <s v="Валерия"/>
        <s v="Аверкий"/>
        <s v="Алевтина"/>
        <s v="Агафья"/>
        <s v="Флорентин"/>
        <s v="Анжелика"/>
        <s v="Виктория"/>
        <s v="Алла"/>
        <s v="Юрий"/>
        <s v="Конон"/>
        <s v="Елисей"/>
        <s v="Симон"/>
        <s v="Андрон"/>
        <s v="Модест"/>
        <s v="Екатерина"/>
        <s v="Зосима"/>
        <s v="Климент"/>
        <s v="Адриан"/>
        <s v="Борислав"/>
        <s v="Светлана"/>
        <s v="Борис"/>
        <s v="Никанор"/>
        <s v="Александр"/>
        <s v="Милан"/>
        <s v="Давыд"/>
        <s v="Глеб"/>
        <s v="Евграф"/>
        <s v="Герман"/>
        <s v="Станислав"/>
        <s v="Никита"/>
        <s v="Николай"/>
        <s v="Елена"/>
        <s v="Богдан"/>
        <s v="Велимир"/>
        <s v="Аполлинарий"/>
        <s v="Потап"/>
        <s v="Агап"/>
        <s v="Людмила"/>
        <s v="Ярослав"/>
        <s v="Матвей"/>
        <s v="Мирон"/>
        <s v="Эраст"/>
        <s v="Клавдия"/>
        <s v="Ратмир"/>
        <s v="Ксения"/>
        <s v="Константин"/>
        <s v="Дмитрий"/>
        <s v="Пелагея"/>
        <s v="Амос"/>
        <s v="Аникей"/>
        <s v="Антонина"/>
        <s v="Ираида"/>
        <s v="Кира"/>
        <s v="Севастьян"/>
        <s v="Орест"/>
        <s v="Лариса"/>
        <s v="Олимпиада"/>
        <s v="Савватий"/>
        <s v="Пантелеймон"/>
        <s v="Любим"/>
        <s v="Прасковья"/>
        <s v="София"/>
        <s v="Серафим"/>
        <s v="Елизар"/>
        <s v="Эдуард"/>
        <s v="Дарья"/>
        <s v="Михей"/>
        <s v="Ираклий"/>
        <s v="Панкратий"/>
        <s v="Силантий"/>
        <s v="Галактион"/>
        <s v="Марина"/>
        <s v="Пахом"/>
        <s v="Лавр"/>
        <s v="Корнил"/>
        <s v="Алексей"/>
        <s v="Рубен"/>
        <s v="Аристарх"/>
        <s v="Мартын"/>
        <s v="Захар"/>
        <s v="Наталья"/>
        <s v="Степан"/>
        <s v="Мартьян"/>
        <s v="Леон"/>
        <s v="Андроник"/>
        <s v="Амвросий"/>
        <s v="Максим"/>
        <s v="Творимир"/>
        <s v="Ростислав"/>
        <s v="Евстафий"/>
        <s v="Фаина"/>
        <s v="Октябрина"/>
        <s v="Трифон"/>
        <s v="Всеслав"/>
        <s v="Гордей"/>
        <s v="Платон"/>
        <s v="Викентий"/>
        <s v="Анисим"/>
        <s v="Ипат"/>
        <s v="Феликс"/>
        <s v="Игорь"/>
        <s v="Любосмысл"/>
        <s v="Якуб"/>
        <s v="Кузьма"/>
      </sharedItems>
    </cacheField>
    <cacheField name="Отчество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ем Золотухин" refreshedDate="46020.991983333333" createdVersion="7" refreshedVersion="7" minRefreshableVersion="3" recordCount="1000" xr:uid="{D5A766C2-2368-4F98-AAD9-C84EAB4DE490}">
  <cacheSource type="worksheet">
    <worksheetSource name="Продажи"/>
  </cacheSource>
  <cacheFields count="18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/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17"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5">
      <sharedItems containsSemiMixedTypes="0" containsString="0" containsNumber="1" minValue="249.02380952380952" maxValue="300.31818181818181"/>
    </cacheField>
    <cacheField name="Выгода для клиентов" numFmtId="9">
      <sharedItems containsSemiMixedTypes="0" containsString="0" containsNumber="1" minValue="-0.81562185719074753" maxValue="1.0078401376804664"/>
    </cacheField>
    <cacheField name="Поставщик товара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стоимость в категории по поставщику" numFmtId="165">
      <sharedItems containsSemiMixedTypes="0" containsString="0" containsNumber="1" minValue="82" maxValue="369.2"/>
    </cacheField>
    <cacheField name="Дата регистрации клиентов" numFmtId="14">
      <sharedItems containsSemiMixedTypes="0" containsNonDate="0" containsDate="1" containsString="0" minDate="2022-01-01T00:00:00" maxDate="2022-12-30T00:00:00"/>
    </cacheField>
    <cacheField name="Кол-во дней с момента регистрации" numFmtId="0">
      <sharedItems containsSemiMixedTypes="0" containsString="0" containsNumber="1" containsInteger="1" minValue="8" maxValue="866"/>
    </cacheField>
    <cacheField name="Стран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Кварталы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315"/>
    <s v="+998 469-847-6587"/>
    <x v="0"/>
    <x v="0"/>
    <d v="2022-07-05T00:00:00"/>
    <s v="+998"/>
    <x v="0"/>
    <d v="2025-12-29T00:00:00"/>
    <n v="42.43333333333333"/>
    <s v="Калинин"/>
    <x v="0"/>
    <s v="Ефимович"/>
  </r>
  <r>
    <n v="253"/>
    <s v="+375 796-304-7865"/>
    <x v="1"/>
    <x v="0"/>
    <d v="2022-07-08T00:00:00"/>
    <s v="+375"/>
    <x v="1"/>
    <d v="2025-12-29T00:00:00"/>
    <n v="42.333333333333336"/>
    <s v="Некрасова"/>
    <x v="1"/>
    <s v="Георгиевна"/>
  </r>
  <r>
    <n v="12"/>
    <s v="+375 682-373-1802"/>
    <x v="2"/>
    <x v="0"/>
    <d v="2022-10-08T00:00:00"/>
    <s v="+375"/>
    <x v="1"/>
    <d v="2025-12-29T00:00:00"/>
    <n v="39.266666666666666"/>
    <s v="Бобров"/>
    <x v="2"/>
    <s v="Игоревич"/>
  </r>
  <r>
    <n v="116"/>
    <s v="+7 753-596-5037"/>
    <x v="3"/>
    <x v="1"/>
    <d v="2022-03-23T00:00:00"/>
    <s v="+7"/>
    <x v="2"/>
    <d v="2025-12-29T00:00:00"/>
    <n v="45.9"/>
    <s v="Носкова"/>
    <x v="1"/>
    <s v="Федоровна"/>
  </r>
  <r>
    <n v="471"/>
    <s v="+380 669-437-2066"/>
    <x v="4"/>
    <x v="0"/>
    <d v="2022-01-16T00:00:00"/>
    <s v="+380"/>
    <x v="3"/>
    <d v="2025-12-29T00:00:00"/>
    <n v="48.1"/>
    <s v="Артемьева"/>
    <x v="3"/>
    <s v="Матвеевна"/>
  </r>
  <r>
    <n v="374"/>
    <s v="+380 622-144-1703"/>
    <x v="5"/>
    <x v="1"/>
    <d v="2022-01-21T00:00:00"/>
    <s v="+380"/>
    <x v="3"/>
    <d v="2025-12-29T00:00:00"/>
    <n v="47.93333333333333"/>
    <s v="Калинина"/>
    <x v="4"/>
    <s v="Филипповна"/>
  </r>
  <r>
    <n v="477"/>
    <s v="+998 591-865-8342"/>
    <x v="6"/>
    <x v="0"/>
    <d v="2022-06-26T00:00:00"/>
    <s v="+998"/>
    <x v="0"/>
    <d v="2025-12-29T00:00:00"/>
    <n v="42.733333333333334"/>
    <s v="Брагина"/>
    <x v="5"/>
    <s v="Кирилловна"/>
  </r>
  <r>
    <n v="335"/>
    <s v="+998 353-736-8172"/>
    <x v="7"/>
    <x v="1"/>
    <d v="2022-02-27T00:00:00"/>
    <s v="+998"/>
    <x v="0"/>
    <d v="2025-12-29T00:00:00"/>
    <n v="46.7"/>
    <s v="Осипов"/>
    <x v="6"/>
    <s v="Ефремович"/>
  </r>
  <r>
    <n v="350"/>
    <s v="+380 545-746-8707"/>
    <x v="8"/>
    <x v="1"/>
    <d v="2022-05-03T00:00:00"/>
    <s v="+380"/>
    <x v="3"/>
    <d v="2025-12-29T00:00:00"/>
    <n v="44.533333333333331"/>
    <s v="Мамонтова"/>
    <x v="7"/>
    <s v="Георгиевна"/>
  </r>
  <r>
    <n v="413"/>
    <s v="+7 063-931-5918"/>
    <x v="9"/>
    <x v="1"/>
    <d v="2022-05-18T00:00:00"/>
    <s v="+7"/>
    <x v="2"/>
    <d v="2025-12-29T00:00:00"/>
    <n v="44.033333333333331"/>
    <s v="Брагин"/>
    <x v="8"/>
    <s v="Вячеславович"/>
  </r>
  <r>
    <n v="495"/>
    <s v="+998 006-788-9211"/>
    <x v="10"/>
    <x v="0"/>
    <d v="2022-04-03T00:00:00"/>
    <s v="+998"/>
    <x v="0"/>
    <d v="2025-12-29T00:00:00"/>
    <n v="45.533333333333331"/>
    <s v="Воробьев"/>
    <x v="9"/>
    <s v="Филиппович"/>
  </r>
  <r>
    <n v="353"/>
    <s v="+992 863-895-4307"/>
    <x v="11"/>
    <x v="0"/>
    <d v="2022-04-05T00:00:00"/>
    <s v="+992"/>
    <x v="4"/>
    <d v="2025-12-29T00:00:00"/>
    <n v="45.466666666666669"/>
    <s v="Гурьев"/>
    <x v="10"/>
    <s v="Юлианович"/>
  </r>
  <r>
    <n v="332"/>
    <s v="+998 350-816-0031"/>
    <x v="12"/>
    <x v="1"/>
    <d v="2022-10-24T00:00:00"/>
    <s v="+998"/>
    <x v="0"/>
    <d v="2025-12-29T00:00:00"/>
    <n v="38.733333333333334"/>
    <s v="Галкина"/>
    <x v="11"/>
    <s v="Юрьевна"/>
  </r>
  <r>
    <n v="414"/>
    <s v="+375 435-951-1995"/>
    <x v="13"/>
    <x v="1"/>
    <d v="2022-08-21T00:00:00"/>
    <s v="+375"/>
    <x v="1"/>
    <d v="2025-12-29T00:00:00"/>
    <n v="40.866666666666667"/>
    <s v="Наумова"/>
    <x v="12"/>
    <s v="Леоновна"/>
  </r>
  <r>
    <n v="236"/>
    <s v="+998 498-706-1394"/>
    <x v="14"/>
    <x v="0"/>
    <d v="2022-09-16T00:00:00"/>
    <s v="+998"/>
    <x v="0"/>
    <d v="2025-12-29T00:00:00"/>
    <n v="40"/>
    <s v="Никонов"/>
    <x v="13"/>
    <s v="Арсенович"/>
  </r>
  <r>
    <n v="164"/>
    <s v="+7 297-169-3756"/>
    <x v="15"/>
    <x v="1"/>
    <d v="2022-04-27T00:00:00"/>
    <s v="+7"/>
    <x v="2"/>
    <d v="2025-12-29T00:00:00"/>
    <n v="44.733333333333334"/>
    <s v="Иванов"/>
    <x v="14"/>
    <s v="Федотович"/>
  </r>
  <r>
    <n v="490"/>
    <s v="+7 454-941-1729"/>
    <x v="16"/>
    <x v="1"/>
    <d v="2022-02-11T00:00:00"/>
    <s v="+7"/>
    <x v="2"/>
    <d v="2025-12-29T00:00:00"/>
    <n v="47.233333333333334"/>
    <s v="Кудрявцев"/>
    <x v="15"/>
    <s v="Ерофеевич"/>
  </r>
  <r>
    <n v="223"/>
    <s v="+380 835-708-4433"/>
    <x v="17"/>
    <x v="0"/>
    <d v="2022-11-28T00:00:00"/>
    <s v="+380"/>
    <x v="3"/>
    <d v="2025-12-29T00:00:00"/>
    <n v="37.56666666666667"/>
    <s v="Федосеева"/>
    <x v="16"/>
    <s v="Евгеньевна"/>
  </r>
  <r>
    <n v="204"/>
    <s v="+7 181-799-6850"/>
    <x v="18"/>
    <x v="0"/>
    <d v="2022-11-02T00:00:00"/>
    <s v="+7"/>
    <x v="2"/>
    <d v="2025-12-29T00:00:00"/>
    <n v="38.43333333333333"/>
    <s v="Герасимов"/>
    <x v="17"/>
    <s v="Демидович"/>
  </r>
  <r>
    <n v="481"/>
    <s v="+375 743-922-4671"/>
    <x v="19"/>
    <x v="0"/>
    <d v="2022-07-14T00:00:00"/>
    <s v="+375"/>
    <x v="1"/>
    <d v="2025-12-29T00:00:00"/>
    <n v="42.133333333333333"/>
    <s v="Новикова"/>
    <x v="18"/>
    <s v="Павловна"/>
  </r>
  <r>
    <n v="363"/>
    <s v="+998 607-517-9439"/>
    <x v="20"/>
    <x v="1"/>
    <d v="2022-04-24T00:00:00"/>
    <s v="+998"/>
    <x v="0"/>
    <d v="2025-12-29T00:00:00"/>
    <n v="44.833333333333336"/>
    <s v="Сорокина"/>
    <x v="19"/>
    <s v="Натановна"/>
  </r>
  <r>
    <n v="397"/>
    <s v="+375 372-396-9651"/>
    <x v="21"/>
    <x v="1"/>
    <d v="2022-06-16T00:00:00"/>
    <s v="+375"/>
    <x v="1"/>
    <d v="2025-12-29T00:00:00"/>
    <n v="43.06666666666667"/>
    <s v="Лазарева"/>
    <x v="20"/>
    <s v="Натановна"/>
  </r>
  <r>
    <n v="280"/>
    <s v="+7 109-995-2846"/>
    <x v="22"/>
    <x v="1"/>
    <d v="2022-01-02T00:00:00"/>
    <s v="+7"/>
    <x v="2"/>
    <d v="2025-12-29T00:00:00"/>
    <n v="48.56666666666667"/>
    <s v="Рыбаков"/>
    <x v="21"/>
    <s v="Антонович"/>
  </r>
  <r>
    <n v="39"/>
    <s v="+375 226-887-4565"/>
    <x v="23"/>
    <x v="0"/>
    <d v="2022-04-02T00:00:00"/>
    <s v="+375"/>
    <x v="1"/>
    <d v="2025-12-29T00:00:00"/>
    <n v="45.56666666666667"/>
    <s v="Бирюков"/>
    <x v="22"/>
    <s v="Иосифович"/>
  </r>
  <r>
    <n v="303"/>
    <s v="+998 222-956-9780"/>
    <x v="24"/>
    <x v="1"/>
    <d v="2022-05-08T00:00:00"/>
    <s v="+998"/>
    <x v="0"/>
    <d v="2025-12-29T00:00:00"/>
    <n v="44.366666666666667"/>
    <s v="Шестаков"/>
    <x v="23"/>
    <s v="Виленович"/>
  </r>
  <r>
    <n v="422"/>
    <s v="+380 633-205-1404"/>
    <x v="25"/>
    <x v="1"/>
    <d v="2022-08-11T00:00:00"/>
    <s v="+380"/>
    <x v="3"/>
    <d v="2025-12-29T00:00:00"/>
    <n v="41.2"/>
    <s v="Виноградов"/>
    <x v="24"/>
    <s v="Алексеевич"/>
  </r>
  <r>
    <n v="24"/>
    <s v="+998 525-413-6836"/>
    <x v="26"/>
    <x v="0"/>
    <d v="2022-02-17T00:00:00"/>
    <s v="+998"/>
    <x v="0"/>
    <d v="2025-12-29T00:00:00"/>
    <n v="47.033333333333331"/>
    <s v="Кудрявцева"/>
    <x v="25"/>
    <s v="Филипповна"/>
  </r>
  <r>
    <n v="112"/>
    <s v="+7 592-570-4871"/>
    <x v="27"/>
    <x v="1"/>
    <d v="2022-04-01T00:00:00"/>
    <s v="+7"/>
    <x v="2"/>
    <d v="2025-12-29T00:00:00"/>
    <n v="45.6"/>
    <s v="Рябова"/>
    <x v="26"/>
    <s v="Вадимовна"/>
  </r>
  <r>
    <n v="451"/>
    <s v="+7 321-005-5110"/>
    <x v="28"/>
    <x v="0"/>
    <d v="2022-01-23T00:00:00"/>
    <s v="+7"/>
    <x v="2"/>
    <d v="2025-12-29T00:00:00"/>
    <n v="47.866666666666667"/>
    <s v="Тимофеева"/>
    <x v="27"/>
    <s v="Ефимовна"/>
  </r>
  <r>
    <n v="131"/>
    <s v="+7 899-265-0963"/>
    <x v="29"/>
    <x v="0"/>
    <d v="2022-05-12T00:00:00"/>
    <s v="+7"/>
    <x v="2"/>
    <d v="2025-12-29T00:00:00"/>
    <n v="44.233333333333334"/>
    <s v="Евдокимова"/>
    <x v="28"/>
    <s v="Николаевна"/>
  </r>
  <r>
    <n v="160"/>
    <s v="+998 084-412-0746"/>
    <x v="30"/>
    <x v="0"/>
    <d v="2022-03-29T00:00:00"/>
    <s v="+998"/>
    <x v="0"/>
    <d v="2025-12-29T00:00:00"/>
    <n v="45.7"/>
    <s v="Королева"/>
    <x v="29"/>
    <s v="Ивановна"/>
  </r>
  <r>
    <n v="408"/>
    <s v="+7 630-977-5834"/>
    <x v="31"/>
    <x v="1"/>
    <d v="2022-10-23T00:00:00"/>
    <s v="+7"/>
    <x v="2"/>
    <d v="2025-12-29T00:00:00"/>
    <n v="38.766666666666666"/>
    <s v="Журавлева"/>
    <x v="12"/>
    <s v="Вячеславовна"/>
  </r>
  <r>
    <n v="324"/>
    <s v="+998 752-893-8536"/>
    <x v="32"/>
    <x v="1"/>
    <d v="2022-07-19T00:00:00"/>
    <s v="+998"/>
    <x v="0"/>
    <d v="2025-12-29T00:00:00"/>
    <n v="41.966666666666669"/>
    <s v="Алексеев"/>
    <x v="30"/>
    <s v="Ефимович"/>
  </r>
  <r>
    <n v="310"/>
    <s v="+992 349-223-5769"/>
    <x v="33"/>
    <x v="1"/>
    <d v="2022-09-03T00:00:00"/>
    <s v="+992"/>
    <x v="4"/>
    <d v="2025-12-29T00:00:00"/>
    <n v="40.43333333333333"/>
    <s v="Дорофеев"/>
    <x v="31"/>
    <s v="Гурьевич"/>
  </r>
  <r>
    <n v="179"/>
    <s v="+7 747-678-7543"/>
    <x v="34"/>
    <x v="0"/>
    <d v="2022-09-29T00:00:00"/>
    <s v="+7"/>
    <x v="2"/>
    <d v="2025-12-29T00:00:00"/>
    <n v="39.56666666666667"/>
    <s v="Капустина"/>
    <x v="32"/>
    <s v="Валериевна"/>
  </r>
  <r>
    <n v="64"/>
    <s v="+998 488-220-8790"/>
    <x v="35"/>
    <x v="0"/>
    <d v="2022-05-26T00:00:00"/>
    <s v="+998"/>
    <x v="0"/>
    <d v="2025-12-29T00:00:00"/>
    <n v="43.766666666666666"/>
    <s v="Петров"/>
    <x v="33"/>
    <s v="Арсеньевич"/>
  </r>
  <r>
    <n v="318"/>
    <s v="+998 826-456-9884"/>
    <x v="36"/>
    <x v="0"/>
    <d v="2022-11-27T00:00:00"/>
    <s v="+998"/>
    <x v="0"/>
    <d v="2025-12-29T00:00:00"/>
    <n v="37.6"/>
    <s v="Поляков"/>
    <x v="34"/>
    <s v="Андреевич"/>
  </r>
  <r>
    <n v="239"/>
    <s v="+998 053-607-1948"/>
    <x v="37"/>
    <x v="1"/>
    <d v="2022-07-25T00:00:00"/>
    <s v="+998"/>
    <x v="0"/>
    <d v="2025-12-29T00:00:00"/>
    <n v="41.766666666666666"/>
    <s v="Иванов"/>
    <x v="35"/>
    <s v="Ильясович"/>
  </r>
  <r>
    <n v="194"/>
    <s v="+7 273-904-5457"/>
    <x v="38"/>
    <x v="0"/>
    <d v="2022-12-29T00:00:00"/>
    <s v="+7"/>
    <x v="2"/>
    <d v="2025-12-29T00:00:00"/>
    <n v="36.533333333333331"/>
    <s v="Гурьев"/>
    <x v="36"/>
    <s v="Денисович"/>
  </r>
  <r>
    <n v="267"/>
    <s v="+7 632-222-4524"/>
    <x v="39"/>
    <x v="0"/>
    <d v="2022-12-15T00:00:00"/>
    <s v="+7"/>
    <x v="2"/>
    <d v="2025-12-29T00:00:00"/>
    <n v="37"/>
    <s v="Потапова"/>
    <x v="37"/>
    <s v="Болеславовна"/>
  </r>
  <r>
    <n v="334"/>
    <s v="+380 276-157-8458"/>
    <x v="40"/>
    <x v="1"/>
    <d v="2022-11-16T00:00:00"/>
    <s v="+380"/>
    <x v="3"/>
    <d v="2025-12-29T00:00:00"/>
    <n v="37.966666666666669"/>
    <s v="Федотов"/>
    <x v="38"/>
    <s v="Антонович"/>
  </r>
  <r>
    <n v="47"/>
    <s v="+375 077-514-8048"/>
    <x v="41"/>
    <x v="1"/>
    <d v="2022-05-12T00:00:00"/>
    <s v="+375"/>
    <x v="1"/>
    <d v="2025-12-29T00:00:00"/>
    <n v="44.233333333333334"/>
    <s v="Лукин"/>
    <x v="39"/>
    <s v="Игнатович"/>
  </r>
  <r>
    <n v="287"/>
    <s v="+7 752-341-5050"/>
    <x v="42"/>
    <x v="0"/>
    <d v="2022-02-16T00:00:00"/>
    <s v="+7"/>
    <x v="2"/>
    <d v="2025-12-29T00:00:00"/>
    <n v="47.06666666666667"/>
    <s v="Полякова"/>
    <x v="40"/>
    <s v="Аскольдовна"/>
  </r>
  <r>
    <n v="145"/>
    <s v="+380 088-024-3161"/>
    <x v="43"/>
    <x v="1"/>
    <d v="2022-04-02T00:00:00"/>
    <s v="+380"/>
    <x v="3"/>
    <d v="2025-12-29T00:00:00"/>
    <n v="45.56666666666667"/>
    <s v="Филиппова"/>
    <x v="12"/>
    <s v="Леоновна"/>
  </r>
  <r>
    <n v="270"/>
    <s v="+992 110-427-6136"/>
    <x v="44"/>
    <x v="0"/>
    <d v="2022-09-23T00:00:00"/>
    <s v="+992"/>
    <x v="4"/>
    <d v="2025-12-29T00:00:00"/>
    <n v="39.766666666666666"/>
    <s v="Мухин"/>
    <x v="41"/>
    <s v="Антипович"/>
  </r>
  <r>
    <n v="183"/>
    <s v="+992 248-066-2060"/>
    <x v="45"/>
    <x v="0"/>
    <d v="2022-12-05T00:00:00"/>
    <s v="+992"/>
    <x v="4"/>
    <d v="2025-12-29T00:00:00"/>
    <n v="37.333333333333336"/>
    <s v="Лапина"/>
    <x v="42"/>
    <s v="Никифоровна"/>
  </r>
  <r>
    <n v="2"/>
    <s v="+998 824-309-1395"/>
    <x v="46"/>
    <x v="1"/>
    <d v="2022-08-02T00:00:00"/>
    <s v="+998"/>
    <x v="0"/>
    <d v="2025-12-29T00:00:00"/>
    <n v="41.5"/>
    <s v="Морозова"/>
    <x v="26"/>
    <s v="Борисовна"/>
  </r>
  <r>
    <n v="229"/>
    <s v="+375 079-578-9874"/>
    <x v="47"/>
    <x v="1"/>
    <d v="2022-07-24T00:00:00"/>
    <s v="+375"/>
    <x v="1"/>
    <d v="2025-12-29T00:00:00"/>
    <n v="41.8"/>
    <s v="Самойлова"/>
    <x v="43"/>
    <s v="Эльдаровна"/>
  </r>
  <r>
    <n v="385"/>
    <s v="+380 030-761-0677"/>
    <x v="48"/>
    <x v="1"/>
    <d v="2022-07-11T00:00:00"/>
    <s v="+380"/>
    <x v="3"/>
    <d v="2025-12-29T00:00:00"/>
    <n v="42.233333333333334"/>
    <s v="Стрелков"/>
    <x v="44"/>
    <s v="Бориславович"/>
  </r>
  <r>
    <n v="407"/>
    <s v="+375 205-037-7882"/>
    <x v="49"/>
    <x v="0"/>
    <d v="2022-03-01T00:00:00"/>
    <s v="+375"/>
    <x v="1"/>
    <d v="2025-12-29T00:00:00"/>
    <n v="46.633333333333333"/>
    <s v="Фомичев"/>
    <x v="45"/>
    <s v="Афанасьевич"/>
  </r>
  <r>
    <n v="493"/>
    <s v="+380 076-252-5210"/>
    <x v="50"/>
    <x v="0"/>
    <d v="2022-10-21T00:00:00"/>
    <s v="+380"/>
    <x v="3"/>
    <d v="2025-12-29T00:00:00"/>
    <n v="38.833333333333336"/>
    <s v="Кондратьева"/>
    <x v="46"/>
    <s v="Львовна"/>
  </r>
  <r>
    <n v="34"/>
    <s v="+992 266-481-3942"/>
    <x v="51"/>
    <x v="1"/>
    <d v="2022-04-03T00:00:00"/>
    <s v="+992"/>
    <x v="4"/>
    <d v="2025-12-29T00:00:00"/>
    <n v="45.533333333333331"/>
    <s v="Абрамова"/>
    <x v="47"/>
    <s v="Егоровна"/>
  </r>
  <r>
    <n v="190"/>
    <s v="+375 284-418-1233"/>
    <x v="52"/>
    <x v="1"/>
    <d v="2022-05-08T00:00:00"/>
    <s v="+375"/>
    <x v="1"/>
    <d v="2025-12-29T00:00:00"/>
    <n v="44.366666666666667"/>
    <s v="Боброва"/>
    <x v="46"/>
    <s v="Захаровна"/>
  </r>
  <r>
    <n v="266"/>
    <s v="+7 963-508-8333"/>
    <x v="53"/>
    <x v="1"/>
    <d v="2022-08-22T00:00:00"/>
    <s v="+7"/>
    <x v="2"/>
    <d v="2025-12-29T00:00:00"/>
    <n v="40.833333333333336"/>
    <s v="Горшкова"/>
    <x v="48"/>
    <s v="Святославовна"/>
  </r>
  <r>
    <n v="222"/>
    <s v="+380 424-152-2316"/>
    <x v="54"/>
    <x v="0"/>
    <d v="2022-05-13T00:00:00"/>
    <s v="+380"/>
    <x v="3"/>
    <d v="2025-12-29T00:00:00"/>
    <n v="44.2"/>
    <s v="Шарапова"/>
    <x v="49"/>
    <s v="Руслановна"/>
  </r>
  <r>
    <n v="382"/>
    <s v="+375 960-328-1316"/>
    <x v="55"/>
    <x v="0"/>
    <d v="2022-10-16T00:00:00"/>
    <s v="+375"/>
    <x v="1"/>
    <d v="2025-12-29T00:00:00"/>
    <n v="39"/>
    <s v="Шестакова"/>
    <x v="50"/>
    <s v="Михайловна"/>
  </r>
  <r>
    <n v="142"/>
    <s v="+7 600-803-0627"/>
    <x v="56"/>
    <x v="1"/>
    <d v="2022-05-02T00:00:00"/>
    <s v="+7"/>
    <x v="2"/>
    <d v="2025-12-29T00:00:00"/>
    <n v="44.56666666666667"/>
    <s v="Колесникова"/>
    <x v="11"/>
    <s v="Геннадьевна"/>
  </r>
  <r>
    <n v="150"/>
    <s v="+998 176-720-2162"/>
    <x v="57"/>
    <x v="1"/>
    <d v="2022-03-02T00:00:00"/>
    <s v="+998"/>
    <x v="0"/>
    <d v="2025-12-29T00:00:00"/>
    <n v="46.6"/>
    <s v="Панова"/>
    <x v="51"/>
    <s v="Викторовна"/>
  </r>
  <r>
    <n v="14"/>
    <s v="+992 129-804-1705"/>
    <x v="58"/>
    <x v="0"/>
    <d v="2022-08-02T00:00:00"/>
    <s v="+992"/>
    <x v="4"/>
    <d v="2025-12-29T00:00:00"/>
    <n v="41.5"/>
    <s v="Зимин"/>
    <x v="52"/>
    <s v="Устинович"/>
  </r>
  <r>
    <n v="371"/>
    <s v="+380 616-238-3294"/>
    <x v="59"/>
    <x v="1"/>
    <d v="2022-10-10T00:00:00"/>
    <s v="+380"/>
    <x v="3"/>
    <d v="2025-12-29T00:00:00"/>
    <n v="39.200000000000003"/>
    <s v="Ефимова"/>
    <x v="53"/>
    <s v="Сергеевна"/>
  </r>
  <r>
    <n v="328"/>
    <s v="+7 425-907-2619"/>
    <x v="60"/>
    <x v="0"/>
    <d v="2022-01-07T00:00:00"/>
    <s v="+7"/>
    <x v="2"/>
    <d v="2025-12-29T00:00:00"/>
    <n v="48.4"/>
    <s v="Чернова"/>
    <x v="53"/>
    <s v="Сергеевна"/>
  </r>
  <r>
    <n v="171"/>
    <s v="+7 638-478-8735"/>
    <x v="61"/>
    <x v="0"/>
    <d v="2022-05-29T00:00:00"/>
    <s v="+7"/>
    <x v="2"/>
    <d v="2025-12-29T00:00:00"/>
    <n v="43.666666666666664"/>
    <s v="Исаков"/>
    <x v="54"/>
    <s v="Дмитриевич"/>
  </r>
  <r>
    <n v="68"/>
    <s v="+998 237-658-9236"/>
    <x v="62"/>
    <x v="0"/>
    <d v="2022-11-17T00:00:00"/>
    <s v="+998"/>
    <x v="0"/>
    <d v="2025-12-29T00:00:00"/>
    <n v="37.93333333333333"/>
    <s v="Иванова"/>
    <x v="55"/>
    <s v="Наумовна"/>
  </r>
  <r>
    <n v="346"/>
    <s v="+7 710-415-0428"/>
    <x v="63"/>
    <x v="0"/>
    <d v="2022-03-16T00:00:00"/>
    <s v="+7"/>
    <x v="2"/>
    <d v="2025-12-29T00:00:00"/>
    <n v="46.133333333333333"/>
    <s v="Родионов"/>
    <x v="56"/>
    <s v="Харитонович"/>
  </r>
  <r>
    <n v="415"/>
    <s v="+380 465-945-6481"/>
    <x v="64"/>
    <x v="0"/>
    <d v="2022-04-10T00:00:00"/>
    <s v="+380"/>
    <x v="3"/>
    <d v="2025-12-29T00:00:00"/>
    <n v="45.3"/>
    <s v="Кабанов"/>
    <x v="56"/>
    <s v="Феликсович"/>
  </r>
  <r>
    <n v="115"/>
    <s v="+375 523-528-4996"/>
    <x v="65"/>
    <x v="0"/>
    <d v="2022-09-28T00:00:00"/>
    <s v="+375"/>
    <x v="1"/>
    <d v="2025-12-29T00:00:00"/>
    <n v="39.6"/>
    <s v="Прохорова"/>
    <x v="57"/>
    <s v="Кирилловна"/>
  </r>
  <r>
    <n v="42"/>
    <s v="+992 883-671-0611"/>
    <x v="66"/>
    <x v="0"/>
    <d v="2022-08-10T00:00:00"/>
    <s v="+992"/>
    <x v="4"/>
    <d v="2025-12-29T00:00:00"/>
    <n v="41.233333333333334"/>
    <s v="Шаров"/>
    <x v="58"/>
    <s v="Федотович"/>
  </r>
  <r>
    <n v="378"/>
    <s v="+7 322-351-7967"/>
    <x v="67"/>
    <x v="1"/>
    <d v="2022-05-29T00:00:00"/>
    <s v="+7"/>
    <x v="2"/>
    <d v="2025-12-29T00:00:00"/>
    <n v="43.666666666666664"/>
    <s v="Афанасьев"/>
    <x v="59"/>
    <s v="Юльевич"/>
  </r>
  <r>
    <n v="449"/>
    <s v="+992 314-900-5858"/>
    <x v="68"/>
    <x v="1"/>
    <d v="2022-03-25T00:00:00"/>
    <s v="+992"/>
    <x v="4"/>
    <d v="2025-12-29T00:00:00"/>
    <n v="45.833333333333336"/>
    <s v="Пестов"/>
    <x v="60"/>
    <s v="Глебович"/>
  </r>
  <r>
    <n v="317"/>
    <s v="+7 640-461-4099"/>
    <x v="69"/>
    <x v="1"/>
    <d v="2022-07-28T00:00:00"/>
    <s v="+7"/>
    <x v="2"/>
    <d v="2025-12-29T00:00:00"/>
    <n v="41.666666666666664"/>
    <s v="Ильина"/>
    <x v="61"/>
    <s v="Захаровна"/>
  </r>
  <r>
    <n v="426"/>
    <s v="+992 253-231-6427"/>
    <x v="70"/>
    <x v="0"/>
    <d v="2022-07-26T00:00:00"/>
    <s v="+992"/>
    <x v="4"/>
    <d v="2025-12-29T00:00:00"/>
    <n v="41.733333333333334"/>
    <s v="Лыткина"/>
    <x v="1"/>
    <s v="Ждановна"/>
  </r>
  <r>
    <n v="25"/>
    <s v="+992 508-269-1094"/>
    <x v="71"/>
    <x v="0"/>
    <d v="2022-01-21T00:00:00"/>
    <s v="+992"/>
    <x v="4"/>
    <d v="2025-12-29T00:00:00"/>
    <n v="47.93333333333333"/>
    <s v="Волков"/>
    <x v="62"/>
    <s v="Терентьевич"/>
  </r>
  <r>
    <n v="462"/>
    <s v="+7 915-487-8205"/>
    <x v="72"/>
    <x v="0"/>
    <d v="2022-07-09T00:00:00"/>
    <s v="+7"/>
    <x v="2"/>
    <d v="2025-12-29T00:00:00"/>
    <n v="42.3"/>
    <s v="Третьяков"/>
    <x v="63"/>
    <s v="Иосифович"/>
  </r>
  <r>
    <n v="252"/>
    <s v="+7 376-172-1887"/>
    <x v="73"/>
    <x v="1"/>
    <d v="2022-03-23T00:00:00"/>
    <s v="+7"/>
    <x v="2"/>
    <d v="2025-12-29T00:00:00"/>
    <n v="45.9"/>
    <s v="Егоров"/>
    <x v="64"/>
    <s v="Гурьевич"/>
  </r>
  <r>
    <n v="392"/>
    <s v="+7 894-900-2879"/>
    <x v="74"/>
    <x v="1"/>
    <d v="2022-12-24T00:00:00"/>
    <s v="+7"/>
    <x v="2"/>
    <d v="2025-12-29T00:00:00"/>
    <n v="36.700000000000003"/>
    <s v="Кошелев"/>
    <x v="65"/>
    <s v="Ааронович"/>
  </r>
  <r>
    <n v="487"/>
    <s v="+7 263-859-8875"/>
    <x v="75"/>
    <x v="0"/>
    <d v="2022-09-11T00:00:00"/>
    <s v="+7"/>
    <x v="2"/>
    <d v="2025-12-29T00:00:00"/>
    <n v="40.166666666666664"/>
    <s v="Зиновьев"/>
    <x v="66"/>
    <s v="Вячеславович"/>
  </r>
  <r>
    <n v="134"/>
    <s v="+7 288-468-9287"/>
    <x v="76"/>
    <x v="0"/>
    <d v="2022-07-11T00:00:00"/>
    <s v="+7"/>
    <x v="2"/>
    <d v="2025-12-29T00:00:00"/>
    <n v="42.233333333333334"/>
    <s v="Нестерова"/>
    <x v="53"/>
    <s v="Кирилловна"/>
  </r>
  <r>
    <n v="11"/>
    <s v="+992 372-939-7775"/>
    <x v="77"/>
    <x v="1"/>
    <d v="2022-05-09T00:00:00"/>
    <s v="+992"/>
    <x v="4"/>
    <d v="2025-12-29T00:00:00"/>
    <n v="44.333333333333336"/>
    <s v="Силин"/>
    <x v="67"/>
    <s v="Ильясович"/>
  </r>
  <r>
    <n v="458"/>
    <s v="+7 089-779-0837"/>
    <x v="78"/>
    <x v="0"/>
    <d v="2022-05-13T00:00:00"/>
    <s v="+7"/>
    <x v="2"/>
    <d v="2025-12-29T00:00:00"/>
    <n v="44.2"/>
    <s v="Третьякова"/>
    <x v="5"/>
    <s v="Егоровна"/>
  </r>
  <r>
    <n v="130"/>
    <s v="+992 326-136-2416"/>
    <x v="79"/>
    <x v="1"/>
    <d v="2022-10-29T00:00:00"/>
    <s v="+992"/>
    <x v="4"/>
    <d v="2025-12-29T00:00:00"/>
    <n v="38.56666666666667"/>
    <s v="Никифоров"/>
    <x v="68"/>
    <s v="Жанович"/>
  </r>
  <r>
    <n v="330"/>
    <s v="+998 016-556-9015"/>
    <x v="80"/>
    <x v="1"/>
    <d v="2022-09-11T00:00:00"/>
    <s v="+998"/>
    <x v="0"/>
    <d v="2025-12-29T00:00:00"/>
    <n v="40.166666666666664"/>
    <s v="Маслов"/>
    <x v="33"/>
    <s v="Андреевич"/>
  </r>
  <r>
    <n v="167"/>
    <s v="+998 388-311-1484"/>
    <x v="81"/>
    <x v="0"/>
    <d v="2022-01-02T00:00:00"/>
    <s v="+998"/>
    <x v="0"/>
    <d v="2025-12-29T00:00:00"/>
    <n v="48.56666666666667"/>
    <s v="Жуков"/>
    <x v="69"/>
    <s v="Фомич"/>
  </r>
  <r>
    <n v="140"/>
    <s v="+7 093-201-9949"/>
    <x v="82"/>
    <x v="0"/>
    <d v="2022-03-07T00:00:00"/>
    <s v="+7"/>
    <x v="2"/>
    <d v="2025-12-29T00:00:00"/>
    <n v="46.43333333333333"/>
    <s v="Новикова"/>
    <x v="43"/>
    <s v="Михайловна"/>
  </r>
  <r>
    <n v="423"/>
    <s v="+375 074-074-0170"/>
    <x v="83"/>
    <x v="1"/>
    <d v="2022-10-07T00:00:00"/>
    <s v="+375"/>
    <x v="1"/>
    <d v="2025-12-29T00:00:00"/>
    <n v="39.299999999999997"/>
    <s v="Игнатов"/>
    <x v="68"/>
    <s v="Марсович"/>
  </r>
  <r>
    <n v="365"/>
    <s v="+375 260-927-0999"/>
    <x v="84"/>
    <x v="1"/>
    <d v="2022-10-07T00:00:00"/>
    <s v="+375"/>
    <x v="1"/>
    <d v="2025-12-29T00:00:00"/>
    <n v="39.299999999999997"/>
    <s v="Абрамова"/>
    <x v="70"/>
    <s v="Эдуардовна"/>
  </r>
  <r>
    <n v="452"/>
    <s v="+7 356-385-2881"/>
    <x v="85"/>
    <x v="0"/>
    <d v="2022-07-27T00:00:00"/>
    <s v="+7"/>
    <x v="2"/>
    <d v="2025-12-29T00:00:00"/>
    <n v="41.7"/>
    <s v="Мамонтов"/>
    <x v="23"/>
    <s v="Бориславович"/>
  </r>
  <r>
    <n v="424"/>
    <s v="+7 833-884-1180"/>
    <x v="86"/>
    <x v="0"/>
    <d v="2022-01-24T00:00:00"/>
    <s v="+7"/>
    <x v="2"/>
    <d v="2025-12-29T00:00:00"/>
    <n v="47.833333333333336"/>
    <s v="Ефремов"/>
    <x v="71"/>
    <s v="Ильич"/>
  </r>
  <r>
    <n v="75"/>
    <s v="+380 369-038-6358"/>
    <x v="87"/>
    <x v="1"/>
    <d v="2022-08-23T00:00:00"/>
    <s v="+380"/>
    <x v="3"/>
    <d v="2025-12-29T00:00:00"/>
    <n v="40.799999999999997"/>
    <s v="Давыдов"/>
    <x v="72"/>
    <s v="Арсенович"/>
  </r>
  <r>
    <n v="71"/>
    <s v="+380 341-215-3278"/>
    <x v="88"/>
    <x v="0"/>
    <d v="2022-07-20T00:00:00"/>
    <s v="+380"/>
    <x v="3"/>
    <d v="2025-12-29T00:00:00"/>
    <n v="41.93333333333333"/>
    <s v="Медведева"/>
    <x v="50"/>
    <s v="Алексеевна"/>
  </r>
  <r>
    <n v="313"/>
    <s v="+998 801-433-5842"/>
    <x v="89"/>
    <x v="0"/>
    <d v="2022-12-01T00:00:00"/>
    <s v="+998"/>
    <x v="0"/>
    <d v="2025-12-29T00:00:00"/>
    <n v="37.466666666666669"/>
    <s v="Федотова"/>
    <x v="73"/>
    <s v="Максимовна"/>
  </r>
  <r>
    <n v="301"/>
    <s v="+7 727-444-8253"/>
    <x v="90"/>
    <x v="0"/>
    <d v="2022-06-02T00:00:00"/>
    <s v="+7"/>
    <x v="2"/>
    <d v="2025-12-29T00:00:00"/>
    <n v="43.533333333333331"/>
    <s v="Николаева"/>
    <x v="74"/>
    <s v="Ивановна"/>
  </r>
  <r>
    <n v="359"/>
    <s v="+7 219-942-5792"/>
    <x v="91"/>
    <x v="1"/>
    <d v="2022-01-23T00:00:00"/>
    <s v="+7"/>
    <x v="2"/>
    <d v="2025-12-29T00:00:00"/>
    <n v="47.866666666666667"/>
    <s v="Дорофеев"/>
    <x v="75"/>
    <s v="Валерьянович"/>
  </r>
  <r>
    <n v="474"/>
    <s v="+7 430-487-6579"/>
    <x v="92"/>
    <x v="1"/>
    <d v="2022-02-13T00:00:00"/>
    <s v="+7"/>
    <x v="2"/>
    <d v="2025-12-29T00:00:00"/>
    <n v="47.166666666666664"/>
    <s v="Беляева"/>
    <x v="3"/>
    <s v="Владиславовна"/>
  </r>
  <r>
    <n v="111"/>
    <s v="+998 827-959-0308"/>
    <x v="93"/>
    <x v="0"/>
    <d v="2022-08-31T00:00:00"/>
    <s v="+998"/>
    <x v="0"/>
    <d v="2025-12-29T00:00:00"/>
    <n v="40.533333333333331"/>
    <s v="Калинина"/>
    <x v="49"/>
    <s v="Олеговна"/>
  </r>
  <r>
    <n v="126"/>
    <s v="+998 880-147-7505"/>
    <x v="94"/>
    <x v="0"/>
    <d v="2022-09-18T00:00:00"/>
    <s v="+998"/>
    <x v="0"/>
    <d v="2025-12-29T00:00:00"/>
    <n v="39.93333333333333"/>
    <s v="Копылова"/>
    <x v="76"/>
    <s v="Архиповна"/>
  </r>
  <r>
    <n v="356"/>
    <s v="+992 234-736-4616"/>
    <x v="95"/>
    <x v="1"/>
    <d v="2022-01-09T00:00:00"/>
    <s v="+992"/>
    <x v="4"/>
    <d v="2025-12-29T00:00:00"/>
    <n v="48.333333333333336"/>
    <s v="Князева"/>
    <x v="77"/>
    <s v="Алексеевна"/>
  </r>
  <r>
    <n v="166"/>
    <s v="+998 581-380-6694"/>
    <x v="96"/>
    <x v="0"/>
    <d v="2022-08-23T00:00:00"/>
    <s v="+998"/>
    <x v="0"/>
    <d v="2025-12-29T00:00:00"/>
    <n v="40.799999999999997"/>
    <s v="Евдокимов"/>
    <x v="78"/>
    <s v="Феликсович"/>
  </r>
  <r>
    <n v="162"/>
    <s v="+992 086-931-5836"/>
    <x v="97"/>
    <x v="1"/>
    <d v="2022-03-19T00:00:00"/>
    <s v="+992"/>
    <x v="4"/>
    <d v="2025-12-29T00:00:00"/>
    <n v="46.033333333333331"/>
    <s v="Соловьев"/>
    <x v="79"/>
    <s v="Данилович"/>
  </r>
  <r>
    <n v="459"/>
    <s v="+7 007-157-8873"/>
    <x v="98"/>
    <x v="0"/>
    <d v="2022-07-01T00:00:00"/>
    <s v="+7"/>
    <x v="2"/>
    <d v="2025-12-29T00:00:00"/>
    <n v="42.56666666666667"/>
    <s v="Назаров"/>
    <x v="80"/>
    <s v="Августович"/>
  </r>
  <r>
    <n v="211"/>
    <s v="+380 947-602-2812"/>
    <x v="99"/>
    <x v="1"/>
    <d v="2022-03-01T00:00:00"/>
    <s v="+380"/>
    <x v="3"/>
    <d v="2025-12-29T00:00:00"/>
    <n v="46.633333333333333"/>
    <s v="Кудряшова"/>
    <x v="48"/>
    <s v="Болеславовна"/>
  </r>
  <r>
    <n v="132"/>
    <s v="+380 697-469-4252"/>
    <x v="100"/>
    <x v="0"/>
    <d v="2022-02-09T00:00:00"/>
    <s v="+380"/>
    <x v="3"/>
    <d v="2025-12-29T00:00:00"/>
    <n v="47.3"/>
    <s v="Лазарев"/>
    <x v="81"/>
    <s v="Якубович"/>
  </r>
  <r>
    <n v="333"/>
    <s v="+7 962-495-5040"/>
    <x v="101"/>
    <x v="0"/>
    <d v="2022-10-23T00:00:00"/>
    <s v="+7"/>
    <x v="2"/>
    <d v="2025-12-29T00:00:00"/>
    <n v="38.766666666666666"/>
    <s v="Бобылев"/>
    <x v="2"/>
    <s v="Виленович"/>
  </r>
  <r>
    <n v="298"/>
    <s v="+380 349-100-4938"/>
    <x v="102"/>
    <x v="0"/>
    <d v="2022-09-17T00:00:00"/>
    <s v="+380"/>
    <x v="3"/>
    <d v="2025-12-29T00:00:00"/>
    <n v="39.966666666666669"/>
    <s v="Трофимова"/>
    <x v="48"/>
    <s v="Матвеевна"/>
  </r>
  <r>
    <n v="273"/>
    <s v="+998 876-305-1700"/>
    <x v="103"/>
    <x v="1"/>
    <d v="2022-02-07T00:00:00"/>
    <s v="+998"/>
    <x v="0"/>
    <d v="2025-12-29T00:00:00"/>
    <n v="47.366666666666667"/>
    <s v="Горбунова"/>
    <x v="82"/>
    <s v="Филипповна"/>
  </r>
  <r>
    <n v="321"/>
    <s v="+992 861-842-9595"/>
    <x v="104"/>
    <x v="1"/>
    <d v="2022-07-14T00:00:00"/>
    <s v="+992"/>
    <x v="4"/>
    <d v="2025-12-29T00:00:00"/>
    <n v="42.133333333333333"/>
    <s v="Блинов"/>
    <x v="83"/>
    <s v="Всеволодович"/>
  </r>
  <r>
    <n v="119"/>
    <s v="+7 724-995-2653"/>
    <x v="105"/>
    <x v="1"/>
    <d v="2022-05-09T00:00:00"/>
    <s v="+7"/>
    <x v="2"/>
    <d v="2025-12-29T00:00:00"/>
    <n v="44.333333333333336"/>
    <s v="Никитин"/>
    <x v="6"/>
    <s v="Харлампьевич"/>
  </r>
  <r>
    <n v="472"/>
    <s v="+380 435-435-7454"/>
    <x v="106"/>
    <x v="1"/>
    <d v="2022-12-06T00:00:00"/>
    <s v="+380"/>
    <x v="3"/>
    <d v="2025-12-29T00:00:00"/>
    <n v="37.299999999999997"/>
    <s v="Фадеев"/>
    <x v="84"/>
    <s v="Авдеевич"/>
  </r>
  <r>
    <n v="396"/>
    <s v="+380 667-385-3298"/>
    <x v="107"/>
    <x v="1"/>
    <d v="2022-11-06T00:00:00"/>
    <s v="+380"/>
    <x v="3"/>
    <d v="2025-12-29T00:00:00"/>
    <n v="38.299999999999997"/>
    <s v="Ермаков"/>
    <x v="85"/>
    <s v="Юлианович"/>
  </r>
  <r>
    <n v="269"/>
    <s v="+7 858-333-4042"/>
    <x v="108"/>
    <x v="1"/>
    <d v="2022-06-08T00:00:00"/>
    <s v="+7"/>
    <x v="2"/>
    <d v="2025-12-29T00:00:00"/>
    <n v="43.333333333333336"/>
    <s v="Новикова"/>
    <x v="40"/>
    <s v="Филипповна"/>
  </r>
  <r>
    <n v="16"/>
    <s v="+380 828-307-7136"/>
    <x v="109"/>
    <x v="1"/>
    <d v="2022-06-01T00:00:00"/>
    <s v="+380"/>
    <x v="3"/>
    <d v="2025-12-29T00:00:00"/>
    <n v="43.56666666666667"/>
    <s v="Белозеров"/>
    <x v="86"/>
    <s v="Харлампьевич"/>
  </r>
  <r>
    <n v="281"/>
    <s v="+998 678-470-2329"/>
    <x v="110"/>
    <x v="1"/>
    <d v="2022-05-30T00:00:00"/>
    <s v="+998"/>
    <x v="0"/>
    <d v="2025-12-29T00:00:00"/>
    <n v="43.633333333333333"/>
    <s v="Гурьев"/>
    <x v="87"/>
    <s v="Гертрудович"/>
  </r>
  <r>
    <n v="149"/>
    <s v="+992 908-369-0617"/>
    <x v="111"/>
    <x v="0"/>
    <d v="2022-11-17T00:00:00"/>
    <s v="+992"/>
    <x v="4"/>
    <d v="2025-12-29T00:00:00"/>
    <n v="37.93333333333333"/>
    <s v="Королев"/>
    <x v="31"/>
    <s v="Бориславович"/>
  </r>
  <r>
    <n v="380"/>
    <s v="+7 669-661-5797"/>
    <x v="112"/>
    <x v="0"/>
    <d v="2022-01-02T00:00:00"/>
    <s v="+7"/>
    <x v="2"/>
    <d v="2025-12-29T00:00:00"/>
    <n v="48.56666666666667"/>
    <s v="Бурова"/>
    <x v="88"/>
    <s v="Игоревна"/>
  </r>
  <r>
    <n v="114"/>
    <s v="+7 393-681-6723"/>
    <x v="113"/>
    <x v="0"/>
    <d v="2022-11-24T00:00:00"/>
    <s v="+7"/>
    <x v="2"/>
    <d v="2025-12-29T00:00:00"/>
    <n v="37.700000000000003"/>
    <s v="Александров"/>
    <x v="89"/>
    <s v="Тимурович"/>
  </r>
  <r>
    <n v="381"/>
    <s v="+998 583-780-6740"/>
    <x v="114"/>
    <x v="1"/>
    <d v="2022-06-02T00:00:00"/>
    <s v="+998"/>
    <x v="0"/>
    <d v="2025-12-29T00:00:00"/>
    <n v="43.533333333333331"/>
    <s v="Чернова"/>
    <x v="90"/>
    <s v="Станиславовна"/>
  </r>
  <r>
    <n v="342"/>
    <s v="+992 928-516-3980"/>
    <x v="115"/>
    <x v="0"/>
    <d v="2022-01-09T00:00:00"/>
    <s v="+992"/>
    <x v="4"/>
    <d v="2025-12-29T00:00:00"/>
    <n v="48.333333333333336"/>
    <s v="Харитонова"/>
    <x v="91"/>
    <s v="Феликсовна"/>
  </r>
  <r>
    <n v="276"/>
    <s v="+992 358-380-4702"/>
    <x v="116"/>
    <x v="1"/>
    <d v="2022-03-12T00:00:00"/>
    <s v="+992"/>
    <x v="4"/>
    <d v="2025-12-29T00:00:00"/>
    <n v="46.266666666666666"/>
    <s v="Лазарев"/>
    <x v="92"/>
    <s v="Анатольевич"/>
  </r>
  <r>
    <n v="293"/>
    <s v="+375 156-538-5529"/>
    <x v="117"/>
    <x v="0"/>
    <d v="2022-01-12T00:00:00"/>
    <s v="+375"/>
    <x v="1"/>
    <d v="2025-12-29T00:00:00"/>
    <n v="48.233333333333334"/>
    <s v="Брагин"/>
    <x v="93"/>
    <s v="Гертрудович"/>
  </r>
  <r>
    <n v="386"/>
    <s v="+998 241-358-6988"/>
    <x v="118"/>
    <x v="0"/>
    <d v="2022-06-22T00:00:00"/>
    <s v="+998"/>
    <x v="0"/>
    <d v="2025-12-29T00:00:00"/>
    <n v="42.866666666666667"/>
    <s v="Зуева"/>
    <x v="94"/>
    <s v="Ждановна"/>
  </r>
  <r>
    <n v="362"/>
    <s v="+7 739-924-9444"/>
    <x v="119"/>
    <x v="1"/>
    <d v="2022-12-21T00:00:00"/>
    <s v="+7"/>
    <x v="2"/>
    <d v="2025-12-29T00:00:00"/>
    <n v="36.799999999999997"/>
    <s v="Владимиров"/>
    <x v="95"/>
    <s v="Брониславович"/>
  </r>
  <r>
    <n v="283"/>
    <s v="+992 904-682-2250"/>
    <x v="120"/>
    <x v="1"/>
    <d v="2022-11-24T00:00:00"/>
    <s v="+992"/>
    <x v="4"/>
    <d v="2025-12-29T00:00:00"/>
    <n v="37.700000000000003"/>
    <s v="Кириллов"/>
    <x v="96"/>
    <s v="Иосипович"/>
  </r>
  <r>
    <n v="388"/>
    <s v="+7 892-625-6649"/>
    <x v="121"/>
    <x v="0"/>
    <d v="2022-01-20T00:00:00"/>
    <s v="+7"/>
    <x v="2"/>
    <d v="2025-12-29T00:00:00"/>
    <n v="47.966666666666669"/>
    <s v="Тимофеева"/>
    <x v="97"/>
    <s v="Натановна"/>
  </r>
  <r>
    <n v="437"/>
    <s v="+998 049-489-2171"/>
    <x v="122"/>
    <x v="1"/>
    <d v="2022-01-15T00:00:00"/>
    <s v="+998"/>
    <x v="0"/>
    <d v="2025-12-29T00:00:00"/>
    <n v="48.133333333333333"/>
    <s v="Борисова"/>
    <x v="98"/>
    <s v="Кузьминична"/>
  </r>
  <r>
    <n v="450"/>
    <s v="+7 038-725-7867"/>
    <x v="123"/>
    <x v="0"/>
    <d v="2022-02-27T00:00:00"/>
    <s v="+7"/>
    <x v="2"/>
    <d v="2025-12-29T00:00:00"/>
    <n v="46.7"/>
    <s v="Фокин"/>
    <x v="99"/>
    <s v="Зиновьевич"/>
  </r>
  <r>
    <n v="136"/>
    <s v="+380 833-248-7380"/>
    <x v="124"/>
    <x v="0"/>
    <d v="2022-10-26T00:00:00"/>
    <s v="+380"/>
    <x v="3"/>
    <d v="2025-12-29T00:00:00"/>
    <n v="38.666666666666664"/>
    <s v="Зайцев"/>
    <x v="100"/>
    <s v="Даниилович"/>
  </r>
  <r>
    <n v="61"/>
    <s v="+992 862-124-2046"/>
    <x v="125"/>
    <x v="1"/>
    <d v="2022-07-27T00:00:00"/>
    <s v="+992"/>
    <x v="4"/>
    <d v="2025-12-29T00:00:00"/>
    <n v="41.7"/>
    <s v="Лобанов"/>
    <x v="101"/>
    <s v="Вилорович"/>
  </r>
  <r>
    <n v="364"/>
    <s v="+7 139-999-3338"/>
    <x v="126"/>
    <x v="0"/>
    <d v="2022-11-18T00:00:00"/>
    <s v="+7"/>
    <x v="2"/>
    <d v="2025-12-29T00:00:00"/>
    <n v="37.9"/>
    <s v="Родионова"/>
    <x v="102"/>
    <s v="Олеговна"/>
  </r>
  <r>
    <n v="496"/>
    <s v="+380 030-138-6532"/>
    <x v="127"/>
    <x v="0"/>
    <d v="2022-11-02T00:00:00"/>
    <s v="+380"/>
    <x v="3"/>
    <d v="2025-12-29T00:00:00"/>
    <n v="38.43333333333333"/>
    <s v="Вишняков"/>
    <x v="103"/>
    <s v="Викентьевич"/>
  </r>
  <r>
    <n v="464"/>
    <s v="+7 260-379-8995"/>
    <x v="128"/>
    <x v="1"/>
    <d v="2022-09-23T00:00:00"/>
    <s v="+7"/>
    <x v="2"/>
    <d v="2025-12-29T00:00:00"/>
    <n v="39.766666666666666"/>
    <s v="Носкова"/>
    <x v="104"/>
    <s v="Ждановна"/>
  </r>
  <r>
    <n v="419"/>
    <s v="+992 908-969-9000"/>
    <x v="129"/>
    <x v="0"/>
    <d v="2022-11-04T00:00:00"/>
    <s v="+992"/>
    <x v="4"/>
    <d v="2025-12-29T00:00:00"/>
    <n v="38.366666666666667"/>
    <s v="Жданов"/>
    <x v="105"/>
    <s v="Валерьевич"/>
  </r>
  <r>
    <n v="247"/>
    <s v="+998 153-345-5047"/>
    <x v="130"/>
    <x v="0"/>
    <d v="2022-07-20T00:00:00"/>
    <s v="+998"/>
    <x v="0"/>
    <d v="2025-12-29T00:00:00"/>
    <n v="41.93333333333333"/>
    <s v="Филиппов"/>
    <x v="106"/>
    <s v="Игнатович"/>
  </r>
  <r>
    <n v="73"/>
    <s v="+380 487-238-5930"/>
    <x v="131"/>
    <x v="0"/>
    <d v="2022-04-14T00:00:00"/>
    <s v="+380"/>
    <x v="3"/>
    <d v="2025-12-29T00:00:00"/>
    <n v="45.166666666666664"/>
    <s v="Лапин"/>
    <x v="107"/>
    <s v="Антипович"/>
  </r>
  <r>
    <n v="139"/>
    <s v="+375 187-052-9526"/>
    <x v="132"/>
    <x v="0"/>
    <d v="2022-03-28T00:00:00"/>
    <s v="+375"/>
    <x v="1"/>
    <d v="2025-12-29T00:00:00"/>
    <n v="45.733333333333334"/>
    <s v="Зыкова"/>
    <x v="108"/>
    <s v="Леонидовна"/>
  </r>
  <r>
    <n v="258"/>
    <s v="+380 174-160-6456"/>
    <x v="133"/>
    <x v="0"/>
    <d v="2022-06-05T00:00:00"/>
    <s v="+380"/>
    <x v="3"/>
    <d v="2025-12-29T00:00:00"/>
    <n v="43.43333333333333"/>
    <s v="Назарова"/>
    <x v="48"/>
    <s v="Леоновна"/>
  </r>
  <r>
    <n v="349"/>
    <s v="+7 048-020-5515"/>
    <x v="134"/>
    <x v="1"/>
    <d v="2022-04-22T00:00:00"/>
    <s v="+7"/>
    <x v="2"/>
    <d v="2025-12-29T00:00:00"/>
    <n v="44.9"/>
    <s v="Авдеев"/>
    <x v="109"/>
    <s v="Елисеевич"/>
  </r>
  <r>
    <n v="325"/>
    <s v="+992 979-262-5049"/>
    <x v="135"/>
    <x v="1"/>
    <d v="2022-11-10T00:00:00"/>
    <s v="+992"/>
    <x v="4"/>
    <d v="2025-12-29T00:00:00"/>
    <n v="38.166666666666664"/>
    <s v="Васильев"/>
    <x v="110"/>
    <s v="Георгиевич"/>
  </r>
  <r>
    <n v="250"/>
    <s v="+7 981-183-3972"/>
    <x v="136"/>
    <x v="0"/>
    <d v="2022-10-22T00:00:00"/>
    <s v="+7"/>
    <x v="2"/>
    <d v="2025-12-29T00:00:00"/>
    <n v="38.799999999999997"/>
    <s v="Копылов"/>
    <x v="111"/>
    <s v="Артемьевич"/>
  </r>
  <r>
    <n v="153"/>
    <s v="+7 709-119-0759"/>
    <x v="137"/>
    <x v="1"/>
    <d v="2022-08-29T00:00:00"/>
    <s v="+7"/>
    <x v="2"/>
    <d v="2025-12-29T00:00:00"/>
    <n v="40.6"/>
    <s v="Маслов"/>
    <x v="59"/>
    <s v="Анатольевич"/>
  </r>
  <r>
    <n v="286"/>
    <s v="+992 292-122-7648"/>
    <x v="138"/>
    <x v="1"/>
    <d v="2022-01-02T00:00:00"/>
    <s v="+992"/>
    <x v="4"/>
    <d v="2025-12-29T00:00:00"/>
    <n v="48.56666666666667"/>
    <s v="Савельев"/>
    <x v="112"/>
    <s v="Феоктистович"/>
  </r>
  <r>
    <n v="32"/>
    <s v="+998 265-405-9627"/>
    <x v="139"/>
    <x v="0"/>
    <d v="2022-12-27T00:00:00"/>
    <s v="+998"/>
    <x v="0"/>
    <d v="2025-12-29T00:00:00"/>
    <n v="36.6"/>
    <s v="Гущин"/>
    <x v="113"/>
    <s v="Яковлевич"/>
  </r>
  <r>
    <n v="49"/>
    <s v="+992 750-248-5649"/>
    <x v="140"/>
    <x v="0"/>
    <d v="2022-04-21T00:00:00"/>
    <s v="+992"/>
    <x v="4"/>
    <d v="2025-12-29T00:00:00"/>
    <n v="44.93333333333333"/>
    <s v="Абрамов"/>
    <x v="114"/>
    <s v="Чеславович"/>
  </r>
  <r>
    <n v="420"/>
    <s v="+380 992-850-2292"/>
    <x v="141"/>
    <x v="1"/>
    <d v="2022-05-17T00:00:00"/>
    <s v="+380"/>
    <x v="3"/>
    <d v="2025-12-29T00:00:00"/>
    <n v="44.06666666666667"/>
    <s v="Тихонова"/>
    <x v="115"/>
    <s v="Феликсовна"/>
  </r>
  <r>
    <n v="202"/>
    <s v="+375 840-221-8767"/>
    <x v="142"/>
    <x v="1"/>
    <d v="2022-07-24T00:00:00"/>
    <s v="+375"/>
    <x v="1"/>
    <d v="2025-12-29T00:00:00"/>
    <n v="41.8"/>
    <s v="Сазонова"/>
    <x v="116"/>
    <s v="Александровна"/>
  </r>
  <r>
    <n v="37"/>
    <s v="+380 855-516-3611"/>
    <x v="143"/>
    <x v="0"/>
    <d v="2022-06-16T00:00:00"/>
    <s v="+380"/>
    <x v="3"/>
    <d v="2025-12-29T00:00:00"/>
    <n v="43.06666666666667"/>
    <s v="Кулакова"/>
    <x v="117"/>
    <s v="Семеновна"/>
  </r>
  <r>
    <n v="366"/>
    <s v="+998 381-147-6466"/>
    <x v="144"/>
    <x v="1"/>
    <d v="2022-09-23T00:00:00"/>
    <s v="+998"/>
    <x v="0"/>
    <d v="2025-12-29T00:00:00"/>
    <n v="39.766666666666666"/>
    <s v="Никифорова"/>
    <x v="118"/>
    <s v="Альбертовна"/>
  </r>
  <r>
    <n v="434"/>
    <s v="+380 705-295-2201"/>
    <x v="145"/>
    <x v="1"/>
    <d v="2022-06-18T00:00:00"/>
    <s v="+380"/>
    <x v="3"/>
    <d v="2025-12-29T00:00:00"/>
    <n v="43"/>
    <s v="Щукин"/>
    <x v="35"/>
    <s v="Авдеевич"/>
  </r>
  <r>
    <n v="172"/>
    <s v="+7 326-132-7435"/>
    <x v="146"/>
    <x v="1"/>
    <d v="2022-06-25T00:00:00"/>
    <s v="+7"/>
    <x v="2"/>
    <d v="2025-12-29T00:00:00"/>
    <n v="42.766666666666666"/>
    <s v="Русаков"/>
    <x v="119"/>
    <s v="Тимурович"/>
  </r>
  <r>
    <n v="52"/>
    <s v="+7 340-358-5907"/>
    <x v="147"/>
    <x v="0"/>
    <d v="2022-12-22T00:00:00"/>
    <s v="+7"/>
    <x v="2"/>
    <d v="2025-12-29T00:00:00"/>
    <n v="36.766666666666666"/>
    <s v="Мельникова"/>
    <x v="120"/>
    <s v="Николаевна"/>
  </r>
  <r>
    <n v="395"/>
    <s v="+998 914-522-1318"/>
    <x v="148"/>
    <x v="1"/>
    <d v="2022-11-25T00:00:00"/>
    <s v="+998"/>
    <x v="0"/>
    <d v="2025-12-29T00:00:00"/>
    <n v="37.666666666666664"/>
    <s v="Якушев"/>
    <x v="121"/>
    <s v="Гавриилович"/>
  </r>
  <r>
    <n v="46"/>
    <s v="+992 891-393-2973"/>
    <x v="149"/>
    <x v="0"/>
    <d v="2022-03-16T00:00:00"/>
    <s v="+992"/>
    <x v="4"/>
    <d v="2025-12-29T00:00:00"/>
    <n v="46.133333333333333"/>
    <s v="Степанова"/>
    <x v="122"/>
    <s v="Александровна"/>
  </r>
  <r>
    <n v="361"/>
    <s v="+998 197-437-6957"/>
    <x v="150"/>
    <x v="0"/>
    <d v="2022-09-27T00:00:00"/>
    <s v="+998"/>
    <x v="0"/>
    <d v="2025-12-29T00:00:00"/>
    <n v="39.633333333333333"/>
    <s v="Федорова"/>
    <x v="76"/>
    <s v="Вадимовна"/>
  </r>
  <r>
    <n v="358"/>
    <s v="+380 383-190-2360"/>
    <x v="151"/>
    <x v="0"/>
    <d v="2022-07-29T00:00:00"/>
    <s v="+380"/>
    <x v="3"/>
    <d v="2025-12-29T00:00:00"/>
    <n v="41.633333333333333"/>
    <s v="Чернова"/>
    <x v="115"/>
    <s v="Петровна"/>
  </r>
  <r>
    <n v="44"/>
    <s v="+375 226-003-8992"/>
    <x v="152"/>
    <x v="1"/>
    <d v="2022-05-20T00:00:00"/>
    <s v="+375"/>
    <x v="1"/>
    <d v="2025-12-29T00:00:00"/>
    <n v="43.966666666666669"/>
    <s v="Горбунов"/>
    <x v="123"/>
    <s v="Васильевич"/>
  </r>
  <r>
    <n v="416"/>
    <s v="+992 906-130-4174"/>
    <x v="153"/>
    <x v="1"/>
    <d v="2022-05-22T00:00:00"/>
    <s v="+992"/>
    <x v="4"/>
    <d v="2025-12-29T00:00:00"/>
    <n v="43.9"/>
    <s v="Зуев"/>
    <x v="124"/>
    <s v="Игоревич"/>
  </r>
  <r>
    <n v="74"/>
    <s v="+7 977-556-0650"/>
    <x v="154"/>
    <x v="1"/>
    <d v="2022-10-23T00:00:00"/>
    <s v="+7"/>
    <x v="2"/>
    <d v="2025-12-29T00:00:00"/>
    <n v="38.766666666666666"/>
    <s v="Данилова"/>
    <x v="7"/>
    <s v="Романовна"/>
  </r>
  <r>
    <n v="180"/>
    <s v="+375 820-460-9487"/>
    <x v="155"/>
    <x v="1"/>
    <d v="2022-02-24T00:00:00"/>
    <s v="+375"/>
    <x v="1"/>
    <d v="2025-12-29T00:00:00"/>
    <n v="46.8"/>
    <s v="Калинин"/>
    <x v="119"/>
    <s v="Феодосьевич"/>
  </r>
  <r>
    <n v="159"/>
    <s v="+998 608-979-4237"/>
    <x v="156"/>
    <x v="1"/>
    <d v="2022-05-05T00:00:00"/>
    <s v="+998"/>
    <x v="0"/>
    <d v="2025-12-29T00:00:00"/>
    <n v="44.466666666666669"/>
    <s v="Корнилов"/>
    <x v="125"/>
    <s v="Яковлевич"/>
  </r>
  <r>
    <n v="106"/>
    <s v="+380 086-392-5406"/>
    <x v="157"/>
    <x v="0"/>
    <d v="2022-10-24T00:00:00"/>
    <s v="+380"/>
    <x v="3"/>
    <d v="2025-12-29T00:00:00"/>
    <n v="38.733333333333334"/>
    <s v="Якушева"/>
    <x v="108"/>
    <s v="Богдановна"/>
  </r>
  <r>
    <n v="65"/>
    <s v="+380 264-466-6372"/>
    <x v="158"/>
    <x v="1"/>
    <d v="2022-03-03T00:00:00"/>
    <s v="+380"/>
    <x v="3"/>
    <d v="2025-12-29T00:00:00"/>
    <n v="46.56666666666667"/>
    <s v="Самойлова"/>
    <x v="76"/>
    <s v="Семеновна"/>
  </r>
  <r>
    <n v="457"/>
    <s v="+992 644-743-9326"/>
    <x v="159"/>
    <x v="1"/>
    <d v="2022-02-03T00:00:00"/>
    <s v="+992"/>
    <x v="4"/>
    <d v="2025-12-29T00:00:00"/>
    <n v="47.5"/>
    <s v="Медведева"/>
    <x v="126"/>
    <s v="Владимировна"/>
  </r>
  <r>
    <n v="255"/>
    <s v="+380 403-818-2198"/>
    <x v="160"/>
    <x v="0"/>
    <d v="2022-08-20T00:00:00"/>
    <s v="+380"/>
    <x v="3"/>
    <d v="2025-12-29T00:00:00"/>
    <n v="40.9"/>
    <s v="Беляков"/>
    <x v="14"/>
    <s v="Ефимьевич"/>
  </r>
  <r>
    <n v="436"/>
    <s v="+7 613-538-5501"/>
    <x v="161"/>
    <x v="1"/>
    <d v="2022-05-02T00:00:00"/>
    <s v="+7"/>
    <x v="2"/>
    <d v="2025-12-29T00:00:00"/>
    <n v="44.56666666666667"/>
    <s v="Миронов"/>
    <x v="127"/>
    <s v="Зиновьевич"/>
  </r>
  <r>
    <n v="175"/>
    <s v="+7 670-667-8381"/>
    <x v="162"/>
    <x v="1"/>
    <d v="2022-01-04T00:00:00"/>
    <s v="+7"/>
    <x v="2"/>
    <d v="2025-12-29T00:00:00"/>
    <n v="48.5"/>
    <s v="Потапова"/>
    <x v="126"/>
    <s v="Семеновна"/>
  </r>
  <r>
    <n v="274"/>
    <s v="+7 264-686-5607"/>
    <x v="163"/>
    <x v="0"/>
    <d v="2022-02-15T00:00:00"/>
    <s v="+7"/>
    <x v="2"/>
    <d v="2025-12-29T00:00:00"/>
    <n v="47.1"/>
    <s v="Сорокина"/>
    <x v="19"/>
    <s v="Геннадьевна"/>
  </r>
  <r>
    <n v="59"/>
    <s v="+7 535-345-7895"/>
    <x v="164"/>
    <x v="0"/>
    <d v="2022-07-28T00:00:00"/>
    <s v="+7"/>
    <x v="2"/>
    <d v="2025-12-29T00:00:00"/>
    <n v="41.666666666666664"/>
    <s v="Одинцова"/>
    <x v="7"/>
    <s v="Альбертовна"/>
  </r>
  <r>
    <n v="411"/>
    <s v="+992 587-542-2147"/>
    <x v="165"/>
    <x v="1"/>
    <d v="2022-04-22T00:00:00"/>
    <s v="+992"/>
    <x v="4"/>
    <d v="2025-12-29T00:00:00"/>
    <n v="44.9"/>
    <s v="Воронцов"/>
    <x v="114"/>
    <s v="Владленович"/>
  </r>
  <r>
    <n v="259"/>
    <s v="+375 890-614-0667"/>
    <x v="166"/>
    <x v="0"/>
    <d v="2022-05-26T00:00:00"/>
    <s v="+375"/>
    <x v="1"/>
    <d v="2025-12-29T00:00:00"/>
    <n v="43.766666666666666"/>
    <s v="Зыкова"/>
    <x v="128"/>
    <s v="Михайловна"/>
  </r>
  <r>
    <n v="337"/>
    <s v="+7 197-654-6044"/>
    <x v="167"/>
    <x v="0"/>
    <d v="2022-11-10T00:00:00"/>
    <s v="+7"/>
    <x v="2"/>
    <d v="2025-12-29T00:00:00"/>
    <n v="38.166666666666664"/>
    <s v="Максимова"/>
    <x v="102"/>
    <s v="Ждановна"/>
  </r>
  <r>
    <n v="354"/>
    <s v="+998 777-844-5783"/>
    <x v="168"/>
    <x v="1"/>
    <d v="2022-09-07T00:00:00"/>
    <s v="+998"/>
    <x v="0"/>
    <d v="2025-12-29T00:00:00"/>
    <n v="40.299999999999997"/>
    <s v="Григорьева"/>
    <x v="40"/>
    <s v="Ивановна"/>
  </r>
  <r>
    <n v="329"/>
    <s v="+375 285-458-8961"/>
    <x v="169"/>
    <x v="0"/>
    <d v="2022-04-02T00:00:00"/>
    <s v="+375"/>
    <x v="1"/>
    <d v="2025-12-29T00:00:00"/>
    <n v="45.56666666666667"/>
    <s v="Маслова"/>
    <x v="129"/>
    <s v="Юрьевна"/>
  </r>
  <r>
    <n v="186"/>
    <s v="+375 389-470-8585"/>
    <x v="170"/>
    <x v="1"/>
    <d v="2022-12-19T00:00:00"/>
    <s v="+375"/>
    <x v="1"/>
    <d v="2025-12-29T00:00:00"/>
    <n v="36.866666666666667"/>
    <s v="Родионов"/>
    <x v="130"/>
    <s v="Демьянович"/>
  </r>
  <r>
    <n v="448"/>
    <s v="+7 984-361-4421"/>
    <x v="171"/>
    <x v="1"/>
    <d v="2022-07-28T00:00:00"/>
    <s v="+7"/>
    <x v="2"/>
    <d v="2025-12-29T00:00:00"/>
    <n v="41.666666666666664"/>
    <s v="Рожкова"/>
    <x v="131"/>
    <s v="Валериевна"/>
  </r>
  <r>
    <n v="377"/>
    <s v="+998 643-985-0175"/>
    <x v="172"/>
    <x v="1"/>
    <d v="2022-08-21T00:00:00"/>
    <s v="+998"/>
    <x v="0"/>
    <d v="2025-12-29T00:00:00"/>
    <n v="40.866666666666667"/>
    <s v="Никитина"/>
    <x v="132"/>
    <s v="Наумовна"/>
  </r>
  <r>
    <n v="316"/>
    <s v="+992 330-173-6947"/>
    <x v="173"/>
    <x v="0"/>
    <d v="2022-08-14T00:00:00"/>
    <s v="+992"/>
    <x v="4"/>
    <d v="2025-12-29T00:00:00"/>
    <n v="41.1"/>
    <s v="Брагина"/>
    <x v="28"/>
    <s v="Евгеньевна"/>
  </r>
  <r>
    <n v="322"/>
    <s v="+380 459-176-1508"/>
    <x v="174"/>
    <x v="0"/>
    <d v="2022-11-21T00:00:00"/>
    <s v="+380"/>
    <x v="3"/>
    <d v="2025-12-29T00:00:00"/>
    <n v="37.799999999999997"/>
    <s v="Суханова"/>
    <x v="133"/>
    <s v="Эльдаровна"/>
  </r>
  <r>
    <n v="62"/>
    <s v="+7 487-712-2137"/>
    <x v="175"/>
    <x v="1"/>
    <d v="2022-04-20T00:00:00"/>
    <s v="+7"/>
    <x v="2"/>
    <d v="2025-12-29T00:00:00"/>
    <n v="44.966666666666669"/>
    <s v="Исаков"/>
    <x v="134"/>
    <s v="Августович"/>
  </r>
  <r>
    <n v="295"/>
    <s v="+7 616-701-4879"/>
    <x v="176"/>
    <x v="1"/>
    <d v="2022-01-27T00:00:00"/>
    <s v="+7"/>
    <x v="2"/>
    <d v="2025-12-29T00:00:00"/>
    <n v="47.733333333333334"/>
    <s v="Владимиров"/>
    <x v="135"/>
    <s v="Валентинович"/>
  </r>
  <r>
    <n v="235"/>
    <s v="+998 766-764-4076"/>
    <x v="177"/>
    <x v="1"/>
    <d v="2022-03-15T00:00:00"/>
    <s v="+998"/>
    <x v="0"/>
    <d v="2025-12-29T00:00:00"/>
    <n v="46.166666666666664"/>
    <s v="Лобанов"/>
    <x v="136"/>
    <s v="Игнатович"/>
  </r>
  <r>
    <n v="156"/>
    <s v="+380 270-120-1119"/>
    <x v="178"/>
    <x v="0"/>
    <d v="2022-12-10T00:00:00"/>
    <s v="+380"/>
    <x v="3"/>
    <d v="2025-12-29T00:00:00"/>
    <n v="37.166666666666664"/>
    <s v="Белов"/>
    <x v="137"/>
    <s v="Иосипович"/>
  </r>
  <r>
    <n v="327"/>
    <s v="+992 257-520-2828"/>
    <x v="179"/>
    <x v="1"/>
    <d v="2022-01-04T00:00:00"/>
    <s v="+992"/>
    <x v="4"/>
    <d v="2025-12-29T00:00:00"/>
    <n v="48.5"/>
    <s v="Рожкова"/>
    <x v="94"/>
    <s v="Артемовна"/>
  </r>
  <r>
    <n v="275"/>
    <s v="+992 403-930-8580"/>
    <x v="180"/>
    <x v="1"/>
    <d v="2022-03-31T00:00:00"/>
    <s v="+992"/>
    <x v="4"/>
    <d v="2025-12-29T00:00:00"/>
    <n v="45.633333333333333"/>
    <s v="Морозов"/>
    <x v="138"/>
    <s v="Валерьевич"/>
  </r>
  <r>
    <n v="177"/>
    <s v="+992 672-498-6349"/>
    <x v="181"/>
    <x v="1"/>
    <d v="2022-10-23T00:00:00"/>
    <s v="+992"/>
    <x v="4"/>
    <d v="2025-12-29T00:00:00"/>
    <n v="38.766666666666666"/>
    <s v="Сергеева"/>
    <x v="55"/>
    <s v="Захаровна"/>
  </r>
  <r>
    <n v="181"/>
    <s v="+380 921-086-4453"/>
    <x v="182"/>
    <x v="0"/>
    <d v="2022-01-07T00:00:00"/>
    <s v="+380"/>
    <x v="3"/>
    <d v="2025-12-29T00:00:00"/>
    <n v="48.4"/>
    <s v="Русаков"/>
    <x v="139"/>
    <s v="Захарьевич"/>
  </r>
  <r>
    <n v="478"/>
    <s v="+380 260-756-9533"/>
    <x v="183"/>
    <x v="1"/>
    <d v="2022-06-14T00:00:00"/>
    <s v="+380"/>
    <x v="3"/>
    <d v="2025-12-29T00:00:00"/>
    <n v="43.133333333333333"/>
    <s v="Шарова"/>
    <x v="140"/>
    <s v="Леоновна"/>
  </r>
  <r>
    <n v="429"/>
    <s v="+992 266-513-0456"/>
    <x v="184"/>
    <x v="0"/>
    <d v="2022-03-05T00:00:00"/>
    <s v="+992"/>
    <x v="4"/>
    <d v="2025-12-29T00:00:00"/>
    <n v="46.5"/>
    <s v="Цветков"/>
    <x v="86"/>
    <s v="Витальевич"/>
  </r>
  <r>
    <n v="431"/>
    <s v="+7 869-111-2094"/>
    <x v="185"/>
    <x v="1"/>
    <d v="2022-03-03T00:00:00"/>
    <s v="+7"/>
    <x v="2"/>
    <d v="2025-12-29T00:00:00"/>
    <n v="46.56666666666667"/>
    <s v="Мясников"/>
    <x v="141"/>
    <s v="Якубович"/>
  </r>
  <r>
    <n v="147"/>
    <s v="+7 412-542-8365"/>
    <x v="186"/>
    <x v="0"/>
    <d v="2022-09-23T00:00:00"/>
    <s v="+7"/>
    <x v="2"/>
    <d v="2025-12-29T00:00:00"/>
    <n v="39.766666666666666"/>
    <s v="Бирюкова"/>
    <x v="129"/>
    <s v="Артемовна"/>
  </r>
  <r>
    <n v="312"/>
    <s v="+7 844-239-9142"/>
    <x v="187"/>
    <x v="0"/>
    <d v="2022-11-21T00:00:00"/>
    <s v="+7"/>
    <x v="2"/>
    <d v="2025-12-29T00:00:00"/>
    <n v="37.799999999999997"/>
    <s v="Савельев"/>
    <x v="142"/>
    <s v="Гурьевич"/>
  </r>
  <r>
    <n v="41"/>
    <s v="+7 661-552-6669"/>
    <x v="188"/>
    <x v="0"/>
    <d v="2022-10-08T00:00:00"/>
    <s v="+7"/>
    <x v="2"/>
    <d v="2025-12-29T00:00:00"/>
    <n v="39.266666666666666"/>
    <s v="Волкова"/>
    <x v="46"/>
    <s v="Николаевна"/>
  </r>
  <r>
    <n v="389"/>
    <s v="+7 524-093-8464"/>
    <x v="189"/>
    <x v="0"/>
    <d v="2022-11-11T00:00:00"/>
    <s v="+7"/>
    <x v="2"/>
    <d v="2025-12-29T00:00:00"/>
    <n v="38.133333333333333"/>
    <s v="Филиппов"/>
    <x v="21"/>
    <s v="Терентьевич"/>
  </r>
  <r>
    <n v="249"/>
    <s v="+7 974-088-4889"/>
    <x v="190"/>
    <x v="0"/>
    <d v="2022-08-08T00:00:00"/>
    <s v="+7"/>
    <x v="2"/>
    <d v="2025-12-29T00:00:00"/>
    <n v="41.3"/>
    <s v="Абрамов"/>
    <x v="143"/>
    <s v="Фролович"/>
  </r>
  <r>
    <n v="168"/>
    <s v="+998 113-461-2855"/>
    <x v="191"/>
    <x v="0"/>
    <d v="2022-05-25T00:00:00"/>
    <s v="+998"/>
    <x v="0"/>
    <d v="2025-12-29T00:00:00"/>
    <n v="43.8"/>
    <s v="Самсонов"/>
    <x v="144"/>
    <s v="Фролович"/>
  </r>
  <r>
    <n v="121"/>
    <s v="+7 925-005-3361"/>
    <x v="192"/>
    <x v="0"/>
    <d v="2022-07-21T00:00:00"/>
    <s v="+7"/>
    <x v="2"/>
    <d v="2025-12-29T00:00:00"/>
    <n v="41.9"/>
    <s v="Сысоева"/>
    <x v="145"/>
    <s v="Захаровна"/>
  </r>
  <r>
    <n v="405"/>
    <s v="+380 524-191-7258"/>
    <x v="193"/>
    <x v="1"/>
    <d v="2022-08-25T00:00:00"/>
    <s v="+380"/>
    <x v="3"/>
    <d v="2025-12-29T00:00:00"/>
    <n v="40.733333333333334"/>
    <s v="Белова"/>
    <x v="42"/>
    <s v="Робертовна"/>
  </r>
  <r>
    <n v="376"/>
    <s v="+375 690-843-0501"/>
    <x v="194"/>
    <x v="0"/>
    <d v="2022-06-18T00:00:00"/>
    <s v="+375"/>
    <x v="1"/>
    <d v="2025-12-29T00:00:00"/>
    <n v="43"/>
    <s v="Лукин"/>
    <x v="146"/>
    <s v="Власович"/>
  </r>
  <r>
    <n v="489"/>
    <s v="+7 778-043-0691"/>
    <x v="195"/>
    <x v="0"/>
    <d v="2022-01-26T00:00:00"/>
    <s v="+7"/>
    <x v="2"/>
    <d v="2025-12-29T00:00:00"/>
    <n v="47.766666666666666"/>
    <s v="Воронов"/>
    <x v="147"/>
    <s v="Феодосьевич"/>
  </r>
  <r>
    <n v="483"/>
    <s v="+7 319-073-7259"/>
    <x v="196"/>
    <x v="0"/>
    <d v="2022-10-21T00:00:00"/>
    <s v="+7"/>
    <x v="2"/>
    <d v="2025-12-29T00:00:00"/>
    <n v="38.833333333333336"/>
    <s v="Гущин"/>
    <x v="148"/>
    <s v="Архипович"/>
  </r>
  <r>
    <n v="107"/>
    <s v="+992 943-140-9489"/>
    <x v="197"/>
    <x v="1"/>
    <d v="2022-07-02T00:00:00"/>
    <s v="+992"/>
    <x v="4"/>
    <d v="2025-12-29T00:00:00"/>
    <n v="42.533333333333331"/>
    <s v="Большаков"/>
    <x v="67"/>
    <s v="Тихонович"/>
  </r>
  <r>
    <n v="51"/>
    <s v="+998 154-674-1649"/>
    <x v="198"/>
    <x v="1"/>
    <d v="2022-02-13T00:00:00"/>
    <s v="+998"/>
    <x v="0"/>
    <d v="2025-12-29T00:00:00"/>
    <n v="47.166666666666664"/>
    <s v="Костина"/>
    <x v="76"/>
    <s v="Рубеновна"/>
  </r>
  <r>
    <n v="9"/>
    <s v="+992 442-185-5422"/>
    <x v="199"/>
    <x v="0"/>
    <d v="2022-12-05T00:00:00"/>
    <s v="+992"/>
    <x v="4"/>
    <d v="2025-12-29T00:00:00"/>
    <n v="37.333333333333336"/>
    <s v="Устинов"/>
    <x v="149"/>
    <s v="Архипович"/>
  </r>
  <r>
    <n v="456"/>
    <s v="+7 584-823-9648"/>
    <x v="200"/>
    <x v="0"/>
    <d v="2022-02-26T00:00:00"/>
    <s v="+7"/>
    <x v="2"/>
    <d v="2025-12-29T00:00:00"/>
    <n v="46.733333333333334"/>
    <s v="Муравьева"/>
    <x v="133"/>
    <s v="Петровна"/>
  </r>
  <r>
    <n v="110"/>
    <s v="+998 838-480-9390"/>
    <x v="201"/>
    <x v="1"/>
    <d v="2022-01-19T00:00:00"/>
    <s v="+998"/>
    <x v="0"/>
    <d v="2025-12-29T00:00:00"/>
    <n v="48"/>
    <s v="Белоусов"/>
    <x v="150"/>
    <s v="Фёдорович"/>
  </r>
  <r>
    <n v="216"/>
    <s v="+992 638-430-8419"/>
    <x v="202"/>
    <x v="1"/>
    <d v="2022-04-04T00:00:00"/>
    <s v="+992"/>
    <x v="4"/>
    <d v="2025-12-29T00:00:00"/>
    <n v="45.5"/>
    <s v="Никонов"/>
    <x v="81"/>
    <s v="Авдеевич"/>
  </r>
  <r>
    <n v="77"/>
    <s v="+7 296-302-4718"/>
    <x v="203"/>
    <x v="1"/>
    <d v="2022-03-24T00:00:00"/>
    <s v="+7"/>
    <x v="2"/>
    <d v="2025-12-29T00:00:00"/>
    <n v="45.866666666666667"/>
    <s v="Фокин"/>
    <x v="151"/>
    <s v="Елизарович"/>
  </r>
  <r>
    <n v="192"/>
    <s v="+7 572-970-7703"/>
    <x v="204"/>
    <x v="0"/>
    <d v="2022-01-11T00:00:00"/>
    <s v="+7"/>
    <x v="2"/>
    <d v="2025-12-29T00:00:00"/>
    <n v="48.266666666666666"/>
    <s v="Устинов"/>
    <x v="152"/>
    <s v="Исидорович"/>
  </r>
  <r>
    <n v="308"/>
    <s v="+375 958-521-7488"/>
    <x v="205"/>
    <x v="0"/>
    <d v="2022-01-01T00:00:00"/>
    <s v="+375"/>
    <x v="1"/>
    <d v="2025-12-29T00:00:00"/>
    <n v="48.6"/>
    <s v="Васильева"/>
    <x v="4"/>
    <s v="Анатольевна"/>
  </r>
  <r>
    <n v="455"/>
    <s v="+380 315-815-3268"/>
    <x v="206"/>
    <x v="0"/>
    <d v="2022-09-16T00:00:00"/>
    <s v="+380"/>
    <x v="3"/>
    <d v="2025-12-29T00:00:00"/>
    <n v="40"/>
    <s v="Калинин"/>
    <x v="153"/>
    <s v="Арсеньевич"/>
  </r>
  <r>
    <n v="480"/>
    <s v="+998 697-530-0958"/>
    <x v="207"/>
    <x v="0"/>
    <d v="2022-01-07T00:00:00"/>
    <s v="+998"/>
    <x v="0"/>
    <d v="2025-12-29T00:00:00"/>
    <n v="48.4"/>
    <s v="Капустина"/>
    <x v="12"/>
    <s v="Кузьминична"/>
  </r>
  <r>
    <n v="203"/>
    <s v="+7 466-253-9021"/>
    <x v="208"/>
    <x v="1"/>
    <d v="2022-05-04T00:00:00"/>
    <s v="+7"/>
    <x v="2"/>
    <d v="2025-12-29T00:00:00"/>
    <n v="44.5"/>
    <s v="Суханов"/>
    <x v="154"/>
    <s v="Архипович"/>
  </r>
  <r>
    <n v="21"/>
    <s v="+375 299-252-6550"/>
    <x v="209"/>
    <x v="0"/>
    <d v="2022-11-16T00:00:00"/>
    <s v="+375"/>
    <x v="1"/>
    <d v="2025-12-29T00:00:00"/>
    <n v="37.966666666666669"/>
    <s v="Третьяков"/>
    <x v="155"/>
    <s v="Венедиктович"/>
  </r>
  <r>
    <n v="302"/>
    <s v="+7 449-357-2065"/>
    <x v="210"/>
    <x v="1"/>
    <d v="2022-10-25T00:00:00"/>
    <s v="+7"/>
    <x v="2"/>
    <d v="2025-12-29T00:00:00"/>
    <n v="38.700000000000003"/>
    <s v="Журавлева"/>
    <x v="3"/>
    <s v="Валентиновна"/>
  </r>
  <r>
    <n v="341"/>
    <s v="+7 456-978-0873"/>
    <x v="211"/>
    <x v="1"/>
    <d v="2022-06-12T00:00:00"/>
    <s v="+7"/>
    <x v="2"/>
    <d v="2025-12-29T00:00:00"/>
    <n v="43.2"/>
    <s v="Ефимова"/>
    <x v="128"/>
    <s v="Архиповна"/>
  </r>
  <r>
    <n v="463"/>
    <s v="+380 286-003-5332"/>
    <x v="212"/>
    <x v="1"/>
    <d v="2022-11-04T00:00:00"/>
    <s v="+380"/>
    <x v="3"/>
    <d v="2025-12-29T00:00:00"/>
    <n v="38.366666666666667"/>
    <s v="Ефремова"/>
    <x v="16"/>
    <s v="Руслановна"/>
  </r>
  <r>
    <n v="421"/>
    <s v="+7 362-778-4019"/>
    <x v="213"/>
    <x v="1"/>
    <d v="2022-02-28T00:00:00"/>
    <s v="+7"/>
    <x v="2"/>
    <d v="2025-12-29T00:00:00"/>
    <n v="46.666666666666664"/>
    <s v="Красильников"/>
    <x v="106"/>
    <s v="Ермилович"/>
  </r>
  <r>
    <n v="86"/>
    <s v="+998 169-477-8408"/>
    <x v="214"/>
    <x v="0"/>
    <d v="2022-05-11T00:00:00"/>
    <s v="+998"/>
    <x v="0"/>
    <d v="2025-12-29T00:00:00"/>
    <n v="44.266666666666666"/>
    <s v="Гуляева"/>
    <x v="90"/>
    <s v="Кузьминична"/>
  </r>
  <r>
    <n v="319"/>
    <s v="+998 213-223-6638"/>
    <x v="215"/>
    <x v="0"/>
    <d v="2022-04-23T00:00:00"/>
    <s v="+998"/>
    <x v="0"/>
    <d v="2025-12-29T00:00:00"/>
    <n v="44.866666666666667"/>
    <s v="Маркова"/>
    <x v="48"/>
    <s v="Юрьевна"/>
  </r>
  <r>
    <n v="290"/>
    <s v="+7 244-331-6219"/>
    <x v="216"/>
    <x v="0"/>
    <d v="2022-08-04T00:00:00"/>
    <s v="+7"/>
    <x v="2"/>
    <d v="2025-12-29T00:00:00"/>
    <n v="41.43333333333333"/>
    <s v="Савин"/>
    <x v="156"/>
    <s v="Гавриилович"/>
  </r>
  <r>
    <n v="13"/>
    <s v="+7 782-443-4000"/>
    <x v="217"/>
    <x v="1"/>
    <d v="2022-06-12T00:00:00"/>
    <s v="+7"/>
    <x v="2"/>
    <d v="2025-12-29T00:00:00"/>
    <n v="43.2"/>
    <s v="Максимова"/>
    <x v="157"/>
    <s v="Валериевна"/>
  </r>
  <r>
    <n v="453"/>
    <s v="+7 648-807-1917"/>
    <x v="218"/>
    <x v="0"/>
    <d v="2022-03-15T00:00:00"/>
    <s v="+7"/>
    <x v="2"/>
    <d v="2025-12-29T00:00:00"/>
    <n v="46.166666666666664"/>
    <s v="Никифоров"/>
    <x v="158"/>
    <s v="Харитонович"/>
  </r>
  <r>
    <n v="120"/>
    <s v="+7 225-063-9920"/>
    <x v="219"/>
    <x v="0"/>
    <d v="2022-05-10T00:00:00"/>
    <s v="+7"/>
    <x v="2"/>
    <d v="2025-12-29T00:00:00"/>
    <n v="44.3"/>
    <s v="Макаров"/>
    <x v="159"/>
    <s v="Игоревич"/>
  </r>
  <r>
    <n v="292"/>
    <s v="+7 421-153-6302"/>
    <x v="220"/>
    <x v="1"/>
    <d v="2022-02-16T00:00:00"/>
    <s v="+7"/>
    <x v="2"/>
    <d v="2025-12-29T00:00:00"/>
    <n v="47.06666666666667"/>
    <s v="Тимофеев"/>
    <x v="160"/>
    <s v="Фомич"/>
  </r>
  <r>
    <n v="1"/>
    <s v="+7 945-211-9429"/>
    <x v="221"/>
    <x v="0"/>
    <d v="2022-01-24T00:00:00"/>
    <s v="+7"/>
    <x v="2"/>
    <d v="2025-12-29T00:00:00"/>
    <n v="47.833333333333336"/>
    <s v="Лапин"/>
    <x v="161"/>
    <s v="Егорович"/>
  </r>
  <r>
    <n v="98"/>
    <s v="+7 379-140-2865"/>
    <x v="222"/>
    <x v="0"/>
    <d v="2022-03-17T00:00:00"/>
    <s v="+7"/>
    <x v="2"/>
    <d v="2025-12-29T00:00:00"/>
    <n v="46.1"/>
    <s v="Степанов"/>
    <x v="155"/>
    <s v="Виленович"/>
  </r>
  <r>
    <n v="226"/>
    <s v="+7 685-361-2926"/>
    <x v="223"/>
    <x v="0"/>
    <d v="2022-05-21T00:00:00"/>
    <s v="+7"/>
    <x v="2"/>
    <d v="2025-12-29T00:00:00"/>
    <n v="43.93333333333333"/>
    <s v="Логинов"/>
    <x v="162"/>
    <s v="Валерьевич"/>
  </r>
  <r>
    <n v="296"/>
    <s v="+998 997-462-0828"/>
    <x v="224"/>
    <x v="1"/>
    <d v="2022-07-16T00:00:00"/>
    <s v="+998"/>
    <x v="0"/>
    <d v="2025-12-29T00:00:00"/>
    <n v="42.06666666666667"/>
    <s v="Исакова"/>
    <x v="163"/>
    <s v="Олеговна"/>
  </r>
  <r>
    <n v="29"/>
    <s v="+7 028-813-4020"/>
    <x v="225"/>
    <x v="0"/>
    <d v="2022-05-23T00:00:00"/>
    <s v="+7"/>
    <x v="2"/>
    <d v="2025-12-29T00:00:00"/>
    <n v="43.866666666666667"/>
    <s v="Вишняков"/>
    <x v="164"/>
    <s v="Анатольевич"/>
  </r>
  <r>
    <n v="297"/>
    <s v="+380 802-906-1048"/>
    <x v="226"/>
    <x v="1"/>
    <d v="2022-04-15T00:00:00"/>
    <s v="+380"/>
    <x v="3"/>
    <d v="2025-12-29T00:00:00"/>
    <n v="45.133333333333333"/>
    <s v="Нестеров"/>
    <x v="23"/>
    <s v="Аверьянович"/>
  </r>
  <r>
    <n v="497"/>
    <s v="+998 247-862-3690"/>
    <x v="227"/>
    <x v="1"/>
    <d v="2022-09-22T00:00:00"/>
    <s v="+998"/>
    <x v="0"/>
    <d v="2025-12-29T00:00:00"/>
    <n v="39.799999999999997"/>
    <s v="Цветков"/>
    <x v="96"/>
    <s v="Федосеевич"/>
  </r>
  <r>
    <n v="191"/>
    <s v="+380 728-449-1745"/>
    <x v="228"/>
    <x v="0"/>
    <d v="2022-11-01T00:00:00"/>
    <s v="+380"/>
    <x v="3"/>
    <d v="2025-12-29T00:00:00"/>
    <n v="38.466666666666669"/>
    <s v="Богданов"/>
    <x v="165"/>
    <s v="Адамович"/>
  </r>
  <r>
    <n v="58"/>
    <s v="+375 524-220-8374"/>
    <x v="229"/>
    <x v="1"/>
    <d v="2022-03-08T00:00:00"/>
    <s v="+375"/>
    <x v="1"/>
    <d v="2025-12-29T00:00:00"/>
    <n v="46.4"/>
    <s v="Владимирова"/>
    <x v="50"/>
    <s v="Феликсовна"/>
  </r>
  <r>
    <n v="446"/>
    <s v="+992 028-876-8250"/>
    <x v="230"/>
    <x v="0"/>
    <d v="2022-04-20T00:00:00"/>
    <s v="+992"/>
    <x v="4"/>
    <d v="2025-12-29T00:00:00"/>
    <n v="44.966666666666669"/>
    <s v="Турова"/>
    <x v="37"/>
    <s v="Вадимовна"/>
  </r>
  <r>
    <n v="117"/>
    <s v="+380 280-785-9631"/>
    <x v="231"/>
    <x v="0"/>
    <d v="2022-05-25T00:00:00"/>
    <s v="+380"/>
    <x v="3"/>
    <d v="2025-12-29T00:00:00"/>
    <n v="43.8"/>
    <s v="Горбачев"/>
    <x v="166"/>
    <s v="Давидович"/>
  </r>
  <r>
    <n v="187"/>
    <s v="+7 304-758-2488"/>
    <x v="232"/>
    <x v="0"/>
    <d v="2022-10-14T00:00:00"/>
    <s v="+7"/>
    <x v="2"/>
    <d v="2025-12-29T00:00:00"/>
    <n v="39.06666666666667"/>
    <s v="Белякова"/>
    <x v="12"/>
    <s v="Геннадиевна"/>
  </r>
  <r>
    <n v="231"/>
    <s v="+7 212-350-2928"/>
    <x v="233"/>
    <x v="1"/>
    <d v="2022-07-10T00:00:00"/>
    <s v="+7"/>
    <x v="2"/>
    <d v="2025-12-29T00:00:00"/>
    <n v="42.266666666666666"/>
    <s v="Ермаков"/>
    <x v="164"/>
    <s v="Тихонович"/>
  </r>
  <r>
    <n v="265"/>
    <s v="+998 438-329-1521"/>
    <x v="234"/>
    <x v="1"/>
    <d v="2022-07-14T00:00:00"/>
    <s v="+998"/>
    <x v="0"/>
    <d v="2025-12-29T00:00:00"/>
    <n v="42.133333333333333"/>
    <s v="Баранов"/>
    <x v="167"/>
    <s v="Терентьевич"/>
  </r>
  <r>
    <n v="391"/>
    <s v="+992 638-653-7931"/>
    <x v="235"/>
    <x v="0"/>
    <d v="2022-04-24T00:00:00"/>
    <s v="+992"/>
    <x v="4"/>
    <d v="2025-12-29T00:00:00"/>
    <n v="44.833333333333336"/>
    <s v="Воронова"/>
    <x v="16"/>
    <s v="Геннадьевна"/>
  </r>
  <r>
    <n v="355"/>
    <s v="+7 181-999-1398"/>
    <x v="236"/>
    <x v="1"/>
    <d v="2022-03-11T00:00:00"/>
    <s v="+7"/>
    <x v="2"/>
    <d v="2025-12-29T00:00:00"/>
    <n v="46.3"/>
    <s v="Назарова"/>
    <x v="42"/>
    <s v="Ивановна"/>
  </r>
  <r>
    <n v="277"/>
    <s v="+7 052-743-8708"/>
    <x v="237"/>
    <x v="0"/>
    <d v="2022-07-08T00:00:00"/>
    <s v="+7"/>
    <x v="2"/>
    <d v="2025-12-29T00:00:00"/>
    <n v="42.333333333333336"/>
    <s v="Пономарев"/>
    <x v="93"/>
    <s v="Архипович"/>
  </r>
  <r>
    <n v="104"/>
    <s v="+998 583-835-9258"/>
    <x v="238"/>
    <x v="1"/>
    <d v="2022-07-30T00:00:00"/>
    <s v="+998"/>
    <x v="0"/>
    <d v="2025-12-29T00:00:00"/>
    <n v="41.6"/>
    <s v="Лапина"/>
    <x v="70"/>
    <s v="Яковлевна"/>
  </r>
  <r>
    <n v="109"/>
    <s v="+380 249-840-3292"/>
    <x v="239"/>
    <x v="0"/>
    <d v="2022-06-20T00:00:00"/>
    <s v="+380"/>
    <x v="3"/>
    <d v="2025-12-29T00:00:00"/>
    <n v="42.93333333333333"/>
    <s v="Гурьева"/>
    <x v="163"/>
    <s v="Владимировна"/>
  </r>
  <r>
    <n v="369"/>
    <s v="+7 894-629-6946"/>
    <x v="240"/>
    <x v="0"/>
    <d v="2022-04-27T00:00:00"/>
    <s v="+7"/>
    <x v="2"/>
    <d v="2025-12-29T00:00:00"/>
    <n v="44.733333333333334"/>
    <s v="Дементьева"/>
    <x v="91"/>
    <s v="Натановна"/>
  </r>
  <r>
    <n v="78"/>
    <s v="+380 119-291-6424"/>
    <x v="241"/>
    <x v="0"/>
    <d v="2022-04-07T00:00:00"/>
    <s v="+380"/>
    <x v="3"/>
    <d v="2025-12-29T00:00:00"/>
    <n v="45.4"/>
    <s v="Маслова"/>
    <x v="55"/>
    <s v="Макаровна"/>
  </r>
  <r>
    <n v="66"/>
    <s v="+7 629-137-1639"/>
    <x v="242"/>
    <x v="1"/>
    <d v="2022-08-04T00:00:00"/>
    <s v="+7"/>
    <x v="2"/>
    <d v="2025-12-29T00:00:00"/>
    <n v="41.43333333333333"/>
    <s v="Ковалева"/>
    <x v="168"/>
    <s v="Богдановна"/>
  </r>
  <r>
    <n v="261"/>
    <s v="+7 560-711-8976"/>
    <x v="243"/>
    <x v="0"/>
    <d v="2022-10-14T00:00:00"/>
    <s v="+7"/>
    <x v="2"/>
    <d v="2025-12-29T00:00:00"/>
    <n v="39.06666666666667"/>
    <s v="Евсеев"/>
    <x v="169"/>
    <s v="Артемьевич"/>
  </r>
  <r>
    <n v="307"/>
    <s v="+375 881-217-3017"/>
    <x v="244"/>
    <x v="0"/>
    <d v="2022-07-22T00:00:00"/>
    <s v="+375"/>
    <x v="1"/>
    <d v="2025-12-29T00:00:00"/>
    <n v="41.866666666666667"/>
    <s v="Хохлова"/>
    <x v="168"/>
    <s v="Константиновна"/>
  </r>
  <r>
    <n v="144"/>
    <s v="+380 960-351-2387"/>
    <x v="245"/>
    <x v="0"/>
    <d v="2022-05-24T00:00:00"/>
    <s v="+380"/>
    <x v="3"/>
    <d v="2025-12-29T00:00:00"/>
    <n v="43.833333333333336"/>
    <s v="Фролова"/>
    <x v="97"/>
    <s v="Альбертовна"/>
  </r>
  <r>
    <n v="76"/>
    <s v="+375 081-974-3402"/>
    <x v="246"/>
    <x v="0"/>
    <d v="2022-01-14T00:00:00"/>
    <s v="+375"/>
    <x v="1"/>
    <d v="2025-12-29T00:00:00"/>
    <n v="48.166666666666664"/>
    <s v="Федосеева"/>
    <x v="48"/>
    <s v="Аскольдовна"/>
  </r>
  <r>
    <n v="84"/>
    <s v="+992 046-188-5111"/>
    <x v="247"/>
    <x v="1"/>
    <d v="2022-09-01T00:00:00"/>
    <s v="+992"/>
    <x v="4"/>
    <d v="2025-12-29T00:00:00"/>
    <n v="40.5"/>
    <s v="Рожкова"/>
    <x v="51"/>
    <s v="Георгиевна"/>
  </r>
  <r>
    <n v="81"/>
    <s v="+7 219-084-6295"/>
    <x v="248"/>
    <x v="0"/>
    <d v="2022-09-21T00:00:00"/>
    <s v="+7"/>
    <x v="2"/>
    <d v="2025-12-29T00:00:00"/>
    <n v="39.833333333333336"/>
    <s v="Авдеева"/>
    <x v="170"/>
    <s v="Кузьминична"/>
  </r>
  <r>
    <n v="157"/>
    <s v="+7 502-802-5787"/>
    <x v="249"/>
    <x v="1"/>
    <d v="2022-08-10T00:00:00"/>
    <s v="+7"/>
    <x v="2"/>
    <d v="2025-12-29T00:00:00"/>
    <n v="41.233333333333334"/>
    <s v="Кудряшова"/>
    <x v="157"/>
    <s v="Эдуардовна"/>
  </r>
  <r>
    <n v="57"/>
    <s v="+7 269-195-3186"/>
    <x v="250"/>
    <x v="1"/>
    <d v="2022-04-18T00:00:00"/>
    <s v="+7"/>
    <x v="2"/>
    <d v="2025-12-29T00:00:00"/>
    <n v="45.033333333333331"/>
    <s v="Колесников"/>
    <x v="171"/>
    <s v="Ефимьевич"/>
  </r>
  <r>
    <n v="479"/>
    <s v="+7 836-233-8115"/>
    <x v="251"/>
    <x v="0"/>
    <d v="2022-08-20T00:00:00"/>
    <s v="+7"/>
    <x v="2"/>
    <d v="2025-12-29T00:00:00"/>
    <n v="40.9"/>
    <s v="Фомина"/>
    <x v="102"/>
    <s v="Федоровна"/>
  </r>
  <r>
    <n v="406"/>
    <s v="+380 469-601-0972"/>
    <x v="252"/>
    <x v="0"/>
    <d v="2022-11-30T00:00:00"/>
    <s v="+380"/>
    <x v="3"/>
    <d v="2025-12-29T00:00:00"/>
    <n v="37.5"/>
    <s v="Денисов"/>
    <x v="172"/>
    <s v="Трифонович"/>
  </r>
  <r>
    <n v="56"/>
    <s v="+992 555-207-4186"/>
    <x v="253"/>
    <x v="1"/>
    <d v="2022-04-11T00:00:00"/>
    <s v="+992"/>
    <x v="4"/>
    <d v="2025-12-29T00:00:00"/>
    <n v="45.266666666666666"/>
    <s v="Цветкова"/>
    <x v="173"/>
    <s v="Антоновна"/>
  </r>
  <r>
    <n v="10"/>
    <s v="+380 937-173-7394"/>
    <x v="254"/>
    <x v="1"/>
    <d v="2022-11-16T00:00:00"/>
    <s v="+380"/>
    <x v="3"/>
    <d v="2025-12-29T00:00:00"/>
    <n v="37.966666666666669"/>
    <s v="Давыдов"/>
    <x v="174"/>
    <s v="Владиславович"/>
  </r>
  <r>
    <n v="174"/>
    <s v="+992 059-483-3104"/>
    <x v="255"/>
    <x v="0"/>
    <d v="2022-08-06T00:00:00"/>
    <s v="+992"/>
    <x v="4"/>
    <d v="2025-12-29T00:00:00"/>
    <n v="41.366666666666667"/>
    <s v="Лазарев"/>
    <x v="175"/>
    <s v="Венедиктович"/>
  </r>
  <r>
    <n v="72"/>
    <s v="+992 226-423-7263"/>
    <x v="256"/>
    <x v="0"/>
    <d v="2022-12-11T00:00:00"/>
    <s v="+992"/>
    <x v="4"/>
    <d v="2025-12-29T00:00:00"/>
    <n v="37.133333333333333"/>
    <s v="Фомина"/>
    <x v="176"/>
    <s v="Павловна"/>
  </r>
  <r>
    <n v="38"/>
    <s v="+992 964-689-9206"/>
    <x v="257"/>
    <x v="1"/>
    <d v="2022-09-15T00:00:00"/>
    <s v="+992"/>
    <x v="4"/>
    <d v="2025-12-29T00:00:00"/>
    <n v="40.033333333333331"/>
    <s v="Белоусова"/>
    <x v="177"/>
    <s v="Феликсовна"/>
  </r>
  <r>
    <n v="18"/>
    <s v="+380 671-809-3559"/>
    <x v="258"/>
    <x v="1"/>
    <d v="2022-01-17T00:00:00"/>
    <s v="+380"/>
    <x v="3"/>
    <d v="2025-12-29T00:00:00"/>
    <n v="48.06666666666667"/>
    <s v="Рогова"/>
    <x v="178"/>
    <s v="Степановна"/>
  </r>
  <r>
    <n v="88"/>
    <s v="+380 611-258-8704"/>
    <x v="259"/>
    <x v="0"/>
    <d v="2022-03-10T00:00:00"/>
    <s v="+380"/>
    <x v="3"/>
    <d v="2025-12-29T00:00:00"/>
    <n v="46.333333333333336"/>
    <s v="Кузнецов"/>
    <x v="179"/>
    <s v="Валерьевич"/>
  </r>
  <r>
    <n v="129"/>
    <s v="+375 242-923-3569"/>
    <x v="260"/>
    <x v="1"/>
    <d v="2022-11-03T00:00:00"/>
    <s v="+375"/>
    <x v="1"/>
    <d v="2025-12-29T00:00:00"/>
    <n v="38.4"/>
    <s v="Родионова"/>
    <x v="177"/>
    <s v="Егоровна"/>
  </r>
  <r>
    <n v="19"/>
    <s v="+7 069-852-7793"/>
    <x v="261"/>
    <x v="0"/>
    <d v="2022-12-07T00:00:00"/>
    <s v="+7"/>
    <x v="2"/>
    <d v="2025-12-29T00:00:00"/>
    <n v="37.266666666666666"/>
    <s v="Шубин"/>
    <x v="180"/>
    <s v="Августович"/>
  </r>
  <r>
    <n v="304"/>
    <s v="+7 891-832-3772"/>
    <x v="262"/>
    <x v="1"/>
    <d v="2022-11-21T00:00:00"/>
    <s v="+7"/>
    <x v="2"/>
    <d v="2025-12-29T00:00:00"/>
    <n v="37.799999999999997"/>
    <s v="Сорокина"/>
    <x v="88"/>
    <s v="Викторовна"/>
  </r>
  <r>
    <n v="285"/>
    <s v="+992 852-358-1111"/>
    <x v="263"/>
    <x v="1"/>
    <d v="2022-12-27T00:00:00"/>
    <s v="+992"/>
    <x v="4"/>
    <d v="2025-12-29T00:00:00"/>
    <n v="36.6"/>
    <s v="Гурьева"/>
    <x v="181"/>
    <s v="Степановна"/>
  </r>
  <r>
    <n v="461"/>
    <s v="+998 087-023-3754"/>
    <x v="264"/>
    <x v="0"/>
    <d v="2022-04-16T00:00:00"/>
    <s v="+998"/>
    <x v="0"/>
    <d v="2025-12-29T00:00:00"/>
    <n v="45.1"/>
    <s v="Михайлова"/>
    <x v="182"/>
    <s v="Львовна"/>
  </r>
  <r>
    <n v="278"/>
    <s v="+998 276-111-5039"/>
    <x v="265"/>
    <x v="1"/>
    <d v="2022-12-25T00:00:00"/>
    <s v="+998"/>
    <x v="0"/>
    <d v="2025-12-29T00:00:00"/>
    <n v="36.666666666666664"/>
    <s v="Фролов"/>
    <x v="183"/>
    <s v="Богданович"/>
  </r>
  <r>
    <n v="246"/>
    <s v="+998 455-040-0995"/>
    <x v="266"/>
    <x v="1"/>
    <d v="2022-09-01T00:00:00"/>
    <s v="+998"/>
    <x v="0"/>
    <d v="2025-12-29T00:00:00"/>
    <n v="40.5"/>
    <s v="Миронова"/>
    <x v="115"/>
    <s v="Тимофеевна"/>
  </r>
  <r>
    <n v="205"/>
    <s v="+7 689-265-9126"/>
    <x v="267"/>
    <x v="0"/>
    <d v="2022-12-23T00:00:00"/>
    <s v="+7"/>
    <x v="2"/>
    <d v="2025-12-29T00:00:00"/>
    <n v="36.733333333333334"/>
    <s v="Назаров"/>
    <x v="184"/>
    <s v="Трофимович"/>
  </r>
  <r>
    <n v="357"/>
    <s v="+998 523-421-5092"/>
    <x v="268"/>
    <x v="0"/>
    <d v="2022-12-18T00:00:00"/>
    <s v="+998"/>
    <x v="0"/>
    <d v="2025-12-29T00:00:00"/>
    <n v="36.9"/>
    <s v="Брагин"/>
    <x v="185"/>
    <s v="Зиновьевич"/>
  </r>
  <r>
    <n v="152"/>
    <s v="+375 678-304-0891"/>
    <x v="269"/>
    <x v="1"/>
    <d v="2022-08-18T00:00:00"/>
    <s v="+375"/>
    <x v="1"/>
    <d v="2025-12-29T00:00:00"/>
    <n v="40.966666666666669"/>
    <s v="Блинова"/>
    <x v="16"/>
    <s v="Сергеевна"/>
  </r>
  <r>
    <n v="323"/>
    <s v="+992 647-315-8824"/>
    <x v="270"/>
    <x v="0"/>
    <d v="2022-09-17T00:00:00"/>
    <s v="+992"/>
    <x v="4"/>
    <d v="2025-12-29T00:00:00"/>
    <n v="39.966666666666669"/>
    <s v="Белоусова"/>
    <x v="186"/>
    <s v="Яковлевна"/>
  </r>
  <r>
    <n v="185"/>
    <s v="+998 737-854-0193"/>
    <x v="271"/>
    <x v="1"/>
    <d v="2022-05-02T00:00:00"/>
    <s v="+998"/>
    <x v="0"/>
    <d v="2025-12-29T00:00:00"/>
    <n v="44.56666666666667"/>
    <s v="Коновалов"/>
    <x v="79"/>
    <s v="Яковлевич"/>
  </r>
  <r>
    <n v="314"/>
    <s v="+7 772-932-9839"/>
    <x v="272"/>
    <x v="1"/>
    <d v="2022-12-04T00:00:00"/>
    <s v="+7"/>
    <x v="2"/>
    <d v="2025-12-29T00:00:00"/>
    <n v="37.366666666666667"/>
    <s v="Артемьева"/>
    <x v="187"/>
    <s v="Ильинична"/>
  </r>
  <r>
    <n v="476"/>
    <s v="+380 737-667-7208"/>
    <x v="273"/>
    <x v="0"/>
    <d v="2022-05-22T00:00:00"/>
    <s v="+380"/>
    <x v="3"/>
    <d v="2025-12-29T00:00:00"/>
    <n v="43.9"/>
    <s v="Дьячков"/>
    <x v="188"/>
    <s v="Дорофеевич"/>
  </r>
  <r>
    <n v="375"/>
    <s v="+7 231-022-9731"/>
    <x v="274"/>
    <x v="0"/>
    <d v="2022-04-23T00:00:00"/>
    <s v="+7"/>
    <x v="2"/>
    <d v="2025-12-29T00:00:00"/>
    <n v="44.866666666666667"/>
    <s v="Калашников"/>
    <x v="34"/>
    <s v="Дорофеевич"/>
  </r>
  <r>
    <n v="233"/>
    <s v="+992 013-075-6493"/>
    <x v="275"/>
    <x v="0"/>
    <d v="2022-02-24T00:00:00"/>
    <s v="+992"/>
    <x v="4"/>
    <d v="2025-12-29T00:00:00"/>
    <n v="46.8"/>
    <s v="Овчинникова"/>
    <x v="122"/>
    <s v="Никифоровна"/>
  </r>
  <r>
    <n v="69"/>
    <s v="+992 403-485-6889"/>
    <x v="276"/>
    <x v="1"/>
    <d v="2022-01-26T00:00:00"/>
    <s v="+992"/>
    <x v="4"/>
    <d v="2025-12-29T00:00:00"/>
    <n v="47.766666666666666"/>
    <s v="Щербаков"/>
    <x v="189"/>
    <s v="Архипович"/>
  </r>
  <r>
    <n v="254"/>
    <s v="+375 342-835-7024"/>
    <x v="277"/>
    <x v="0"/>
    <d v="2022-10-28T00:00:00"/>
    <s v="+375"/>
    <x v="1"/>
    <d v="2025-12-29T00:00:00"/>
    <n v="38.6"/>
    <s v="Капустина"/>
    <x v="7"/>
    <s v="Павловна"/>
  </r>
  <r>
    <n v="219"/>
    <s v="+992 412-286-2797"/>
    <x v="278"/>
    <x v="0"/>
    <d v="2022-01-24T00:00:00"/>
    <s v="+992"/>
    <x v="4"/>
    <d v="2025-12-29T00:00:00"/>
    <n v="47.833333333333336"/>
    <s v="Емельянов"/>
    <x v="101"/>
    <s v="Ермолаевич"/>
  </r>
  <r>
    <n v="232"/>
    <s v="+992 878-995-1603"/>
    <x v="279"/>
    <x v="0"/>
    <d v="2022-12-28T00:00:00"/>
    <s v="+992"/>
    <x v="4"/>
    <d v="2025-12-29T00:00:00"/>
    <n v="36.56666666666667"/>
    <s v="Смирнова"/>
    <x v="98"/>
    <s v="Анатольевна"/>
  </r>
  <r>
    <n v="372"/>
    <s v="+992 841-082-9227"/>
    <x v="280"/>
    <x v="1"/>
    <d v="2022-07-30T00:00:00"/>
    <s v="+992"/>
    <x v="4"/>
    <d v="2025-12-29T00:00:00"/>
    <n v="41.6"/>
    <s v="Сергеев"/>
    <x v="190"/>
    <s v="Фадеевич"/>
  </r>
  <r>
    <n v="432"/>
    <s v="+992 976-290-1474"/>
    <x v="281"/>
    <x v="1"/>
    <d v="2022-06-06T00:00:00"/>
    <s v="+992"/>
    <x v="4"/>
    <d v="2025-12-29T00:00:00"/>
    <n v="43.4"/>
    <s v="Белова"/>
    <x v="97"/>
    <s v="Игоревна"/>
  </r>
  <r>
    <n v="221"/>
    <s v="+992 520-869-0598"/>
    <x v="282"/>
    <x v="0"/>
    <d v="2022-09-16T00:00:00"/>
    <s v="+992"/>
    <x v="4"/>
    <d v="2025-12-29T00:00:00"/>
    <n v="40"/>
    <s v="Мясников"/>
    <x v="15"/>
    <s v="Антонович"/>
  </r>
  <r>
    <n v="148"/>
    <s v="+7 730-745-5768"/>
    <x v="283"/>
    <x v="0"/>
    <d v="2022-05-19T00:00:00"/>
    <s v="+7"/>
    <x v="2"/>
    <d v="2025-12-29T00:00:00"/>
    <n v="44"/>
    <s v="Кулагина"/>
    <x v="19"/>
    <s v="Антоновна"/>
  </r>
  <r>
    <n v="209"/>
    <s v="+7 816-795-8885"/>
    <x v="284"/>
    <x v="1"/>
    <d v="2022-03-08T00:00:00"/>
    <s v="+7"/>
    <x v="2"/>
    <d v="2025-12-29T00:00:00"/>
    <n v="46.4"/>
    <s v="Ермакова"/>
    <x v="191"/>
    <s v="Алексеевна"/>
  </r>
  <r>
    <n v="263"/>
    <s v="+992 980-571-8150"/>
    <x v="285"/>
    <x v="0"/>
    <d v="2022-02-20T00:00:00"/>
    <s v="+992"/>
    <x v="4"/>
    <d v="2025-12-29T00:00:00"/>
    <n v="46.93333333333333"/>
    <s v="Шестакова"/>
    <x v="29"/>
    <s v="Дмитриевна"/>
  </r>
  <r>
    <n v="101"/>
    <s v="+7 173-514-9301"/>
    <x v="286"/>
    <x v="1"/>
    <d v="2022-06-15T00:00:00"/>
    <s v="+7"/>
    <x v="2"/>
    <d v="2025-12-29T00:00:00"/>
    <n v="43.1"/>
    <s v="Лихачев"/>
    <x v="192"/>
    <s v="Феликсович"/>
  </r>
  <r>
    <n v="124"/>
    <s v="+7 559-899-4463"/>
    <x v="287"/>
    <x v="0"/>
    <d v="2022-08-22T00:00:00"/>
    <s v="+7"/>
    <x v="2"/>
    <d v="2025-12-29T00:00:00"/>
    <n v="40.833333333333336"/>
    <s v="Авдеев"/>
    <x v="193"/>
    <s v="Изотович"/>
  </r>
  <r>
    <n v="257"/>
    <s v="+7 747-866-6152"/>
    <x v="288"/>
    <x v="1"/>
    <d v="2022-05-20T00:00:00"/>
    <s v="+7"/>
    <x v="2"/>
    <d v="2025-12-29T00:00:00"/>
    <n v="43.966666666666669"/>
    <s v="Кононова"/>
    <x v="186"/>
    <s v="Павловна"/>
  </r>
  <r>
    <n v="309"/>
    <s v="+7 524-548-9435"/>
    <x v="289"/>
    <x v="1"/>
    <d v="2022-05-30T00:00:00"/>
    <s v="+7"/>
    <x v="2"/>
    <d v="2025-12-29T00:00:00"/>
    <n v="43.633333333333333"/>
    <s v="Туров"/>
    <x v="93"/>
    <s v="Валерианович"/>
  </r>
  <r>
    <n v="103"/>
    <s v="+998 833-068-3629"/>
    <x v="290"/>
    <x v="0"/>
    <d v="2022-08-14T00:00:00"/>
    <s v="+998"/>
    <x v="0"/>
    <d v="2025-12-29T00:00:00"/>
    <n v="41.1"/>
    <s v="Сергеев"/>
    <x v="194"/>
    <s v="Теймуразович"/>
  </r>
  <r>
    <n v="31"/>
    <s v="+380 250-699-1873"/>
    <x v="291"/>
    <x v="1"/>
    <d v="2022-01-19T00:00:00"/>
    <s v="+380"/>
    <x v="3"/>
    <d v="2025-12-29T00:00:00"/>
    <n v="48"/>
    <s v="Павлова"/>
    <x v="43"/>
    <s v="Павловна"/>
  </r>
  <r>
    <n v="306"/>
    <s v="+380 672-066-4140"/>
    <x v="292"/>
    <x v="0"/>
    <d v="2022-11-07T00:00:00"/>
    <s v="+380"/>
    <x v="3"/>
    <d v="2025-12-29T00:00:00"/>
    <n v="38.266666666666666"/>
    <s v="Поляков"/>
    <x v="195"/>
    <s v="Адамович"/>
  </r>
  <r>
    <n v="383"/>
    <s v="+380 959-961-5281"/>
    <x v="293"/>
    <x v="1"/>
    <d v="2022-11-11T00:00:00"/>
    <s v="+380"/>
    <x v="3"/>
    <d v="2025-12-29T00:00:00"/>
    <n v="38.133333333333333"/>
    <s v="Герасимов"/>
    <x v="79"/>
    <s v="Харитонович"/>
  </r>
  <r>
    <n v="367"/>
    <s v="+992 353-055-1290"/>
    <x v="294"/>
    <x v="1"/>
    <d v="2022-11-02T00:00:00"/>
    <s v="+992"/>
    <x v="4"/>
    <d v="2025-12-29T00:00:00"/>
    <n v="38.43333333333333"/>
    <s v="Александрова"/>
    <x v="49"/>
    <s v="Вадимовна"/>
  </r>
  <r>
    <n v="138"/>
    <s v="+380 229-176-0124"/>
    <x v="295"/>
    <x v="0"/>
    <d v="2022-06-11T00:00:00"/>
    <s v="+380"/>
    <x v="3"/>
    <d v="2025-12-29T00:00:00"/>
    <n v="43.233333333333334"/>
    <s v="Журавлева"/>
    <x v="20"/>
    <s v="Кузьминична"/>
  </r>
  <r>
    <n v="158"/>
    <s v="+998 941-560-7307"/>
    <x v="296"/>
    <x v="1"/>
    <d v="2022-07-10T00:00:00"/>
    <s v="+998"/>
    <x v="0"/>
    <d v="2025-12-29T00:00:00"/>
    <n v="42.266666666666666"/>
    <s v="Маркова"/>
    <x v="170"/>
    <s v="Максимовна"/>
  </r>
  <r>
    <n v="217"/>
    <s v="+7 322-163-7549"/>
    <x v="297"/>
    <x v="1"/>
    <d v="2022-09-22T00:00:00"/>
    <s v="+7"/>
    <x v="2"/>
    <d v="2025-12-29T00:00:00"/>
    <n v="39.799999999999997"/>
    <s v="Фомичев"/>
    <x v="113"/>
    <s v="Артурович"/>
  </r>
  <r>
    <n v="102"/>
    <s v="+998 087-830-4222"/>
    <x v="298"/>
    <x v="1"/>
    <d v="2022-06-11T00:00:00"/>
    <s v="+998"/>
    <x v="0"/>
    <d v="2025-12-29T00:00:00"/>
    <n v="43.233333333333334"/>
    <s v="Новиков"/>
    <x v="196"/>
    <s v="Жанович"/>
  </r>
  <r>
    <n v="425"/>
    <s v="+998 965-511-3258"/>
    <x v="299"/>
    <x v="1"/>
    <d v="2022-08-09T00:00:00"/>
    <s v="+998"/>
    <x v="0"/>
    <d v="2025-12-29T00:00:00"/>
    <n v="41.266666666666666"/>
    <s v="Белякова"/>
    <x v="128"/>
    <s v="Ефимовна"/>
  </r>
  <r>
    <n v="43"/>
    <s v="+7 120-273-0435"/>
    <x v="300"/>
    <x v="0"/>
    <d v="2022-12-17T00:00:00"/>
    <s v="+7"/>
    <x v="2"/>
    <d v="2025-12-29T00:00:00"/>
    <n v="36.93333333333333"/>
    <s v="Куликова"/>
    <x v="51"/>
    <s v="Григорьевна"/>
  </r>
  <r>
    <n v="326"/>
    <s v="+7 529-529-9415"/>
    <x v="301"/>
    <x v="1"/>
    <d v="2022-04-04T00:00:00"/>
    <s v="+7"/>
    <x v="2"/>
    <d v="2025-12-29T00:00:00"/>
    <n v="45.5"/>
    <s v="Кошелева"/>
    <x v="197"/>
    <s v="Рудольфовна"/>
  </r>
  <r>
    <n v="402"/>
    <s v="+998 999-821-3025"/>
    <x v="302"/>
    <x v="0"/>
    <d v="2022-06-30T00:00:00"/>
    <s v="+998"/>
    <x v="0"/>
    <d v="2025-12-29T00:00:00"/>
    <n v="42.6"/>
    <s v="Кузьмин"/>
    <x v="198"/>
    <s v="Даниилович"/>
  </r>
  <r>
    <n v="23"/>
    <s v="+7 142-825-3773"/>
    <x v="303"/>
    <x v="1"/>
    <d v="2022-05-25T00:00:00"/>
    <s v="+7"/>
    <x v="2"/>
    <d v="2025-12-29T00:00:00"/>
    <n v="43.8"/>
    <s v="Морозова"/>
    <x v="19"/>
    <s v="Николаевна"/>
  </r>
  <r>
    <n v="468"/>
    <s v="+998 783-609-3463"/>
    <x v="304"/>
    <x v="0"/>
    <d v="2022-02-27T00:00:00"/>
    <s v="+998"/>
    <x v="0"/>
    <d v="2025-12-29T00:00:00"/>
    <n v="46.7"/>
    <s v="Потапова"/>
    <x v="191"/>
    <s v="Степановна"/>
  </r>
  <r>
    <n v="141"/>
    <s v="+7 731-326-3751"/>
    <x v="305"/>
    <x v="0"/>
    <d v="2022-07-01T00:00:00"/>
    <s v="+7"/>
    <x v="2"/>
    <d v="2025-12-29T00:00:00"/>
    <n v="42.56666666666667"/>
    <s v="Владимиров"/>
    <x v="180"/>
    <s v="Артемьевич"/>
  </r>
  <r>
    <n v="182"/>
    <s v="+998 271-883-9995"/>
    <x v="306"/>
    <x v="0"/>
    <d v="2022-10-22T00:00:00"/>
    <s v="+998"/>
    <x v="0"/>
    <d v="2025-12-29T00:00:00"/>
    <n v="38.799999999999997"/>
    <s v="Калинин"/>
    <x v="155"/>
    <s v="Артурович"/>
  </r>
  <r>
    <n v="225"/>
    <s v="+375 563-314-3708"/>
    <x v="307"/>
    <x v="0"/>
    <d v="2022-09-23T00:00:00"/>
    <s v="+375"/>
    <x v="1"/>
    <d v="2025-12-29T00:00:00"/>
    <n v="39.766666666666666"/>
    <s v="Панова"/>
    <x v="5"/>
    <s v="Вячеславовна"/>
  </r>
  <r>
    <n v="151"/>
    <s v="+375 280-614-3764"/>
    <x v="308"/>
    <x v="1"/>
    <d v="2022-12-28T00:00:00"/>
    <s v="+375"/>
    <x v="1"/>
    <d v="2025-12-29T00:00:00"/>
    <n v="36.56666666666667"/>
    <s v="Власов"/>
    <x v="86"/>
    <s v="Игнатьевич"/>
  </r>
  <r>
    <n v="428"/>
    <s v="+375 844-419-2850"/>
    <x v="309"/>
    <x v="1"/>
    <d v="2022-10-14T00:00:00"/>
    <s v="+375"/>
    <x v="1"/>
    <d v="2025-12-29T00:00:00"/>
    <n v="39.06666666666667"/>
    <s v="Беляков"/>
    <x v="199"/>
    <s v="Харлампович"/>
  </r>
  <r>
    <n v="438"/>
    <s v="+998 225-019-2493"/>
    <x v="310"/>
    <x v="0"/>
    <d v="2022-05-12T00:00:00"/>
    <s v="+998"/>
    <x v="0"/>
    <d v="2025-12-29T00:00:00"/>
    <n v="44.233333333333334"/>
    <s v="Дементьева"/>
    <x v="186"/>
    <s v="Петровна"/>
  </r>
  <r>
    <n v="465"/>
    <s v="+998 955-643-6256"/>
    <x v="311"/>
    <x v="1"/>
    <d v="2022-04-20T00:00:00"/>
    <s v="+998"/>
    <x v="0"/>
    <d v="2025-12-29T00:00:00"/>
    <n v="44.966666666666669"/>
    <s v="Карпова"/>
    <x v="47"/>
    <s v="Ефимовна"/>
  </r>
  <r>
    <n v="215"/>
    <s v="+7 191-068-2694"/>
    <x v="312"/>
    <x v="1"/>
    <d v="2022-08-26T00:00:00"/>
    <s v="+7"/>
    <x v="2"/>
    <d v="2025-12-29T00:00:00"/>
    <n v="40.700000000000003"/>
    <s v="Комиссаров"/>
    <x v="200"/>
    <s v="Адрианович"/>
  </r>
  <r>
    <n v="15"/>
    <s v="+380 001-347-5456"/>
    <x v="313"/>
    <x v="1"/>
    <d v="2022-05-30T00:00:00"/>
    <s v="+380"/>
    <x v="3"/>
    <d v="2025-12-29T00:00:00"/>
    <n v="43.633333333333333"/>
    <s v="Блинов"/>
    <x v="201"/>
    <s v="Трифонович"/>
  </r>
  <r>
    <n v="370"/>
    <s v="+992 902-872-9763"/>
    <x v="314"/>
    <x v="0"/>
    <d v="2022-06-14T00:00:00"/>
    <s v="+992"/>
    <x v="4"/>
    <d v="2025-12-29T00:00:00"/>
    <n v="43.133333333333333"/>
    <s v="Орехова"/>
    <x v="178"/>
    <s v="Натановна"/>
  </r>
  <r>
    <n v="80"/>
    <s v="+375 515-558-2884"/>
    <x v="315"/>
    <x v="1"/>
    <d v="2022-03-03T00:00:00"/>
    <s v="+375"/>
    <x v="1"/>
    <d v="2025-12-29T00:00:00"/>
    <n v="46.56666666666667"/>
    <s v="Веселов"/>
    <x v="202"/>
    <s v="Димитриевич"/>
  </r>
  <r>
    <n v="17"/>
    <s v="+992 124-441-2478"/>
    <x v="316"/>
    <x v="1"/>
    <d v="2022-11-12T00:00:00"/>
    <s v="+992"/>
    <x v="4"/>
    <d v="2025-12-29T00:00:00"/>
    <n v="38.1"/>
    <s v="Семенова"/>
    <x v="46"/>
    <s v="Кирилловна"/>
  </r>
  <r>
    <n v="127"/>
    <s v="+380 266-548-4802"/>
    <x v="317"/>
    <x v="1"/>
    <d v="2022-12-19T00:00:00"/>
    <s v="+380"/>
    <x v="3"/>
    <d v="2025-12-29T00:00:00"/>
    <n v="36.866666666666667"/>
    <s v="Журавлев"/>
    <x v="203"/>
    <s v="Евсеевич"/>
  </r>
  <r>
    <n v="441"/>
    <s v="+998 286-143-0624"/>
    <x v="318"/>
    <x v="1"/>
    <d v="2022-11-02T00:00:00"/>
    <s v="+998"/>
    <x v="0"/>
    <d v="2025-12-29T00:00:00"/>
    <n v="38.43333333333333"/>
    <s v="Силина"/>
    <x v="43"/>
    <s v="Аркадьевна"/>
  </r>
  <r>
    <n v="220"/>
    <s v="+380 169-087-4183"/>
    <x v="319"/>
    <x v="1"/>
    <d v="2022-01-09T00:00:00"/>
    <s v="+380"/>
    <x v="3"/>
    <d v="2025-12-29T00:00:00"/>
    <n v="48.333333333333336"/>
    <s v="Дроздов"/>
    <x v="156"/>
    <s v="Феоктистович"/>
  </r>
  <r>
    <n v="206"/>
    <s v="+7 916-678-5714"/>
    <x v="320"/>
    <x v="1"/>
    <d v="2022-01-07T00:00:00"/>
    <s v="+7"/>
    <x v="2"/>
    <d v="2025-12-29T00:00:00"/>
    <n v="48.4"/>
    <s v="Колобов"/>
    <x v="38"/>
    <s v="Герасимович"/>
  </r>
  <r>
    <n v="210"/>
    <s v="+998 936-440-2703"/>
    <x v="321"/>
    <x v="1"/>
    <d v="2022-02-10T00:00:00"/>
    <s v="+998"/>
    <x v="0"/>
    <d v="2025-12-29T00:00:00"/>
    <n v="47.266666666666666"/>
    <s v="Баранов"/>
    <x v="204"/>
    <s v="Августович"/>
  </r>
  <r>
    <n v="67"/>
    <s v="+998 090-420-2619"/>
    <x v="322"/>
    <x v="0"/>
    <d v="2022-06-19T00:00:00"/>
    <s v="+998"/>
    <x v="0"/>
    <d v="2025-12-29T00:00:00"/>
    <n v="42.966666666666669"/>
    <s v="Фомина"/>
    <x v="133"/>
    <s v="Геннадьевна"/>
  </r>
  <r>
    <n v="125"/>
    <s v="+7 722-155-8660"/>
    <x v="323"/>
    <x v="1"/>
    <d v="2022-05-20T00:00:00"/>
    <s v="+7"/>
    <x v="2"/>
    <d v="2025-12-29T00:00:00"/>
    <n v="43.966666666666669"/>
    <s v="Копылова"/>
    <x v="49"/>
    <s v="Тарасовна"/>
  </r>
  <r>
    <n v="213"/>
    <s v="+998 437-737-9329"/>
    <x v="324"/>
    <x v="1"/>
    <d v="2022-06-21T00:00:00"/>
    <s v="+998"/>
    <x v="0"/>
    <d v="2025-12-29T00:00:00"/>
    <n v="42.9"/>
    <s v="Власов"/>
    <x v="143"/>
    <s v="Чеславович"/>
  </r>
  <r>
    <n v="336"/>
    <s v="+998 773-281-1360"/>
    <x v="325"/>
    <x v="1"/>
    <d v="2022-10-22T00:00:00"/>
    <s v="+998"/>
    <x v="0"/>
    <d v="2025-12-29T00:00:00"/>
    <n v="38.799999999999997"/>
    <s v="Григорьева"/>
    <x v="25"/>
    <s v="Артемовна"/>
  </r>
  <r>
    <n v="294"/>
    <s v="+380 363-690-1507"/>
    <x v="326"/>
    <x v="0"/>
    <d v="2022-11-14T00:00:00"/>
    <s v="+380"/>
    <x v="3"/>
    <d v="2025-12-29T00:00:00"/>
    <n v="38.033333333333331"/>
    <s v="Мухин"/>
    <x v="150"/>
    <s v="Филатович"/>
  </r>
  <r>
    <n v="27"/>
    <s v="+380 922-338-1312"/>
    <x v="327"/>
    <x v="1"/>
    <d v="2022-01-25T00:00:00"/>
    <s v="+380"/>
    <x v="3"/>
    <d v="2025-12-29T00:00:00"/>
    <n v="47.8"/>
    <s v="Артемьев"/>
    <x v="62"/>
    <s v="Валентинович"/>
  </r>
  <r>
    <n v="53"/>
    <s v="+7 189-378-6167"/>
    <x v="328"/>
    <x v="1"/>
    <d v="2022-02-01T00:00:00"/>
    <s v="+7"/>
    <x v="2"/>
    <d v="2025-12-29T00:00:00"/>
    <n v="47.56666666666667"/>
    <s v="Жданова"/>
    <x v="176"/>
    <s v="Борисовна"/>
  </r>
  <r>
    <n v="143"/>
    <s v="+7 747-226-1755"/>
    <x v="329"/>
    <x v="1"/>
    <d v="2022-02-09T00:00:00"/>
    <s v="+7"/>
    <x v="2"/>
    <d v="2025-12-29T00:00:00"/>
    <n v="47.3"/>
    <s v="Маслов"/>
    <x v="205"/>
    <s v="Феофанович"/>
  </r>
  <r>
    <n v="135"/>
    <s v="+7 402-873-2919"/>
    <x v="330"/>
    <x v="0"/>
    <d v="2022-02-10T00:00:00"/>
    <s v="+7"/>
    <x v="2"/>
    <d v="2025-12-29T00:00:00"/>
    <n v="47.266666666666666"/>
    <s v="Ширяев"/>
    <x v="154"/>
    <s v="Ильясович"/>
  </r>
  <r>
    <n v="279"/>
    <s v="+998 661-487-5525"/>
    <x v="331"/>
    <x v="0"/>
    <d v="2022-08-13T00:00:00"/>
    <s v="+998"/>
    <x v="0"/>
    <d v="2025-12-29T00:00:00"/>
    <n v="41.133333333333333"/>
    <s v="Колесникова"/>
    <x v="206"/>
    <s v="Геннадьевна"/>
  </r>
  <r>
    <n v="271"/>
    <s v="+375 972-832-7690"/>
    <x v="332"/>
    <x v="1"/>
    <d v="2022-11-27T00:00:00"/>
    <s v="+375"/>
    <x v="1"/>
    <d v="2025-12-29T00:00:00"/>
    <n v="37.6"/>
    <s v="Ермаков"/>
    <x v="207"/>
    <s v="Егорович"/>
  </r>
  <r>
    <n v="444"/>
    <s v="+7 729-805-4220"/>
    <x v="333"/>
    <x v="0"/>
    <d v="2022-05-07T00:00:00"/>
    <s v="+7"/>
    <x v="2"/>
    <d v="2025-12-29T00:00:00"/>
    <n v="44.4"/>
    <s v="Маслова"/>
    <x v="97"/>
    <s v="Станиславовна"/>
  </r>
  <r>
    <n v="133"/>
    <s v="+998 035-761-6314"/>
    <x v="334"/>
    <x v="1"/>
    <d v="2022-01-27T00:00:00"/>
    <s v="+998"/>
    <x v="0"/>
    <d v="2025-12-29T00:00:00"/>
    <n v="47.733333333333334"/>
    <s v="Титова"/>
    <x v="88"/>
    <s v="Георгиевна"/>
  </r>
  <r>
    <n v="300"/>
    <s v="+380 329-195-8747"/>
    <x v="335"/>
    <x v="0"/>
    <d v="2022-09-20T00:00:00"/>
    <s v="+380"/>
    <x v="3"/>
    <d v="2025-12-29T00:00:00"/>
    <n v="39.866666666666667"/>
    <s v="Копылов"/>
    <x v="208"/>
    <s v="Августович"/>
  </r>
  <r>
    <n v="54"/>
    <s v="+375 824-010-1358"/>
    <x v="336"/>
    <x v="1"/>
    <d v="2022-10-13T00:00:00"/>
    <s v="+375"/>
    <x v="1"/>
    <d v="2025-12-29T00:00:00"/>
    <n v="39.1"/>
    <s v="Рогов"/>
    <x v="36"/>
    <s v="Гордеевич"/>
  </r>
  <r>
    <n v="340"/>
    <s v="+7 091-838-5158"/>
    <x v="337"/>
    <x v="1"/>
    <d v="2022-12-01T00:00:00"/>
    <s v="+7"/>
    <x v="2"/>
    <d v="2025-12-29T00:00:00"/>
    <n v="37.466666666666669"/>
    <s v="Захаров"/>
    <x v="209"/>
    <s v="Аверьянович"/>
  </r>
  <r>
    <n v="272"/>
    <s v="+992 852-094-1088"/>
    <x v="338"/>
    <x v="1"/>
    <d v="2022-04-17T00:00:00"/>
    <s v="+992"/>
    <x v="4"/>
    <d v="2025-12-29T00:00:00"/>
    <n v="45.06666666666667"/>
    <s v="Воробьев"/>
    <x v="205"/>
    <s v="Артемьевич"/>
  </r>
  <r>
    <n v="165"/>
    <s v="+992 204-182-8433"/>
    <x v="339"/>
    <x v="0"/>
    <d v="2022-02-07T00:00:00"/>
    <s v="+992"/>
    <x v="4"/>
    <d v="2025-12-29T00:00:00"/>
    <n v="47.366666666666667"/>
    <s v="Анисимов"/>
    <x v="85"/>
    <s v="Артёмович"/>
  </r>
  <r>
    <n v="214"/>
    <s v="+7 147-975-5645"/>
    <x v="340"/>
    <x v="0"/>
    <d v="2022-02-09T00:00:00"/>
    <s v="+7"/>
    <x v="2"/>
    <d v="2025-12-29T00:00:00"/>
    <n v="47.3"/>
    <s v="Михеев"/>
    <x v="210"/>
    <s v="Ефимьевич"/>
  </r>
  <r>
    <n v="409"/>
    <s v="+380 916-341-6028"/>
    <x v="341"/>
    <x v="1"/>
    <d v="2022-11-04T00:00:00"/>
    <s v="+380"/>
    <x v="3"/>
    <d v="2025-12-29T00:00:00"/>
    <n v="38.366666666666667"/>
    <s v="Лаврентьева"/>
    <x v="94"/>
    <s v="Артемовна"/>
  </r>
  <r>
    <n v="348"/>
    <s v="+380 809-127-8060"/>
    <x v="342"/>
    <x v="0"/>
    <d v="2022-01-08T00:00:00"/>
    <s v="+380"/>
    <x v="3"/>
    <d v="2025-12-29T00:00:00"/>
    <n v="48.366666666666667"/>
    <s v="Зыков"/>
    <x v="60"/>
    <s v="Глебович"/>
  </r>
  <r>
    <n v="351"/>
    <s v="+7 885-064-8776"/>
    <x v="343"/>
    <x v="0"/>
    <d v="2022-10-29T00:00:00"/>
    <s v="+7"/>
    <x v="2"/>
    <d v="2025-12-29T00:00:00"/>
    <n v="38.56666666666667"/>
    <s v="Щукина"/>
    <x v="29"/>
    <s v="Робертовна"/>
  </r>
  <r>
    <n v="40"/>
    <s v="+7 875-362-2366"/>
    <x v="344"/>
    <x v="1"/>
    <d v="2022-10-21T00:00:00"/>
    <s v="+7"/>
    <x v="2"/>
    <d v="2025-12-29T00:00:00"/>
    <n v="38.833333333333336"/>
    <s v="Гаврилов"/>
    <x v="211"/>
    <s v="Артемьевич"/>
  </r>
  <r>
    <n v="245"/>
    <s v="+998 301-225-3693"/>
    <x v="345"/>
    <x v="1"/>
    <d v="2022-05-14T00:00:00"/>
    <s v="+998"/>
    <x v="0"/>
    <d v="2025-12-29T00:00:00"/>
    <n v="44.166666666666664"/>
    <s v="Шубина"/>
    <x v="19"/>
    <s v="Юрьевна"/>
  </r>
  <r>
    <n v="466"/>
    <s v="+375 956-020-3484"/>
    <x v="346"/>
    <x v="0"/>
    <d v="2022-07-30T00:00:00"/>
    <s v="+375"/>
    <x v="1"/>
    <d v="2025-12-29T00:00:00"/>
    <n v="41.6"/>
    <s v="Никитина"/>
    <x v="37"/>
    <s v="Георгиевна"/>
  </r>
  <r>
    <n v="122"/>
    <s v="+375 165-356-7542"/>
    <x v="347"/>
    <x v="1"/>
    <d v="2022-05-02T00:00:00"/>
    <s v="+375"/>
    <x v="1"/>
    <d v="2025-12-29T00:00:00"/>
    <n v="44.56666666666667"/>
    <s v="Семенов"/>
    <x v="212"/>
    <s v="Анатольевич"/>
  </r>
  <r>
    <n v="199"/>
    <s v="+998 455-746-0633"/>
    <x v="348"/>
    <x v="0"/>
    <d v="2022-06-03T00:00:00"/>
    <s v="+998"/>
    <x v="0"/>
    <d v="2025-12-29T00:00:00"/>
    <n v="43.5"/>
    <s v="Горбунова"/>
    <x v="128"/>
    <s v="Максимовна"/>
  </r>
  <r>
    <n v="447"/>
    <s v="+992 443-164-9246"/>
    <x v="349"/>
    <x v="0"/>
    <d v="2022-12-03T00:00:00"/>
    <s v="+992"/>
    <x v="4"/>
    <d v="2025-12-29T00:00:00"/>
    <n v="37.4"/>
    <s v="Семенова"/>
    <x v="76"/>
    <s v="Станиславовна"/>
  </r>
  <r>
    <n v="163"/>
    <s v="+998 436-367-6830"/>
    <x v="350"/>
    <x v="0"/>
    <d v="2022-01-10T00:00:00"/>
    <s v="+998"/>
    <x v="0"/>
    <d v="2025-12-29T00:00:00"/>
    <n v="48.3"/>
    <s v="Соколова"/>
    <x v="132"/>
    <s v="Ильинична"/>
  </r>
  <r>
    <n v="320"/>
    <s v="+375 529-351-9731"/>
    <x v="351"/>
    <x v="1"/>
    <d v="2022-11-04T00:00:00"/>
    <s v="+375"/>
    <x v="1"/>
    <d v="2025-12-29T00:00:00"/>
    <n v="38.366666666666667"/>
    <s v="Новикова"/>
    <x v="42"/>
    <s v="Рубеновна"/>
  </r>
  <r>
    <n v="173"/>
    <s v="+7 914-597-1350"/>
    <x v="352"/>
    <x v="1"/>
    <d v="2022-04-22T00:00:00"/>
    <s v="+7"/>
    <x v="2"/>
    <d v="2025-12-29T00:00:00"/>
    <n v="44.9"/>
    <s v="Гаврилов"/>
    <x v="165"/>
    <s v="Трифонович"/>
  </r>
  <r>
    <n v="485"/>
    <s v="+7 927-005-2176"/>
    <x v="353"/>
    <x v="1"/>
    <d v="2022-06-11T00:00:00"/>
    <s v="+7"/>
    <x v="2"/>
    <d v="2025-12-29T00:00:00"/>
    <n v="43.233333333333334"/>
    <s v="Пономарев"/>
    <x v="213"/>
    <s v="Демидович"/>
  </r>
  <r>
    <n v="401"/>
    <s v="+7 411-180-0061"/>
    <x v="354"/>
    <x v="1"/>
    <d v="2022-10-22T00:00:00"/>
    <s v="+7"/>
    <x v="2"/>
    <d v="2025-12-29T00:00:00"/>
    <n v="38.799999999999997"/>
    <s v="Кулакова"/>
    <x v="140"/>
    <s v="Рудольфовна"/>
  </r>
  <r>
    <n v="379"/>
    <s v="+992 471-072-5643"/>
    <x v="355"/>
    <x v="1"/>
    <d v="2022-01-20T00:00:00"/>
    <s v="+992"/>
    <x v="4"/>
    <d v="2025-12-29T00:00:00"/>
    <n v="47.966666666666669"/>
    <s v="Соколова"/>
    <x v="178"/>
    <s v="Дмитриевна"/>
  </r>
  <r>
    <n v="201"/>
    <s v="+992 994-189-2821"/>
    <x v="356"/>
    <x v="0"/>
    <d v="2022-10-09T00:00:00"/>
    <s v="+992"/>
    <x v="4"/>
    <d v="2025-12-29T00:00:00"/>
    <n v="39.233333333333334"/>
    <s v="Новиков"/>
    <x v="214"/>
    <s v="Августович"/>
  </r>
  <r>
    <n v="498"/>
    <s v="+380 971-032-0139"/>
    <x v="357"/>
    <x v="0"/>
    <d v="2022-06-09T00:00:00"/>
    <s v="+380"/>
    <x v="3"/>
    <d v="2025-12-29T00:00:00"/>
    <n v="43.3"/>
    <s v="Моисеев"/>
    <x v="215"/>
    <s v="Чеславович"/>
  </r>
  <r>
    <n v="237"/>
    <s v="+7 085-149-7713"/>
    <x v="358"/>
    <x v="0"/>
    <d v="2022-11-21T00:00:00"/>
    <s v="+7"/>
    <x v="2"/>
    <d v="2025-12-29T00:00:00"/>
    <n v="37.799999999999997"/>
    <s v="Данилова"/>
    <x v="70"/>
    <s v="Артемовна"/>
  </r>
  <r>
    <n v="403"/>
    <s v="+7 762-296-2673"/>
    <x v="359"/>
    <x v="1"/>
    <d v="2022-02-02T00:00:00"/>
    <s v="+7"/>
    <x v="2"/>
    <d v="2025-12-29T00:00:00"/>
    <n v="47.533333333333331"/>
    <s v="Веселова"/>
    <x v="216"/>
    <s v="Аркадьевна"/>
  </r>
  <r>
    <n v="460"/>
    <s v="+7 981-245-0102"/>
    <x v="360"/>
    <x v="1"/>
    <d v="2022-09-17T00:00:00"/>
    <s v="+7"/>
    <x v="2"/>
    <d v="2025-12-29T00:00:00"/>
    <n v="39.966666666666669"/>
    <s v="Кузнецова"/>
    <x v="128"/>
    <s v="Егоровна"/>
  </r>
  <r>
    <n v="50"/>
    <s v="+998 220-798-0143"/>
    <x v="361"/>
    <x v="0"/>
    <d v="2022-01-15T00:00:00"/>
    <s v="+998"/>
    <x v="0"/>
    <d v="2025-12-29T00:00:00"/>
    <n v="48.133333333333333"/>
    <s v="Одинцов"/>
    <x v="124"/>
    <s v="Фомич"/>
  </r>
  <r>
    <n v="197"/>
    <s v="+380 255-745-0289"/>
    <x v="362"/>
    <x v="1"/>
    <d v="2022-08-12T00:00:00"/>
    <s v="+380"/>
    <x v="3"/>
    <d v="2025-12-29T00:00:00"/>
    <n v="41.166666666666664"/>
    <s v="Миронова"/>
    <x v="168"/>
    <s v="Феликсовна"/>
  </r>
  <r>
    <n v="243"/>
    <s v="+7 354-672-8947"/>
    <x v="363"/>
    <x v="1"/>
    <d v="2022-04-30T00:00:00"/>
    <s v="+7"/>
    <x v="2"/>
    <d v="2025-12-29T00:00:00"/>
    <n v="44.633333333333333"/>
    <s v="Макарова"/>
    <x v="88"/>
    <s v="Эдуардовна"/>
  </r>
  <r>
    <n v="45"/>
    <s v="+998 714-433-6940"/>
    <x v="364"/>
    <x v="0"/>
    <d v="2022-04-11T00:00:00"/>
    <s v="+998"/>
    <x v="0"/>
    <d v="2025-12-29T00:00:00"/>
    <n v="45.266666666666666"/>
    <s v="Мамонтов"/>
    <x v="189"/>
    <s v="Харлампьевич"/>
  </r>
  <r>
    <n v="242"/>
    <s v="+7 352-652-3977"/>
    <x v="365"/>
    <x v="1"/>
    <d v="2022-07-05T00:00:00"/>
    <s v="+7"/>
    <x v="2"/>
    <d v="2025-12-29T00:00:00"/>
    <n v="42.43333333333333"/>
    <s v="Зимина"/>
    <x v="217"/>
    <s v="Павловна"/>
  </r>
  <r>
    <n v="79"/>
    <s v="+992 654-311-2893"/>
    <x v="366"/>
    <x v="1"/>
    <d v="2022-06-04T00:00:00"/>
    <s v="+992"/>
    <x v="4"/>
    <d v="2025-12-29T00:00:00"/>
    <n v="43.466666666666669"/>
    <s v="Васильева"/>
    <x v="131"/>
    <s v="Наумовна"/>
  </r>
  <r>
    <n v="70"/>
    <s v="+380 350-189-8989"/>
    <x v="367"/>
    <x v="0"/>
    <d v="2022-01-30T00:00:00"/>
    <s v="+380"/>
    <x v="3"/>
    <d v="2025-12-29T00:00:00"/>
    <n v="47.633333333333333"/>
    <s v="Королев"/>
    <x v="65"/>
    <s v="Валерьевич"/>
  </r>
  <r>
    <n v="345"/>
    <s v="+375 869-843-0628"/>
    <x v="368"/>
    <x v="0"/>
    <d v="2022-05-24T00:00:00"/>
    <s v="+375"/>
    <x v="1"/>
    <d v="2025-12-29T00:00:00"/>
    <n v="43.833333333333336"/>
    <s v="Лыткина"/>
    <x v="177"/>
    <s v="Александровна"/>
  </r>
  <r>
    <n v="33"/>
    <s v="+7 724-347-2918"/>
    <x v="369"/>
    <x v="1"/>
    <d v="2022-06-18T00:00:00"/>
    <s v="+7"/>
    <x v="2"/>
    <d v="2025-12-29T00:00:00"/>
    <n v="43"/>
    <s v="Фомичева"/>
    <x v="19"/>
    <s v="Даниловна"/>
  </r>
  <r>
    <n v="7"/>
    <s v="+7 022-690-6735"/>
    <x v="370"/>
    <x v="0"/>
    <d v="2022-11-28T00:00:00"/>
    <s v="+7"/>
    <x v="2"/>
    <d v="2025-12-29T00:00:00"/>
    <n v="37.56666666666667"/>
    <s v="Баранова"/>
    <x v="90"/>
    <s v="Эльдаровна"/>
  </r>
  <r>
    <n v="494"/>
    <s v="+375 268-005-4917"/>
    <x v="371"/>
    <x v="1"/>
    <d v="2022-06-26T00:00:00"/>
    <s v="+375"/>
    <x v="1"/>
    <d v="2025-12-29T00:00:00"/>
    <n v="42.733333333333334"/>
    <s v="Ефимова"/>
    <x v="118"/>
    <s v="Филипповна"/>
  </r>
  <r>
    <n v="83"/>
    <s v="+992 377-961-6550"/>
    <x v="372"/>
    <x v="0"/>
    <d v="2022-06-27T00:00:00"/>
    <s v="+992"/>
    <x v="4"/>
    <d v="2025-12-29T00:00:00"/>
    <n v="42.7"/>
    <s v="Зуев"/>
    <x v="218"/>
    <s v="Зиновьевич"/>
  </r>
  <r>
    <n v="352"/>
    <s v="+7 414-973-8213"/>
    <x v="373"/>
    <x v="1"/>
    <d v="2022-01-12T00:00:00"/>
    <s v="+7"/>
    <x v="2"/>
    <d v="2025-12-29T00:00:00"/>
    <n v="48.233333333333334"/>
    <s v="Нестерова"/>
    <x v="108"/>
    <s v="Яковлевна"/>
  </r>
  <r>
    <n v="8"/>
    <s v="+375 841-273-5425"/>
    <x v="374"/>
    <x v="0"/>
    <d v="2022-11-18T00:00:00"/>
    <s v="+375"/>
    <x v="1"/>
    <d v="2025-12-29T00:00:00"/>
    <n v="37.9"/>
    <s v="Шарова"/>
    <x v="4"/>
    <s v="Макаровна"/>
  </r>
  <r>
    <n v="291"/>
    <s v="+992 550-001-8470"/>
    <x v="375"/>
    <x v="0"/>
    <d v="2022-05-29T00:00:00"/>
    <s v="+992"/>
    <x v="4"/>
    <d v="2025-12-29T00:00:00"/>
    <n v="43.666666666666664"/>
    <s v="Кононова"/>
    <x v="29"/>
    <s v="Юрьевна"/>
  </r>
  <r>
    <n v="418"/>
    <s v="+375 253-379-5656"/>
    <x v="376"/>
    <x v="0"/>
    <d v="2022-05-19T00:00:00"/>
    <s v="+375"/>
    <x v="1"/>
    <d v="2025-12-29T00:00:00"/>
    <n v="44"/>
    <s v="Новикова"/>
    <x v="7"/>
    <s v="Богдановна"/>
  </r>
  <r>
    <n v="470"/>
    <s v="+992 544-936-8109"/>
    <x v="377"/>
    <x v="0"/>
    <d v="2022-05-09T00:00:00"/>
    <s v="+992"/>
    <x v="4"/>
    <d v="2025-12-29T00:00:00"/>
    <n v="44.333333333333336"/>
    <s v="Русакова"/>
    <x v="28"/>
    <s v="Михайловна"/>
  </r>
  <r>
    <n v="123"/>
    <s v="+7 755-098-2625"/>
    <x v="378"/>
    <x v="1"/>
    <d v="2022-02-08T00:00:00"/>
    <s v="+7"/>
    <x v="2"/>
    <d v="2025-12-29T00:00:00"/>
    <n v="47.333333333333336"/>
    <s v="Ермаков"/>
    <x v="219"/>
    <s v="Эдуардович"/>
  </r>
  <r>
    <n v="442"/>
    <s v="+992 774-047-4624"/>
    <x v="379"/>
    <x v="1"/>
    <d v="2022-07-04T00:00:00"/>
    <s v="+992"/>
    <x v="4"/>
    <d v="2025-12-29T00:00:00"/>
    <n v="42.466666666666669"/>
    <s v="Медведев"/>
    <x v="220"/>
    <s v="Матвеевич"/>
  </r>
  <r>
    <n v="218"/>
    <s v="+998 692-163-4083"/>
    <x v="380"/>
    <x v="1"/>
    <d v="2022-06-09T00:00:00"/>
    <s v="+998"/>
    <x v="0"/>
    <d v="2025-12-29T00:00:00"/>
    <n v="43.3"/>
    <s v="Исакова"/>
    <x v="128"/>
    <s v="Алексеевна"/>
  </r>
  <r>
    <n v="331"/>
    <s v="+998 856-058-2613"/>
    <x v="381"/>
    <x v="1"/>
    <d v="2022-09-09T00:00:00"/>
    <s v="+998"/>
    <x v="0"/>
    <d v="2025-12-29T00:00:00"/>
    <n v="40.233333333333334"/>
    <s v="Мартынов"/>
    <x v="103"/>
    <s v="Гордеевич"/>
  </r>
  <r>
    <n v="196"/>
    <s v="+7 352-977-7374"/>
    <x v="382"/>
    <x v="0"/>
    <d v="2022-10-01T00:00:00"/>
    <s v="+7"/>
    <x v="2"/>
    <d v="2025-12-29T00:00:00"/>
    <n v="39.5"/>
    <s v="Петрова"/>
    <x v="26"/>
    <s v="Богдановна"/>
  </r>
  <r>
    <n v="36"/>
    <s v="+7 894-636-1225"/>
    <x v="383"/>
    <x v="1"/>
    <d v="2022-05-19T00:00:00"/>
    <s v="+7"/>
    <x v="2"/>
    <d v="2025-12-29T00:00:00"/>
    <n v="44"/>
    <s v="Бобылева"/>
    <x v="118"/>
    <s v="Мироновна"/>
  </r>
  <r>
    <n v="22"/>
    <s v="+375 173-908-3215"/>
    <x v="384"/>
    <x v="0"/>
    <d v="2022-11-05T00:00:00"/>
    <s v="+375"/>
    <x v="1"/>
    <d v="2025-12-29T00:00:00"/>
    <n v="38.333333333333336"/>
    <s v="Кудряшов"/>
    <x v="10"/>
    <s v="Алексеевич"/>
  </r>
  <r>
    <n v="360"/>
    <s v="+375 427-098-5558"/>
    <x v="385"/>
    <x v="1"/>
    <d v="2022-06-16T00:00:00"/>
    <s v="+375"/>
    <x v="1"/>
    <d v="2025-12-29T00:00:00"/>
    <n v="43.06666666666667"/>
    <s v="Миронов"/>
    <x v="103"/>
    <s v="Вилорович"/>
  </r>
  <r>
    <n v="188"/>
    <s v="+992 000-000-7415"/>
    <x v="386"/>
    <x v="1"/>
    <d v="2022-08-28T00:00:00"/>
    <s v="+992"/>
    <x v="4"/>
    <d v="2025-12-29T00:00:00"/>
    <n v="40.633333333333333"/>
    <s v="Алексеев"/>
    <x v="39"/>
    <s v="Демьянович"/>
  </r>
  <r>
    <n v="63"/>
    <s v="+380 668-055-3546"/>
    <x v="387"/>
    <x v="0"/>
    <d v="2022-05-03T00:00:00"/>
    <s v="+380"/>
    <x v="3"/>
    <d v="2025-12-29T00:00:00"/>
    <n v="44.533333333333331"/>
    <s v="Горшкова"/>
    <x v="168"/>
    <s v="Борисовна"/>
  </r>
  <r>
    <n v="238"/>
    <s v="+380 245-175-6131"/>
    <x v="388"/>
    <x v="0"/>
    <d v="2022-12-14T00:00:00"/>
    <s v="+380"/>
    <x v="3"/>
    <d v="2025-12-29T00:00:00"/>
    <n v="37.033333333333331"/>
    <s v="Григорьев"/>
    <x v="59"/>
    <s v="Ануфриевич"/>
  </r>
  <r>
    <n v="105"/>
    <s v="+998 284-687-3096"/>
    <x v="389"/>
    <x v="0"/>
    <d v="2022-12-23T00:00:00"/>
    <s v="+998"/>
    <x v="0"/>
    <d v="2025-12-29T00:00:00"/>
    <n v="36.733333333333334"/>
    <s v="Овчинникова"/>
    <x v="5"/>
    <s v="Вячеславовна"/>
  </r>
  <r>
    <n v="260"/>
    <s v="+380 533-078-8885"/>
    <x v="390"/>
    <x v="0"/>
    <d v="2022-06-17T00:00:00"/>
    <s v="+380"/>
    <x v="3"/>
    <d v="2025-12-29T00:00:00"/>
    <n v="43.033333333333331"/>
    <s v="Титова"/>
    <x v="170"/>
    <s v="Дмитриевна"/>
  </r>
  <r>
    <n v="394"/>
    <s v="+7 450-475-2540"/>
    <x v="391"/>
    <x v="0"/>
    <d v="2022-05-27T00:00:00"/>
    <s v="+7"/>
    <x v="2"/>
    <d v="2025-12-29T00:00:00"/>
    <n v="43.733333333333334"/>
    <s v="Князев"/>
    <x v="221"/>
    <s v="Андреевич"/>
  </r>
  <r>
    <n v="248"/>
    <s v="+7 592-632-8448"/>
    <x v="392"/>
    <x v="1"/>
    <d v="2022-05-13T00:00:00"/>
    <s v="+7"/>
    <x v="2"/>
    <d v="2025-12-29T00:00:00"/>
    <n v="44.2"/>
    <s v="Меркушева"/>
    <x v="197"/>
    <s v="Наумовна"/>
  </r>
  <r>
    <n v="3"/>
    <s v="+380 143-562-6602"/>
    <x v="393"/>
    <x v="1"/>
    <d v="2022-04-15T00:00:00"/>
    <s v="+380"/>
    <x v="3"/>
    <d v="2025-12-29T00:00:00"/>
    <n v="45.133333333333333"/>
    <s v="Якушева"/>
    <x v="145"/>
    <s v="Даниловна"/>
  </r>
  <r>
    <n v="435"/>
    <s v="+998 946-408-1930"/>
    <x v="394"/>
    <x v="1"/>
    <d v="2022-02-26T00:00:00"/>
    <s v="+998"/>
    <x v="0"/>
    <d v="2025-12-29T00:00:00"/>
    <n v="46.733333333333334"/>
    <s v="Тихонова"/>
    <x v="177"/>
    <s v="Ефимовна"/>
  </r>
  <r>
    <n v="262"/>
    <s v="+992 756-085-4605"/>
    <x v="395"/>
    <x v="0"/>
    <d v="2022-08-05T00:00:00"/>
    <s v="+992"/>
    <x v="4"/>
    <d v="2025-12-29T00:00:00"/>
    <n v="41.4"/>
    <s v="Воробьева"/>
    <x v="55"/>
    <s v="Юрьевна"/>
  </r>
  <r>
    <n v="264"/>
    <s v="+375 722-671-7064"/>
    <x v="396"/>
    <x v="1"/>
    <d v="2022-12-12T00:00:00"/>
    <s v="+375"/>
    <x v="1"/>
    <d v="2025-12-29T00:00:00"/>
    <n v="37.1"/>
    <s v="Стрелков"/>
    <x v="93"/>
    <s v="Ермолаевич"/>
  </r>
  <r>
    <n v="99"/>
    <s v="+7 542-005-0327"/>
    <x v="397"/>
    <x v="1"/>
    <d v="2022-11-21T00:00:00"/>
    <s v="+7"/>
    <x v="2"/>
    <d v="2025-12-29T00:00:00"/>
    <n v="37.799999999999997"/>
    <s v="Петухова"/>
    <x v="57"/>
    <s v="Семеновна"/>
  </r>
  <r>
    <n v="404"/>
    <s v="+380 265-102-2104"/>
    <x v="398"/>
    <x v="1"/>
    <d v="2022-12-18T00:00:00"/>
    <s v="+380"/>
    <x v="3"/>
    <d v="2025-12-29T00:00:00"/>
    <n v="36.9"/>
    <s v="Кириллова"/>
    <x v="173"/>
    <s v="Юльевна"/>
  </r>
  <r>
    <n v="146"/>
    <s v="+375 986-655-6691"/>
    <x v="399"/>
    <x v="1"/>
    <d v="2022-02-25T00:00:00"/>
    <s v="+375"/>
    <x v="1"/>
    <d v="2025-12-29T00:00:00"/>
    <n v="46.766666666666666"/>
    <s v="Воронов"/>
    <x v="17"/>
    <s v="Бориславович"/>
  </r>
  <r>
    <n v="338"/>
    <s v="+992 869-966-7816"/>
    <x v="400"/>
    <x v="1"/>
    <d v="2022-01-16T00:00:00"/>
    <s v="+992"/>
    <x v="4"/>
    <d v="2025-12-29T00:00:00"/>
    <n v="48.1"/>
    <s v="Филатова"/>
    <x v="3"/>
    <s v="Геннадиевна"/>
  </r>
  <r>
    <n v="445"/>
    <s v="+7 975-515-1931"/>
    <x v="401"/>
    <x v="1"/>
    <d v="2022-04-25T00:00:00"/>
    <s v="+7"/>
    <x v="2"/>
    <d v="2025-12-29T00:00:00"/>
    <n v="44.8"/>
    <s v="Белоусова"/>
    <x v="88"/>
    <s v="Архиповна"/>
  </r>
  <r>
    <n v="208"/>
    <s v="+380 004-121-0383"/>
    <x v="402"/>
    <x v="1"/>
    <d v="2022-06-24T00:00:00"/>
    <s v="+380"/>
    <x v="3"/>
    <d v="2025-12-29T00:00:00"/>
    <n v="42.8"/>
    <s v="Захаров"/>
    <x v="65"/>
    <s v="Филимонович"/>
  </r>
  <r>
    <n v="343"/>
    <s v="+380 606-168-8976"/>
    <x v="403"/>
    <x v="1"/>
    <d v="2022-11-09T00:00:00"/>
    <s v="+380"/>
    <x v="3"/>
    <d v="2025-12-29T00:00:00"/>
    <n v="38.200000000000003"/>
    <s v="Абрамов"/>
    <x v="211"/>
    <s v="Богданович"/>
  </r>
  <r>
    <n v="486"/>
    <s v="+7 056-712-2591"/>
    <x v="404"/>
    <x v="0"/>
    <d v="2022-06-11T00:00:00"/>
    <s v="+7"/>
    <x v="2"/>
    <d v="2025-12-29T00:00:00"/>
    <n v="43.233333333333334"/>
    <s v="Волков"/>
    <x v="222"/>
    <s v="Герасимович"/>
  </r>
  <r>
    <n v="299"/>
    <s v="+380 254-333-6466"/>
    <x v="405"/>
    <x v="1"/>
    <d v="2022-04-15T00:00:00"/>
    <s v="+380"/>
    <x v="3"/>
    <d v="2025-12-29T00:00:00"/>
    <n v="45.133333333333333"/>
    <s v="Одинцов"/>
    <x v="223"/>
    <s v="Евсеевич"/>
  </r>
  <r>
    <n v="368"/>
    <s v="+998 481-371-2630"/>
    <x v="406"/>
    <x v="0"/>
    <d v="2022-11-07T00:00:00"/>
    <s v="+998"/>
    <x v="0"/>
    <d v="2025-12-29T00:00:00"/>
    <n v="38.266666666666666"/>
    <s v="Потапов"/>
    <x v="2"/>
    <s v="Арсенович"/>
  </r>
  <r>
    <n v="108"/>
    <s v="+998 313-336-2516"/>
    <x v="407"/>
    <x v="0"/>
    <d v="2022-10-01T00:00:00"/>
    <s v="+998"/>
    <x v="0"/>
    <d v="2025-12-29T00:00:00"/>
    <n v="39.5"/>
    <s v="Сидорова"/>
    <x v="133"/>
    <s v="Рудольфовна"/>
  </r>
  <r>
    <n v="443"/>
    <s v="+7 210-575-0459"/>
    <x v="408"/>
    <x v="0"/>
    <d v="2022-03-29T00:00:00"/>
    <s v="+7"/>
    <x v="2"/>
    <d v="2025-12-29T00:00:00"/>
    <n v="45.7"/>
    <s v="Мартынова"/>
    <x v="11"/>
    <s v="Олеговна"/>
  </r>
  <r>
    <n v="91"/>
    <s v="+7 289-019-1718"/>
    <x v="409"/>
    <x v="1"/>
    <d v="2022-05-06T00:00:00"/>
    <s v="+7"/>
    <x v="2"/>
    <d v="2025-12-29T00:00:00"/>
    <n v="44.43333333333333"/>
    <s v="Стрелкова"/>
    <x v="82"/>
    <s v="Эдуардовна"/>
  </r>
  <r>
    <n v="473"/>
    <s v="+7 571-938-4741"/>
    <x v="410"/>
    <x v="0"/>
    <d v="2022-08-26T00:00:00"/>
    <s v="+7"/>
    <x v="2"/>
    <d v="2025-12-29T00:00:00"/>
    <n v="40.700000000000003"/>
    <s v="Панов"/>
    <x v="224"/>
    <s v="Дмитриевич"/>
  </r>
  <r>
    <n v="482"/>
    <s v="+380 958-231-6305"/>
    <x v="411"/>
    <x v="1"/>
    <d v="2022-04-28T00:00:00"/>
    <s v="+380"/>
    <x v="3"/>
    <d v="2025-12-29T00:00:00"/>
    <n v="44.7"/>
    <s v="Гришин"/>
    <x v="213"/>
    <s v="Артурович"/>
  </r>
  <r>
    <n v="48"/>
    <s v="+998 849-649-9045"/>
    <x v="412"/>
    <x v="1"/>
    <d v="2022-10-22T00:00:00"/>
    <s v="+998"/>
    <x v="0"/>
    <d v="2025-12-29T00:00:00"/>
    <n v="38.799999999999997"/>
    <s v="Лаврентьева"/>
    <x v="1"/>
    <s v="Владиславовна"/>
  </r>
  <r>
    <n v="26"/>
    <s v="+992 666-298-7733"/>
    <x v="413"/>
    <x v="0"/>
    <d v="2022-09-15T00:00:00"/>
    <s v="+992"/>
    <x v="4"/>
    <d v="2025-12-29T00:00:00"/>
    <n v="40.033333333333331"/>
    <s v="Корнилов"/>
    <x v="209"/>
    <s v="Иосипович"/>
  </r>
  <r>
    <n v="417"/>
    <s v="+992 772-470-1976"/>
    <x v="414"/>
    <x v="1"/>
    <d v="2022-02-16T00:00:00"/>
    <s v="+992"/>
    <x v="4"/>
    <d v="2025-12-29T00:00:00"/>
    <n v="47.06666666666667"/>
    <s v="Игнатова"/>
    <x v="1"/>
    <s v="Вячеславовна"/>
  </r>
  <r>
    <n v="491"/>
    <s v="+7 411-977-9395"/>
    <x v="415"/>
    <x v="0"/>
    <d v="2022-07-10T00:00:00"/>
    <s v="+7"/>
    <x v="2"/>
    <d v="2025-12-29T00:00:00"/>
    <n v="42.266666666666666"/>
    <s v="Михайлова"/>
    <x v="37"/>
    <s v="Наумовна"/>
  </r>
  <r>
    <n v="492"/>
    <s v="+380 537-432-3099"/>
    <x v="416"/>
    <x v="0"/>
    <d v="2022-05-07T00:00:00"/>
    <s v="+380"/>
    <x v="3"/>
    <d v="2025-12-29T00:00:00"/>
    <n v="44.4"/>
    <s v="Яковлев"/>
    <x v="225"/>
    <s v="Ааронович"/>
  </r>
  <r>
    <n v="155"/>
    <s v="+380 950-384-1472"/>
    <x v="417"/>
    <x v="1"/>
    <d v="2022-01-03T00:00:00"/>
    <s v="+380"/>
    <x v="3"/>
    <d v="2025-12-29T00:00:00"/>
    <n v="48.533333333333331"/>
    <s v="Емельянов"/>
    <x v="226"/>
    <s v="Андреевич"/>
  </r>
  <r>
    <n v="430"/>
    <s v="+992 570-665-8734"/>
    <x v="418"/>
    <x v="1"/>
    <d v="2022-08-26T00:00:00"/>
    <s v="+992"/>
    <x v="4"/>
    <d v="2025-12-29T00:00:00"/>
    <n v="40.700000000000003"/>
    <s v="Веселов"/>
    <x v="227"/>
    <s v="Тихонович"/>
  </r>
  <r>
    <n v="488"/>
    <s v="+375 477-336-9780"/>
    <x v="419"/>
    <x v="0"/>
    <d v="2022-06-26T00:00:00"/>
    <s v="+375"/>
    <x v="1"/>
    <d v="2025-12-29T00:00:00"/>
    <n v="42.733333333333334"/>
    <s v="Данилова"/>
    <x v="104"/>
    <s v="Аскольдовна"/>
  </r>
  <r>
    <n v="6"/>
    <s v="+380 017-252-3368"/>
    <x v="420"/>
    <x v="1"/>
    <d v="2022-05-29T00:00:00"/>
    <s v="+380"/>
    <x v="3"/>
    <d v="2025-12-29T00:00:00"/>
    <n v="43.666666666666664"/>
    <s v="Цветкова"/>
    <x v="49"/>
    <s v="Болеславовна"/>
  </r>
  <r>
    <n v="400"/>
    <s v="+375 933-846-4405"/>
    <x v="421"/>
    <x v="0"/>
    <d v="2022-07-23T00:00:00"/>
    <s v="+375"/>
    <x v="1"/>
    <d v="2025-12-29T00:00:00"/>
    <n v="41.833333333333336"/>
    <s v="Константинов"/>
    <x v="110"/>
    <s v="Денисович"/>
  </r>
  <r>
    <n v="282"/>
    <s v="+998 782-759-1031"/>
    <x v="422"/>
    <x v="0"/>
    <d v="2022-06-23T00:00:00"/>
    <s v="+998"/>
    <x v="0"/>
    <d v="2025-12-29T00:00:00"/>
    <n v="42.833333333333336"/>
    <s v="Николаева"/>
    <x v="145"/>
    <s v="Семеновна"/>
  </r>
  <r>
    <n v="433"/>
    <s v="+992 614-322-7161"/>
    <x v="423"/>
    <x v="0"/>
    <d v="2022-09-28T00:00:00"/>
    <s v="+992"/>
    <x v="4"/>
    <d v="2025-12-29T00:00:00"/>
    <n v="39.6"/>
    <s v="Иванова"/>
    <x v="163"/>
    <s v="Борисовна"/>
  </r>
  <r>
    <n v="212"/>
    <s v="+998 662-959-7800"/>
    <x v="424"/>
    <x v="1"/>
    <d v="2022-09-11T00:00:00"/>
    <s v="+998"/>
    <x v="0"/>
    <d v="2025-12-29T00:00:00"/>
    <n v="40.166666666666664"/>
    <s v="Евсеев"/>
    <x v="174"/>
    <s v="Гордеевич"/>
  </r>
  <r>
    <n v="499"/>
    <s v="+375 877-885-2826"/>
    <x v="425"/>
    <x v="0"/>
    <d v="2022-08-25T00:00:00"/>
    <s v="+375"/>
    <x v="1"/>
    <d v="2025-12-29T00:00:00"/>
    <n v="40.733333333333334"/>
    <s v="Молчанов"/>
    <x v="228"/>
    <s v="Филатович"/>
  </r>
  <r>
    <n v="347"/>
    <s v="+992 145-030-4792"/>
    <x v="426"/>
    <x v="0"/>
    <d v="2022-01-27T00:00:00"/>
    <s v="+992"/>
    <x v="4"/>
    <d v="2025-12-29T00:00:00"/>
    <n v="47.733333333333334"/>
    <s v="Афанасьев"/>
    <x v="229"/>
    <s v="Исидорович"/>
  </r>
  <r>
    <n v="469"/>
    <s v="+7 997-792-5112"/>
    <x v="427"/>
    <x v="0"/>
    <d v="2022-04-08T00:00:00"/>
    <s v="+7"/>
    <x v="2"/>
    <d v="2025-12-29T00:00:00"/>
    <n v="45.366666666666667"/>
    <s v="Крюкова"/>
    <x v="181"/>
    <s v="Романовна"/>
  </r>
  <r>
    <n v="93"/>
    <s v="+380 686-730-6702"/>
    <x v="428"/>
    <x v="1"/>
    <d v="2022-12-10T00:00:00"/>
    <s v="+380"/>
    <x v="3"/>
    <d v="2025-12-29T00:00:00"/>
    <n v="37.166666666666664"/>
    <s v="Авдеев"/>
    <x v="22"/>
    <s v="Жанович"/>
  </r>
  <r>
    <n v="200"/>
    <s v="+998 342-700-2159"/>
    <x v="429"/>
    <x v="0"/>
    <d v="2022-08-10T00:00:00"/>
    <s v="+998"/>
    <x v="0"/>
    <d v="2025-12-29T00:00:00"/>
    <n v="41.233333333333334"/>
    <s v="Воробьева"/>
    <x v="40"/>
    <s v="Аскольдовна"/>
  </r>
  <r>
    <n v="95"/>
    <s v="+998 662-556-3959"/>
    <x v="430"/>
    <x v="1"/>
    <d v="2022-05-23T00:00:00"/>
    <s v="+998"/>
    <x v="0"/>
    <d v="2025-12-29T00:00:00"/>
    <n v="43.866666666666667"/>
    <s v="Белоусова"/>
    <x v="76"/>
    <s v="Кузьминична"/>
  </r>
  <r>
    <n v="20"/>
    <s v="+998 678-480-0704"/>
    <x v="431"/>
    <x v="1"/>
    <d v="2022-05-10T00:00:00"/>
    <s v="+998"/>
    <x v="0"/>
    <d v="2025-12-29T00:00:00"/>
    <n v="44.3"/>
    <s v="Юдин"/>
    <x v="211"/>
    <s v="Игнатович"/>
  </r>
  <r>
    <n v="94"/>
    <s v="+380 293-011-4872"/>
    <x v="432"/>
    <x v="0"/>
    <d v="2022-06-11T00:00:00"/>
    <s v="+380"/>
    <x v="3"/>
    <d v="2025-12-29T00:00:00"/>
    <n v="43.233333333333334"/>
    <s v="Соловьева"/>
    <x v="47"/>
    <s v="Эдуардовна"/>
  </r>
  <r>
    <n v="427"/>
    <s v="+7 630-011-3417"/>
    <x v="433"/>
    <x v="1"/>
    <d v="2022-09-30T00:00:00"/>
    <s v="+7"/>
    <x v="2"/>
    <d v="2025-12-29T00:00:00"/>
    <n v="39.533333333333331"/>
    <s v="Крюкова"/>
    <x v="18"/>
    <s v="Андреевна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412"/>
    <x v="0"/>
    <x v="0"/>
    <n v="315"/>
    <x v="0"/>
    <n v="252.76271186440678"/>
    <n v="-0.59250318514048139"/>
    <x v="0"/>
    <n v="240.5"/>
    <d v="2022-07-05T00:00:00"/>
    <n v="440"/>
    <x v="0"/>
  </r>
  <r>
    <n v="2"/>
    <n v="486"/>
    <n v="296"/>
    <n v="3"/>
    <n v="888"/>
    <x v="1"/>
    <x v="1"/>
    <n v="253"/>
    <x v="1"/>
    <n v="264.8679245283019"/>
    <n v="0.11753811084200017"/>
    <x v="1"/>
    <n v="238.16666666666666"/>
    <d v="2022-07-08T00:00:00"/>
    <n v="333"/>
    <x v="1"/>
  </r>
  <r>
    <n v="3"/>
    <n v="76"/>
    <n v="139"/>
    <n v="5"/>
    <n v="695"/>
    <x v="2"/>
    <x v="2"/>
    <n v="12"/>
    <x v="2"/>
    <n v="283.468085106383"/>
    <n v="-0.50964497485551308"/>
    <x v="2"/>
    <n v="232.44444444444446"/>
    <d v="2022-10-08T00:00:00"/>
    <n v="521"/>
    <x v="1"/>
  </r>
  <r>
    <n v="4"/>
    <n v="240"/>
    <n v="141"/>
    <n v="5"/>
    <n v="705"/>
    <x v="3"/>
    <x v="3"/>
    <n v="116"/>
    <x v="3"/>
    <n v="265.47674418604652"/>
    <n v="-0.46888003153606939"/>
    <x v="3"/>
    <n v="236.27586206896552"/>
    <d v="2022-03-23T00:00:00"/>
    <n v="619"/>
    <x v="2"/>
  </r>
  <r>
    <n v="5"/>
    <n v="32"/>
    <n v="123"/>
    <n v="2"/>
    <n v="246"/>
    <x v="4"/>
    <x v="4"/>
    <n v="471"/>
    <x v="4"/>
    <n v="250.48780487804879"/>
    <n v="-0.5089581304771178"/>
    <x v="4"/>
    <n v="159.19999999999999"/>
    <d v="2022-01-16T00:00:00"/>
    <n v="574"/>
    <x v="3"/>
  </r>
  <r>
    <n v="6"/>
    <n v="162"/>
    <n v="452"/>
    <n v="2"/>
    <n v="904"/>
    <x v="5"/>
    <x v="0"/>
    <n v="374"/>
    <x v="5"/>
    <n v="268.60344827586209"/>
    <n v="0.68277809872263928"/>
    <x v="5"/>
    <n v="281.96875"/>
    <d v="2022-01-21T00:00:00"/>
    <n v="699"/>
    <x v="3"/>
  </r>
  <r>
    <n v="7"/>
    <n v="323"/>
    <n v="149"/>
    <n v="5"/>
    <n v="745"/>
    <x v="6"/>
    <x v="5"/>
    <n v="477"/>
    <x v="6"/>
    <n v="258.5128205128205"/>
    <n v="-0.42362626463003372"/>
    <x v="6"/>
    <n v="260.64705882352939"/>
    <d v="2022-06-26T00:00:00"/>
    <n v="611"/>
    <x v="0"/>
  </r>
  <r>
    <n v="8"/>
    <n v="60"/>
    <n v="489"/>
    <n v="4"/>
    <n v="1956"/>
    <x v="7"/>
    <x v="6"/>
    <n v="335"/>
    <x v="7"/>
    <n v="249.02380952380952"/>
    <n v="0.9636676546514964"/>
    <x v="7"/>
    <n v="276.21052631578948"/>
    <d v="2022-02-27T00:00:00"/>
    <n v="708"/>
    <x v="0"/>
  </r>
  <r>
    <n v="9"/>
    <n v="401"/>
    <n v="416"/>
    <n v="5"/>
    <n v="2080"/>
    <x v="8"/>
    <x v="7"/>
    <n v="350"/>
    <x v="8"/>
    <n v="271.18181818181819"/>
    <n v="0.53402614817298022"/>
    <x v="8"/>
    <n v="291.45454545454544"/>
    <d v="2022-05-03T00:00:00"/>
    <n v="692"/>
    <x v="3"/>
  </r>
  <r>
    <n v="10"/>
    <n v="100"/>
    <n v="449"/>
    <n v="2"/>
    <n v="898"/>
    <x v="9"/>
    <x v="5"/>
    <n v="413"/>
    <x v="9"/>
    <n v="263.25423728813558"/>
    <n v="0.7055755858872006"/>
    <x v="9"/>
    <n v="257.78260869565219"/>
    <d v="2022-05-18T00:00:00"/>
    <n v="333"/>
    <x v="2"/>
  </r>
  <r>
    <n v="11"/>
    <n v="217"/>
    <n v="296"/>
    <n v="2"/>
    <n v="592"/>
    <x v="10"/>
    <x v="5"/>
    <n v="495"/>
    <x v="10"/>
    <n v="271.74545454545455"/>
    <n v="8.925465007359823E-2"/>
    <x v="10"/>
    <n v="311.2"/>
    <d v="2022-04-03T00:00:00"/>
    <n v="482"/>
    <x v="0"/>
  </r>
  <r>
    <n v="12"/>
    <n v="445"/>
    <n v="109"/>
    <n v="5"/>
    <n v="545"/>
    <x v="11"/>
    <x v="6"/>
    <n v="353"/>
    <x v="0"/>
    <n v="252.76271186440678"/>
    <n v="-0.56876550660497549"/>
    <x v="11"/>
    <n v="240.26666666666668"/>
    <d v="2022-04-05T00:00:00"/>
    <n v="738"/>
    <x v="4"/>
  </r>
  <r>
    <n v="13"/>
    <n v="284"/>
    <n v="213"/>
    <n v="3"/>
    <n v="639"/>
    <x v="12"/>
    <x v="2"/>
    <n v="332"/>
    <x v="10"/>
    <n v="271.74545454545455"/>
    <n v="-0.21617824167001209"/>
    <x v="12"/>
    <n v="212.8125"/>
    <d v="2022-10-24T00:00:00"/>
    <n v="408"/>
    <x v="0"/>
  </r>
  <r>
    <n v="14"/>
    <n v="116"/>
    <n v="190"/>
    <n v="4"/>
    <n v="760"/>
    <x v="13"/>
    <x v="3"/>
    <n v="414"/>
    <x v="1"/>
    <n v="264.8679245283019"/>
    <n v="-0.28266134777033769"/>
    <x v="13"/>
    <n v="320.84615384615387"/>
    <d v="2022-08-21T00:00:00"/>
    <n v="339"/>
    <x v="1"/>
  </r>
  <r>
    <n v="15"/>
    <n v="378"/>
    <n v="237"/>
    <n v="1"/>
    <n v="237"/>
    <x v="14"/>
    <x v="5"/>
    <n v="236"/>
    <x v="5"/>
    <n v="268.60344827586209"/>
    <n v="-0.11765838628923564"/>
    <x v="5"/>
    <n v="281.96875"/>
    <d v="2022-09-16T00:00:00"/>
    <n v="152"/>
    <x v="0"/>
  </r>
  <r>
    <n v="16"/>
    <n v="299"/>
    <n v="178"/>
    <n v="3"/>
    <n v="534"/>
    <x v="15"/>
    <x v="6"/>
    <n v="164"/>
    <x v="8"/>
    <n v="271.18181818181819"/>
    <n v="-0.34361381159906135"/>
    <x v="14"/>
    <n v="260.15789473684208"/>
    <d v="2022-04-27T00:00:00"/>
    <n v="302"/>
    <x v="2"/>
  </r>
  <r>
    <n v="17"/>
    <n v="359"/>
    <n v="320"/>
    <n v="5"/>
    <n v="1600"/>
    <x v="16"/>
    <x v="8"/>
    <n v="490"/>
    <x v="10"/>
    <n v="271.74545454545455"/>
    <n v="0.1775725946741602"/>
    <x v="15"/>
    <n v="316.58333333333331"/>
    <d v="2022-02-11T00:00:00"/>
    <n v="613"/>
    <x v="2"/>
  </r>
  <r>
    <n v="18"/>
    <n v="337"/>
    <n v="419"/>
    <n v="2"/>
    <n v="838"/>
    <x v="17"/>
    <x v="2"/>
    <n v="223"/>
    <x v="3"/>
    <n v="265.47674418604652"/>
    <n v="0.57829267224387881"/>
    <x v="16"/>
    <n v="276.67567567567568"/>
    <d v="2022-11-28T00:00:00"/>
    <n v="223"/>
    <x v="3"/>
  </r>
  <r>
    <n v="19"/>
    <n v="226"/>
    <n v="190"/>
    <n v="5"/>
    <n v="950"/>
    <x v="18"/>
    <x v="9"/>
    <n v="204"/>
    <x v="11"/>
    <n v="262.63492063492066"/>
    <n v="-0.2765623111326001"/>
    <x v="17"/>
    <n v="311.33333333333331"/>
    <d v="2022-11-02T00:00:00"/>
    <n v="191"/>
    <x v="2"/>
  </r>
  <r>
    <n v="20"/>
    <n v="310"/>
    <n v="458"/>
    <n v="2"/>
    <n v="916"/>
    <x v="19"/>
    <x v="9"/>
    <n v="481"/>
    <x v="3"/>
    <n v="265.47674418604652"/>
    <n v="0.72519819543603004"/>
    <x v="16"/>
    <n v="276.67567567567568"/>
    <d v="2022-07-14T00:00:00"/>
    <n v="402"/>
    <x v="1"/>
  </r>
  <r>
    <n v="21"/>
    <n v="137"/>
    <n v="152"/>
    <n v="2"/>
    <n v="304"/>
    <x v="20"/>
    <x v="0"/>
    <n v="363"/>
    <x v="12"/>
    <n v="274.16279069767444"/>
    <n v="-0.4455848672491306"/>
    <x v="18"/>
    <n v="253.6875"/>
    <d v="2022-04-24T00:00:00"/>
    <n v="569"/>
    <x v="0"/>
  </r>
  <r>
    <n v="22"/>
    <n v="385"/>
    <n v="352"/>
    <n v="2"/>
    <n v="704"/>
    <x v="21"/>
    <x v="6"/>
    <n v="397"/>
    <x v="3"/>
    <n v="265.47674418604652"/>
    <n v="0.32591651701633739"/>
    <x v="19"/>
    <n v="329.27272727272725"/>
    <d v="2022-06-16T00:00:00"/>
    <n v="395"/>
    <x v="1"/>
  </r>
  <r>
    <n v="23"/>
    <n v="226"/>
    <n v="228"/>
    <n v="2"/>
    <n v="456"/>
    <x v="22"/>
    <x v="10"/>
    <n v="280"/>
    <x v="11"/>
    <n v="262.63492063492066"/>
    <n v="-0.13187477335912012"/>
    <x v="17"/>
    <n v="311.33333333333331"/>
    <d v="2022-01-02T00:00:00"/>
    <n v="464"/>
    <x v="2"/>
  </r>
  <r>
    <n v="24"/>
    <n v="451"/>
    <n v="161"/>
    <n v="4"/>
    <n v="644"/>
    <x v="23"/>
    <x v="7"/>
    <n v="39"/>
    <x v="13"/>
    <n v="258.375"/>
    <n v="-0.37687469762941461"/>
    <x v="20"/>
    <n v="269.70588235294116"/>
    <d v="2022-04-02T00:00:00"/>
    <n v="313"/>
    <x v="1"/>
  </r>
  <r>
    <n v="25"/>
    <n v="7"/>
    <n v="362"/>
    <n v="1"/>
    <n v="362"/>
    <x v="24"/>
    <x v="4"/>
    <n v="303"/>
    <x v="11"/>
    <n v="262.63492063492066"/>
    <n v="0.37833917563157238"/>
    <x v="21"/>
    <n v="238.72222222222223"/>
    <d v="2022-05-08T00:00:00"/>
    <n v="637"/>
    <x v="0"/>
  </r>
  <r>
    <n v="26"/>
    <n v="495"/>
    <n v="312"/>
    <n v="1"/>
    <n v="312"/>
    <x v="25"/>
    <x v="8"/>
    <n v="422"/>
    <x v="8"/>
    <n v="271.18181818181819"/>
    <n v="0.15051961112973511"/>
    <x v="8"/>
    <n v="291.45454545454544"/>
    <d v="2022-08-11T00:00:00"/>
    <n v="390"/>
    <x v="3"/>
  </r>
  <r>
    <n v="27"/>
    <n v="415"/>
    <n v="311"/>
    <n v="5"/>
    <n v="1555"/>
    <x v="26"/>
    <x v="11"/>
    <n v="24"/>
    <x v="14"/>
    <n v="273.72549019607845"/>
    <n v="0.13617478510028636"/>
    <x v="22"/>
    <n v="280.23809523809524"/>
    <d v="2022-02-17T00:00:00"/>
    <n v="490"/>
    <x v="0"/>
  </r>
  <r>
    <n v="28"/>
    <n v="176"/>
    <n v="220"/>
    <n v="1"/>
    <n v="220"/>
    <x v="27"/>
    <x v="0"/>
    <n v="112"/>
    <x v="0"/>
    <n v="252.76271186440678"/>
    <n v="-0.12961845369811575"/>
    <x v="0"/>
    <n v="240.5"/>
    <d v="2022-04-01T00:00:00"/>
    <n v="716"/>
    <x v="2"/>
  </r>
  <r>
    <n v="29"/>
    <n v="181"/>
    <n v="476"/>
    <n v="4"/>
    <n v="1904"/>
    <x v="28"/>
    <x v="0"/>
    <n v="451"/>
    <x v="15"/>
    <n v="294.95238095238096"/>
    <n v="0.61381982563771387"/>
    <x v="23"/>
    <n v="318.81818181818181"/>
    <d v="2022-01-23T00:00:00"/>
    <n v="456"/>
    <x v="2"/>
  </r>
  <r>
    <n v="30"/>
    <n v="399"/>
    <n v="190"/>
    <n v="1"/>
    <n v="190"/>
    <x v="29"/>
    <x v="2"/>
    <n v="131"/>
    <x v="16"/>
    <n v="300.31818181818181"/>
    <n v="-0.36733767216588464"/>
    <x v="24"/>
    <n v="281.73333333333335"/>
    <d v="2022-05-12T00:00:00"/>
    <n v="721"/>
    <x v="2"/>
  </r>
  <r>
    <n v="31"/>
    <n v="382"/>
    <n v="198"/>
    <n v="5"/>
    <n v="990"/>
    <x v="30"/>
    <x v="12"/>
    <n v="160"/>
    <x v="4"/>
    <n v="250.48780487804879"/>
    <n v="-0.2095423563777995"/>
    <x v="25"/>
    <n v="303.8235294117647"/>
    <d v="2022-03-29T00:00:00"/>
    <n v="476"/>
    <x v="0"/>
  </r>
  <r>
    <n v="32"/>
    <n v="103"/>
    <n v="254"/>
    <n v="3"/>
    <n v="762"/>
    <x v="31"/>
    <x v="13"/>
    <n v="408"/>
    <x v="6"/>
    <n v="258.5128205128205"/>
    <n v="-1.7456853798849425E-2"/>
    <x v="26"/>
    <n v="216.4"/>
    <d v="2022-10-23T00:00:00"/>
    <n v="495"/>
    <x v="2"/>
  </r>
  <r>
    <n v="33"/>
    <n v="104"/>
    <n v="351"/>
    <n v="1"/>
    <n v="351"/>
    <x v="32"/>
    <x v="12"/>
    <n v="324"/>
    <x v="9"/>
    <n v="263.25423728813558"/>
    <n v="0.33331187226371362"/>
    <x v="9"/>
    <n v="257.78260869565219"/>
    <d v="2022-07-19T00:00:00"/>
    <n v="236"/>
    <x v="0"/>
  </r>
  <r>
    <n v="34"/>
    <n v="213"/>
    <n v="387"/>
    <n v="1"/>
    <n v="387"/>
    <x v="33"/>
    <x v="5"/>
    <n v="310"/>
    <x v="0"/>
    <n v="252.76271186440678"/>
    <n v="0.53108026554013277"/>
    <x v="0"/>
    <n v="240.5"/>
    <d v="2022-09-03T00:00:00"/>
    <n v="460"/>
    <x v="4"/>
  </r>
  <r>
    <n v="35"/>
    <n v="157"/>
    <n v="55"/>
    <n v="2"/>
    <n v="110"/>
    <x v="34"/>
    <x v="2"/>
    <n v="179"/>
    <x v="11"/>
    <n v="262.63492063492066"/>
    <n v="-0.79058382690680529"/>
    <x v="21"/>
    <n v="238.72222222222223"/>
    <d v="2022-09-29T00:00:00"/>
    <n v="548"/>
    <x v="2"/>
  </r>
  <r>
    <n v="36"/>
    <n v="237"/>
    <n v="336"/>
    <n v="1"/>
    <n v="336"/>
    <x v="35"/>
    <x v="9"/>
    <n v="64"/>
    <x v="17"/>
    <n v="267.85483870967744"/>
    <n v="0.25441079063045691"/>
    <x v="27"/>
    <n v="288.23809523809524"/>
    <d v="2022-05-26T00:00:00"/>
    <n v="264"/>
    <x v="0"/>
  </r>
  <r>
    <n v="37"/>
    <n v="8"/>
    <n v="480"/>
    <n v="4"/>
    <n v="1920"/>
    <x v="36"/>
    <x v="14"/>
    <n v="318"/>
    <x v="3"/>
    <n v="265.47674418604652"/>
    <n v="0.80806797774955097"/>
    <x v="16"/>
    <n v="276.67567567567568"/>
    <d v="2022-11-27T00:00:00"/>
    <n v="55"/>
    <x v="0"/>
  </r>
  <r>
    <n v="38"/>
    <n v="65"/>
    <n v="214"/>
    <n v="3"/>
    <n v="642"/>
    <x v="37"/>
    <x v="0"/>
    <n v="239"/>
    <x v="16"/>
    <n v="300.31818181818181"/>
    <n v="-0.28742243075525953"/>
    <x v="24"/>
    <n v="281.73333333333335"/>
    <d v="2022-07-25T00:00:00"/>
    <n v="362"/>
    <x v="0"/>
  </r>
  <r>
    <n v="39"/>
    <n v="45"/>
    <n v="60"/>
    <n v="2"/>
    <n v="120"/>
    <x v="38"/>
    <x v="15"/>
    <n v="194"/>
    <x v="5"/>
    <n v="268.60344827586209"/>
    <n v="-0.77662237627575581"/>
    <x v="28"/>
    <n v="242.81818181818181"/>
    <d v="2022-12-29T00:00:00"/>
    <n v="482"/>
    <x v="2"/>
  </r>
  <r>
    <n v="40"/>
    <n v="36"/>
    <n v="414"/>
    <n v="3"/>
    <n v="1242"/>
    <x v="39"/>
    <x v="6"/>
    <n v="267"/>
    <x v="3"/>
    <n v="265.47674418604652"/>
    <n v="0.55945863080898772"/>
    <x v="29"/>
    <n v="235.55555555555554"/>
    <d v="2022-12-15T00:00:00"/>
    <n v="207"/>
    <x v="2"/>
  </r>
  <r>
    <n v="41"/>
    <n v="443"/>
    <n v="62"/>
    <n v="3"/>
    <n v="186"/>
    <x v="40"/>
    <x v="4"/>
    <n v="334"/>
    <x v="7"/>
    <n v="249.02380952380952"/>
    <n v="-0.75102782292762216"/>
    <x v="7"/>
    <n v="276.21052631578948"/>
    <d v="2022-11-16T00:00:00"/>
    <n v="313"/>
    <x v="3"/>
  </r>
  <r>
    <n v="42"/>
    <n v="384"/>
    <n v="357"/>
    <n v="1"/>
    <n v="357"/>
    <x v="41"/>
    <x v="16"/>
    <n v="47"/>
    <x v="0"/>
    <n v="252.76271186440678"/>
    <n v="0.41239187286260304"/>
    <x v="11"/>
    <n v="240.26666666666668"/>
    <d v="2022-05-12T00:00:00"/>
    <n v="503"/>
    <x v="1"/>
  </r>
  <r>
    <n v="43"/>
    <n v="41"/>
    <n v="493"/>
    <n v="3"/>
    <n v="1479"/>
    <x v="42"/>
    <x v="1"/>
    <n v="287"/>
    <x v="13"/>
    <n v="258.375"/>
    <n v="0.90807934204160623"/>
    <x v="30"/>
    <n v="317.85714285714283"/>
    <d v="2022-02-16T00:00:00"/>
    <n v="496"/>
    <x v="2"/>
  </r>
  <r>
    <n v="44"/>
    <n v="484"/>
    <n v="305"/>
    <n v="2"/>
    <n v="610"/>
    <x v="43"/>
    <x v="11"/>
    <n v="145"/>
    <x v="2"/>
    <n v="283.468085106383"/>
    <n v="7.5958868122795176E-2"/>
    <x v="31"/>
    <n v="323.07692307692309"/>
    <d v="2022-04-02T00:00:00"/>
    <n v="581"/>
    <x v="3"/>
  </r>
  <r>
    <n v="45"/>
    <n v="7"/>
    <n v="162"/>
    <n v="4"/>
    <n v="648"/>
    <x v="44"/>
    <x v="8"/>
    <n v="270"/>
    <x v="11"/>
    <n v="262.63492063492066"/>
    <n v="-0.3831741810709538"/>
    <x v="21"/>
    <n v="238.72222222222223"/>
    <d v="2022-09-23T00:00:00"/>
    <n v="560"/>
    <x v="4"/>
  </r>
  <r>
    <n v="46"/>
    <n v="390"/>
    <n v="78"/>
    <n v="1"/>
    <n v="78"/>
    <x v="45"/>
    <x v="7"/>
    <n v="64"/>
    <x v="5"/>
    <n v="268.60344827586209"/>
    <n v="-0.70960908915848253"/>
    <x v="32"/>
    <n v="254.18181818181819"/>
    <d v="2022-05-26T00:00:00"/>
    <n v="269"/>
    <x v="0"/>
  </r>
  <r>
    <n v="47"/>
    <n v="57"/>
    <n v="343"/>
    <n v="5"/>
    <n v="1715"/>
    <x v="46"/>
    <x v="1"/>
    <n v="183"/>
    <x v="2"/>
    <n v="283.468085106383"/>
    <n v="0.21001275988891388"/>
    <x v="2"/>
    <n v="232.44444444444446"/>
    <d v="2022-12-05T00:00:00"/>
    <n v="163"/>
    <x v="4"/>
  </r>
  <r>
    <n v="48"/>
    <n v="285"/>
    <n v="498"/>
    <n v="4"/>
    <n v="1992"/>
    <x v="47"/>
    <x v="9"/>
    <n v="2"/>
    <x v="3"/>
    <n v="265.47674418604652"/>
    <n v="0.87587052691515921"/>
    <x v="16"/>
    <n v="276.67567567567568"/>
    <d v="2022-08-02T00:00:00"/>
    <n v="433"/>
    <x v="0"/>
  </r>
  <r>
    <n v="49"/>
    <n v="299"/>
    <n v="133"/>
    <n v="1"/>
    <n v="133"/>
    <x v="42"/>
    <x v="8"/>
    <n v="204"/>
    <x v="8"/>
    <n v="271.18181818181819"/>
    <n v="-0.50955414012738853"/>
    <x v="14"/>
    <n v="260.15789473684208"/>
    <d v="2022-11-02T00:00:00"/>
    <n v="237"/>
    <x v="2"/>
  </r>
  <r>
    <n v="50"/>
    <n v="444"/>
    <n v="311"/>
    <n v="4"/>
    <n v="1244"/>
    <x v="48"/>
    <x v="15"/>
    <n v="229"/>
    <x v="9"/>
    <n v="263.25423728813558"/>
    <n v="0.18136749935616803"/>
    <x v="33"/>
    <n v="248.5"/>
    <d v="2022-07-24T00:00:00"/>
    <n v="632"/>
    <x v="1"/>
  </r>
  <r>
    <n v="51"/>
    <n v="35"/>
    <n v="242"/>
    <n v="2"/>
    <n v="484"/>
    <x v="49"/>
    <x v="14"/>
    <n v="385"/>
    <x v="18"/>
    <n v="255.11627906976744"/>
    <n v="-5.1412944393801285E-2"/>
    <x v="34"/>
    <n v="250.30769230769232"/>
    <d v="2022-07-11T00:00:00"/>
    <n v="486"/>
    <x v="3"/>
  </r>
  <r>
    <n v="52"/>
    <n v="296"/>
    <n v="101"/>
    <n v="3"/>
    <n v="303"/>
    <x v="50"/>
    <x v="11"/>
    <n v="407"/>
    <x v="18"/>
    <n v="255.11627906976744"/>
    <n v="-0.60410209662716507"/>
    <x v="34"/>
    <n v="250.30769230769232"/>
    <d v="2022-03-01T00:00:00"/>
    <n v="459"/>
    <x v="1"/>
  </r>
  <r>
    <n v="53"/>
    <n v="227"/>
    <n v="65"/>
    <n v="1"/>
    <n v="65"/>
    <x v="51"/>
    <x v="2"/>
    <n v="493"/>
    <x v="3"/>
    <n v="265.47674418604652"/>
    <n v="-0.75515746134641493"/>
    <x v="19"/>
    <n v="329.27272727272725"/>
    <d v="2022-10-21T00:00:00"/>
    <n v="453"/>
    <x v="3"/>
  </r>
  <r>
    <n v="54"/>
    <n v="167"/>
    <n v="143"/>
    <n v="3"/>
    <n v="429"/>
    <x v="52"/>
    <x v="14"/>
    <n v="34"/>
    <x v="10"/>
    <n v="271.74545454545455"/>
    <n v="-0.47377224675498464"/>
    <x v="12"/>
    <n v="212.8125"/>
    <d v="2022-04-03T00:00:00"/>
    <n v="592"/>
    <x v="4"/>
  </r>
  <r>
    <n v="55"/>
    <n v="146"/>
    <n v="402"/>
    <n v="5"/>
    <n v="2010"/>
    <x v="53"/>
    <x v="5"/>
    <n v="190"/>
    <x v="5"/>
    <n v="268.60344827586209"/>
    <n v="0.49663007895243583"/>
    <x v="28"/>
    <n v="242.81818181818181"/>
    <d v="2022-05-08T00:00:00"/>
    <n v="667"/>
    <x v="1"/>
  </r>
  <r>
    <n v="56"/>
    <n v="338"/>
    <n v="97"/>
    <n v="1"/>
    <n v="97"/>
    <x v="43"/>
    <x v="9"/>
    <n v="266"/>
    <x v="11"/>
    <n v="262.63492063492066"/>
    <n v="-0.6306660219992748"/>
    <x v="21"/>
    <n v="238.72222222222223"/>
    <d v="2022-08-22T00:00:00"/>
    <n v="439"/>
    <x v="2"/>
  </r>
  <r>
    <n v="57"/>
    <n v="155"/>
    <n v="482"/>
    <n v="1"/>
    <n v="482"/>
    <x v="54"/>
    <x v="6"/>
    <n v="222"/>
    <x v="9"/>
    <n v="263.25423728813558"/>
    <n v="0.83092969353592583"/>
    <x v="33"/>
    <n v="248.5"/>
    <d v="2022-05-13T00:00:00"/>
    <n v="706"/>
    <x v="3"/>
  </r>
  <r>
    <n v="58"/>
    <n v="239"/>
    <n v="59"/>
    <n v="1"/>
    <n v="59"/>
    <x v="55"/>
    <x v="17"/>
    <n v="382"/>
    <x v="9"/>
    <n v="263.25423728813558"/>
    <n v="-0.77588204996137011"/>
    <x v="33"/>
    <n v="248.5"/>
    <d v="2022-10-16T00:00:00"/>
    <n v="364"/>
    <x v="1"/>
  </r>
  <r>
    <n v="59"/>
    <n v="158"/>
    <n v="87"/>
    <n v="4"/>
    <n v="348"/>
    <x v="56"/>
    <x v="8"/>
    <n v="142"/>
    <x v="0"/>
    <n v="252.76271186440678"/>
    <n v="-0.65580366123516398"/>
    <x v="11"/>
    <n v="240.26666666666668"/>
    <d v="2022-05-02T00:00:00"/>
    <n v="740"/>
    <x v="2"/>
  </r>
  <r>
    <n v="60"/>
    <n v="147"/>
    <n v="238"/>
    <n v="5"/>
    <n v="1190"/>
    <x v="57"/>
    <x v="7"/>
    <n v="270"/>
    <x v="17"/>
    <n v="267.85483870967744"/>
    <n v="-0.11145902330342627"/>
    <x v="35"/>
    <n v="250.25925925925927"/>
    <d v="2022-09-23T00:00:00"/>
    <n v="154"/>
    <x v="4"/>
  </r>
  <r>
    <n v="61"/>
    <n v="311"/>
    <n v="238"/>
    <n v="5"/>
    <n v="1190"/>
    <x v="58"/>
    <x v="7"/>
    <n v="150"/>
    <x v="3"/>
    <n v="265.47674418604652"/>
    <n v="-0.10349962769918097"/>
    <x v="16"/>
    <n v="276.67567567567568"/>
    <d v="2022-03-02T00:00:00"/>
    <n v="623"/>
    <x v="0"/>
  </r>
  <r>
    <n v="62"/>
    <n v="465"/>
    <n v="311"/>
    <n v="2"/>
    <n v="622"/>
    <x v="59"/>
    <x v="1"/>
    <n v="14"/>
    <x v="9"/>
    <n v="263.25423728813558"/>
    <n v="0.18136749935616803"/>
    <x v="9"/>
    <n v="257.78260869565219"/>
    <d v="2022-08-02T00:00:00"/>
    <n v="159"/>
    <x v="4"/>
  </r>
  <r>
    <n v="63"/>
    <n v="449"/>
    <n v="392"/>
    <n v="3"/>
    <n v="1176"/>
    <x v="33"/>
    <x v="11"/>
    <n v="371"/>
    <x v="10"/>
    <n v="271.74545454545455"/>
    <n v="0.44252642847584633"/>
    <x v="10"/>
    <n v="311.2"/>
    <d v="2022-10-10T00:00:00"/>
    <n v="423"/>
    <x v="3"/>
  </r>
  <r>
    <n v="64"/>
    <n v="144"/>
    <n v="473"/>
    <n v="5"/>
    <n v="2365"/>
    <x v="60"/>
    <x v="9"/>
    <n v="328"/>
    <x v="3"/>
    <n v="265.47674418604652"/>
    <n v="0.78170031974070331"/>
    <x v="29"/>
    <n v="235.55555555555554"/>
    <d v="2022-01-07T00:00:00"/>
    <n v="712"/>
    <x v="2"/>
  </r>
  <r>
    <n v="65"/>
    <n v="375"/>
    <n v="231"/>
    <n v="2"/>
    <n v="462"/>
    <x v="61"/>
    <x v="10"/>
    <n v="171"/>
    <x v="3"/>
    <n v="265.47674418604652"/>
    <n v="-0.12986728570802852"/>
    <x v="3"/>
    <n v="236.27586206896552"/>
    <d v="2022-05-29T00:00:00"/>
    <n v="404"/>
    <x v="2"/>
  </r>
  <r>
    <n v="66"/>
    <n v="408"/>
    <n v="438"/>
    <n v="3"/>
    <n v="1314"/>
    <x v="62"/>
    <x v="11"/>
    <n v="68"/>
    <x v="9"/>
    <n v="263.25423728813558"/>
    <n v="0.66379088333762559"/>
    <x v="33"/>
    <n v="248.5"/>
    <d v="2022-11-17T00:00:00"/>
    <n v="91"/>
    <x v="0"/>
  </r>
  <r>
    <n v="67"/>
    <n v="425"/>
    <n v="365"/>
    <n v="2"/>
    <n v="730"/>
    <x v="63"/>
    <x v="13"/>
    <n v="346"/>
    <x v="1"/>
    <n v="264.8679245283019"/>
    <n v="0.37804530559908822"/>
    <x v="13"/>
    <n v="320.84615384615387"/>
    <d v="2022-03-16T00:00:00"/>
    <n v="353"/>
    <x v="2"/>
  </r>
  <r>
    <n v="68"/>
    <n v="277"/>
    <n v="324"/>
    <n v="2"/>
    <n v="648"/>
    <x v="64"/>
    <x v="13"/>
    <n v="415"/>
    <x v="8"/>
    <n v="271.18181818181819"/>
    <n v="0.19477036540395565"/>
    <x v="8"/>
    <n v="291.45454545454544"/>
    <d v="2022-04-10T00:00:00"/>
    <n v="626"/>
    <x v="3"/>
  </r>
  <r>
    <n v="69"/>
    <n v="130"/>
    <n v="208"/>
    <n v="5"/>
    <n v="1040"/>
    <x v="65"/>
    <x v="7"/>
    <n v="115"/>
    <x v="1"/>
    <n v="264.8679245283019"/>
    <n v="-0.21470294913805388"/>
    <x v="1"/>
    <n v="238.16666666666666"/>
    <d v="2022-09-28T00:00:00"/>
    <n v="143"/>
    <x v="1"/>
  </r>
  <r>
    <n v="70"/>
    <n v="337"/>
    <n v="115"/>
    <n v="3"/>
    <n v="345"/>
    <x v="66"/>
    <x v="0"/>
    <n v="42"/>
    <x v="3"/>
    <n v="265.47674418604652"/>
    <n v="-0.56681704699750335"/>
    <x v="16"/>
    <n v="276.67567567567568"/>
    <d v="2022-08-10T00:00:00"/>
    <n v="263"/>
    <x v="4"/>
  </r>
  <r>
    <n v="71"/>
    <n v="30"/>
    <n v="261"/>
    <n v="1"/>
    <n v="261"/>
    <x v="67"/>
    <x v="14"/>
    <n v="378"/>
    <x v="14"/>
    <n v="273.72549019607845"/>
    <n v="-4.6489971346704961E-2"/>
    <x v="22"/>
    <n v="280.23809523809524"/>
    <d v="2022-05-29T00:00:00"/>
    <n v="290"/>
    <x v="2"/>
  </r>
  <r>
    <n v="72"/>
    <n v="75"/>
    <n v="257"/>
    <n v="2"/>
    <n v="514"/>
    <x v="68"/>
    <x v="17"/>
    <n v="449"/>
    <x v="2"/>
    <n v="283.468085106383"/>
    <n v="-9.3372363581775919E-2"/>
    <x v="36"/>
    <n v="249.5"/>
    <d v="2022-03-25T00:00:00"/>
    <n v="661"/>
    <x v="4"/>
  </r>
  <r>
    <n v="73"/>
    <n v="118"/>
    <n v="459"/>
    <n v="2"/>
    <n v="918"/>
    <x v="69"/>
    <x v="9"/>
    <n v="318"/>
    <x v="0"/>
    <n v="252.76271186440678"/>
    <n v="0.81593240796620403"/>
    <x v="0"/>
    <n v="240.5"/>
    <d v="2022-11-27T00:00:00"/>
    <n v="101"/>
    <x v="0"/>
  </r>
  <r>
    <n v="74"/>
    <n v="19"/>
    <n v="112"/>
    <n v="4"/>
    <n v="448"/>
    <x v="70"/>
    <x v="9"/>
    <n v="317"/>
    <x v="10"/>
    <n v="271.74545454545455"/>
    <n v="-0.58784959186404384"/>
    <x v="37"/>
    <n v="272.35294117647061"/>
    <d v="2022-07-28T00:00:00"/>
    <n v="590"/>
    <x v="2"/>
  </r>
  <r>
    <n v="75"/>
    <n v="204"/>
    <n v="491"/>
    <n v="4"/>
    <n v="1964"/>
    <x v="71"/>
    <x v="10"/>
    <n v="426"/>
    <x v="2"/>
    <n v="283.468085106383"/>
    <n v="0.73211739097800788"/>
    <x v="2"/>
    <n v="232.44444444444446"/>
    <d v="2022-07-26T00:00:00"/>
    <n v="162"/>
    <x v="4"/>
  </r>
  <r>
    <n v="76"/>
    <n v="304"/>
    <n v="162"/>
    <n v="1"/>
    <n v="162"/>
    <x v="72"/>
    <x v="7"/>
    <n v="25"/>
    <x v="17"/>
    <n v="267.85483870967744"/>
    <n v="-0.39519479737460106"/>
    <x v="27"/>
    <n v="288.23809523809524"/>
    <d v="2022-01-21T00:00:00"/>
    <n v="734"/>
    <x v="4"/>
  </r>
  <r>
    <n v="77"/>
    <n v="189"/>
    <n v="278"/>
    <n v="2"/>
    <n v="556"/>
    <x v="73"/>
    <x v="15"/>
    <n v="462"/>
    <x v="16"/>
    <n v="300.31818181818181"/>
    <n v="-7.4315120326925999E-2"/>
    <x v="38"/>
    <n v="264"/>
    <d v="2022-07-09T00:00:00"/>
    <n v="358"/>
    <x v="2"/>
  </r>
  <r>
    <n v="78"/>
    <n v="392"/>
    <n v="484"/>
    <n v="4"/>
    <n v="1936"/>
    <x v="74"/>
    <x v="2"/>
    <n v="252"/>
    <x v="7"/>
    <n v="249.02380952380952"/>
    <n v="0.94358925327469167"/>
    <x v="39"/>
    <n v="222.2"/>
    <d v="2022-03-23T00:00:00"/>
    <n v="659"/>
    <x v="2"/>
  </r>
  <r>
    <n v="79"/>
    <n v="10"/>
    <n v="53"/>
    <n v="1"/>
    <n v="53"/>
    <x v="75"/>
    <x v="17"/>
    <n v="392"/>
    <x v="5"/>
    <n v="268.60344827586209"/>
    <n v="-0.80268309904358437"/>
    <x v="5"/>
    <n v="281.96875"/>
    <d v="2022-12-24T00:00:00"/>
    <n v="245"/>
    <x v="2"/>
  </r>
  <r>
    <n v="80"/>
    <n v="64"/>
    <n v="131"/>
    <n v="5"/>
    <n v="655"/>
    <x v="76"/>
    <x v="7"/>
    <n v="487"/>
    <x v="19"/>
    <n v="286.92307692307691"/>
    <n v="-0.54343163538873984"/>
    <x v="40"/>
    <n v="273.58333333333331"/>
    <d v="2022-09-11T00:00:00"/>
    <n v="131"/>
    <x v="2"/>
  </r>
  <r>
    <n v="81"/>
    <n v="116"/>
    <n v="120"/>
    <n v="2"/>
    <n v="240"/>
    <x v="24"/>
    <x v="18"/>
    <n v="332"/>
    <x v="1"/>
    <n v="264.8679245283019"/>
    <n v="-0.54694400911810803"/>
    <x v="13"/>
    <n v="320.84615384615387"/>
    <d v="2022-10-24T00:00:00"/>
    <n v="468"/>
    <x v="0"/>
  </r>
  <r>
    <n v="82"/>
    <n v="334"/>
    <n v="396"/>
    <n v="4"/>
    <n v="1584"/>
    <x v="77"/>
    <x v="17"/>
    <n v="134"/>
    <x v="15"/>
    <n v="294.95238095238096"/>
    <n v="0.34258960284145945"/>
    <x v="41"/>
    <n v="274.77777777777777"/>
    <d v="2022-07-11T00:00:00"/>
    <n v="420"/>
    <x v="2"/>
  </r>
  <r>
    <n v="83"/>
    <n v="345"/>
    <n v="267"/>
    <n v="5"/>
    <n v="1335"/>
    <x v="78"/>
    <x v="1"/>
    <n v="287"/>
    <x v="17"/>
    <n v="267.85483870967744"/>
    <n v="-3.1914253025833172E-3"/>
    <x v="27"/>
    <n v="288.23809523809524"/>
    <d v="2022-02-16T00:00:00"/>
    <n v="396"/>
    <x v="2"/>
  </r>
  <r>
    <n v="84"/>
    <n v="281"/>
    <n v="371"/>
    <n v="1"/>
    <n v="371"/>
    <x v="69"/>
    <x v="14"/>
    <n v="11"/>
    <x v="8"/>
    <n v="271.18181818181819"/>
    <n v="0.36808581964465303"/>
    <x v="14"/>
    <n v="260.15789473684208"/>
    <d v="2022-05-09T00:00:00"/>
    <n v="303"/>
    <x v="4"/>
  </r>
  <r>
    <n v="85"/>
    <n v="276"/>
    <n v="295"/>
    <n v="1"/>
    <n v="295"/>
    <x v="79"/>
    <x v="9"/>
    <n v="458"/>
    <x v="19"/>
    <n v="286.92307692307691"/>
    <n v="2.8150134048257502E-2"/>
    <x v="42"/>
    <n v="312.66666666666669"/>
    <d v="2022-05-13T00:00:00"/>
    <n v="578"/>
    <x v="2"/>
  </r>
  <r>
    <n v="86"/>
    <n v="234"/>
    <n v="75"/>
    <n v="5"/>
    <n v="375"/>
    <x v="80"/>
    <x v="15"/>
    <n v="130"/>
    <x v="8"/>
    <n v="271.18181818181819"/>
    <n v="-0.72343278578612136"/>
    <x v="8"/>
    <n v="291.45454545454544"/>
    <d v="2022-10-29T00:00:00"/>
    <n v="76"/>
    <x v="4"/>
  </r>
  <r>
    <n v="87"/>
    <n v="319"/>
    <n v="247"/>
    <n v="2"/>
    <n v="494"/>
    <x v="81"/>
    <x v="0"/>
    <n v="330"/>
    <x v="9"/>
    <n v="263.25423728813558"/>
    <n v="-6.1743497295905225E-2"/>
    <x v="33"/>
    <n v="248.5"/>
    <d v="2022-09-11T00:00:00"/>
    <n v="374"/>
    <x v="0"/>
  </r>
  <r>
    <n v="88"/>
    <n v="375"/>
    <n v="281"/>
    <n v="2"/>
    <n v="562"/>
    <x v="82"/>
    <x v="9"/>
    <n v="167"/>
    <x v="3"/>
    <n v="265.47674418604652"/>
    <n v="5.8473128640883054E-2"/>
    <x v="3"/>
    <n v="236.27586206896552"/>
    <d v="2022-01-02T00:00:00"/>
    <n v="516"/>
    <x v="0"/>
  </r>
  <r>
    <n v="89"/>
    <n v="443"/>
    <n v="136"/>
    <n v="2"/>
    <n v="272"/>
    <x v="83"/>
    <x v="17"/>
    <n v="140"/>
    <x v="7"/>
    <n v="249.02380952380952"/>
    <n v="-0.45386748255091303"/>
    <x v="7"/>
    <n v="276.21052631578948"/>
    <d v="2022-03-07T00:00:00"/>
    <n v="300"/>
    <x v="2"/>
  </r>
  <r>
    <n v="90"/>
    <n v="30"/>
    <n v="142"/>
    <n v="5"/>
    <n v="710"/>
    <x v="84"/>
    <x v="15"/>
    <n v="423"/>
    <x v="14"/>
    <n v="273.72549019607845"/>
    <n v="-0.48123209169054448"/>
    <x v="22"/>
    <n v="280.23809523809524"/>
    <d v="2022-10-07T00:00:00"/>
    <n v="385"/>
    <x v="1"/>
  </r>
  <r>
    <n v="91"/>
    <n v="24"/>
    <n v="414"/>
    <n v="1"/>
    <n v="414"/>
    <x v="85"/>
    <x v="4"/>
    <n v="365"/>
    <x v="9"/>
    <n v="263.25423728813558"/>
    <n v="0.57262425959309815"/>
    <x v="43"/>
    <n v="287.10000000000002"/>
    <d v="2022-10-07T00:00:00"/>
    <n v="547"/>
    <x v="1"/>
  </r>
  <r>
    <n v="92"/>
    <n v="357"/>
    <n v="206"/>
    <n v="2"/>
    <n v="412"/>
    <x v="86"/>
    <x v="18"/>
    <n v="452"/>
    <x v="10"/>
    <n v="271.74545454545455"/>
    <n v="-0.24193764217850933"/>
    <x v="37"/>
    <n v="272.35294117647061"/>
    <d v="2022-07-27T00:00:00"/>
    <n v="655"/>
    <x v="2"/>
  </r>
  <r>
    <n v="93"/>
    <n v="265"/>
    <n v="66"/>
    <n v="1"/>
    <n v="66"/>
    <x v="87"/>
    <x v="16"/>
    <n v="424"/>
    <x v="10"/>
    <n v="271.74545454545455"/>
    <n v="-0.75712565234845441"/>
    <x v="15"/>
    <n v="316.58333333333331"/>
    <d v="2022-01-24T00:00:00"/>
    <n v="598"/>
    <x v="2"/>
  </r>
  <r>
    <n v="94"/>
    <n v="102"/>
    <n v="452"/>
    <n v="1"/>
    <n v="452"/>
    <x v="88"/>
    <x v="13"/>
    <n v="75"/>
    <x v="2"/>
    <n v="283.468085106383"/>
    <n v="0.59453576521804385"/>
    <x v="36"/>
    <n v="249.5"/>
    <d v="2022-08-23T00:00:00"/>
    <n v="422"/>
    <x v="3"/>
  </r>
  <r>
    <n v="95"/>
    <n v="212"/>
    <n v="175"/>
    <n v="1"/>
    <n v="175"/>
    <x v="89"/>
    <x v="19"/>
    <n v="385"/>
    <x v="14"/>
    <n v="273.72549019607845"/>
    <n v="-0.36067335243553011"/>
    <x v="44"/>
    <n v="320.57142857142856"/>
    <d v="2022-07-11T00:00:00"/>
    <n v="537"/>
    <x v="3"/>
  </r>
  <r>
    <n v="96"/>
    <n v="215"/>
    <n v="109"/>
    <n v="1"/>
    <n v="109"/>
    <x v="90"/>
    <x v="9"/>
    <n v="71"/>
    <x v="5"/>
    <n v="268.60344827586209"/>
    <n v="-0.59419731690095645"/>
    <x v="5"/>
    <n v="281.96875"/>
    <d v="2022-07-20T00:00:00"/>
    <n v="473"/>
    <x v="3"/>
  </r>
  <r>
    <n v="97"/>
    <n v="364"/>
    <n v="323"/>
    <n v="2"/>
    <n v="646"/>
    <x v="91"/>
    <x v="17"/>
    <n v="313"/>
    <x v="0"/>
    <n v="252.76271186440678"/>
    <n v="0.27787836116140285"/>
    <x v="45"/>
    <n v="293.41176470588238"/>
    <d v="2022-12-01T00:00:00"/>
    <n v="301"/>
    <x v="0"/>
  </r>
  <r>
    <n v="98"/>
    <n v="499"/>
    <n v="96"/>
    <n v="1"/>
    <n v="96"/>
    <x v="92"/>
    <x v="5"/>
    <n v="239"/>
    <x v="2"/>
    <n v="283.468085106383"/>
    <n v="-0.66133753659085792"/>
    <x v="46"/>
    <n v="321.63636363636363"/>
    <d v="2022-07-25T00:00:00"/>
    <n v="175"/>
    <x v="0"/>
  </r>
  <r>
    <n v="99"/>
    <n v="202"/>
    <n v="422"/>
    <n v="2"/>
    <n v="844"/>
    <x v="93"/>
    <x v="5"/>
    <n v="301"/>
    <x v="4"/>
    <n v="250.48780487804879"/>
    <n v="0.68471275559883149"/>
    <x v="25"/>
    <n v="303.8235294117647"/>
    <d v="2022-06-02T00:00:00"/>
    <n v="363"/>
    <x v="2"/>
  </r>
  <r>
    <n v="100"/>
    <n v="244"/>
    <n v="57"/>
    <n v="3"/>
    <n v="171"/>
    <x v="94"/>
    <x v="18"/>
    <n v="359"/>
    <x v="10"/>
    <n v="271.74545454545455"/>
    <n v="-0.79024488157366524"/>
    <x v="12"/>
    <n v="212.8125"/>
    <d v="2022-01-23T00:00:00"/>
    <n v="747"/>
    <x v="2"/>
  </r>
  <r>
    <n v="101"/>
    <n v="363"/>
    <n v="414"/>
    <n v="4"/>
    <n v="1656"/>
    <x v="95"/>
    <x v="17"/>
    <n v="474"/>
    <x v="16"/>
    <n v="300.31818181818181"/>
    <n v="0.37853791433328299"/>
    <x v="38"/>
    <n v="264"/>
    <d v="2022-02-13T00:00:00"/>
    <n v="605"/>
    <x v="2"/>
  </r>
  <r>
    <n v="102"/>
    <n v="212"/>
    <n v="320"/>
    <n v="5"/>
    <n v="1600"/>
    <x v="96"/>
    <x v="2"/>
    <n v="111"/>
    <x v="14"/>
    <n v="273.72549019607845"/>
    <n v="0.16905444126074487"/>
    <x v="44"/>
    <n v="320.57142857142856"/>
    <d v="2022-08-31T00:00:00"/>
    <n v="278"/>
    <x v="0"/>
  </r>
  <r>
    <n v="103"/>
    <n v="434"/>
    <n v="272"/>
    <n v="2"/>
    <n v="544"/>
    <x v="25"/>
    <x v="5"/>
    <n v="126"/>
    <x v="11"/>
    <n v="262.63492063492066"/>
    <n v="3.5658165115435736E-2"/>
    <x v="47"/>
    <n v="271"/>
    <d v="2022-09-18T00:00:00"/>
    <n v="352"/>
    <x v="0"/>
  </r>
  <r>
    <n v="104"/>
    <n v="305"/>
    <n v="419"/>
    <n v="4"/>
    <n v="1676"/>
    <x v="97"/>
    <x v="19"/>
    <n v="356"/>
    <x v="2"/>
    <n v="283.468085106383"/>
    <n v="0.47812054342115129"/>
    <x v="46"/>
    <n v="321.63636363636363"/>
    <d v="2022-01-09T00:00:00"/>
    <n v="601"/>
    <x v="4"/>
  </r>
  <r>
    <n v="105"/>
    <n v="37"/>
    <n v="478"/>
    <n v="4"/>
    <n v="1912"/>
    <x v="98"/>
    <x v="4"/>
    <n v="166"/>
    <x v="1"/>
    <n v="264.8679245283019"/>
    <n v="0.80467303034620308"/>
    <x v="1"/>
    <n v="238.16666666666666"/>
    <d v="2022-08-23T00:00:00"/>
    <n v="463"/>
    <x v="0"/>
  </r>
  <r>
    <n v="106"/>
    <n v="242"/>
    <n v="333"/>
    <n v="3"/>
    <n v="999"/>
    <x v="64"/>
    <x v="2"/>
    <n v="162"/>
    <x v="4"/>
    <n v="250.48780487804879"/>
    <n v="0.32940603700097371"/>
    <x v="25"/>
    <n v="303.8235294117647"/>
    <d v="2022-03-19T00:00:00"/>
    <n v="648"/>
    <x v="4"/>
  </r>
  <r>
    <n v="107"/>
    <n v="332"/>
    <n v="327"/>
    <n v="2"/>
    <n v="654"/>
    <x v="99"/>
    <x v="11"/>
    <n v="459"/>
    <x v="8"/>
    <n v="271.18181818181819"/>
    <n v="0.20583305397251084"/>
    <x v="48"/>
    <n v="281.75"/>
    <d v="2022-07-01T00:00:00"/>
    <n v="352"/>
    <x v="2"/>
  </r>
  <r>
    <n v="108"/>
    <n v="452"/>
    <n v="89"/>
    <n v="3"/>
    <n v="267"/>
    <x v="100"/>
    <x v="14"/>
    <n v="211"/>
    <x v="12"/>
    <n v="274.16279069767444"/>
    <n v="-0.67537534990245152"/>
    <x v="18"/>
    <n v="253.6875"/>
    <d v="2022-03-01T00:00:00"/>
    <n v="412"/>
    <x v="3"/>
  </r>
  <r>
    <n v="109"/>
    <n v="452"/>
    <n v="78"/>
    <n v="3"/>
    <n v="234"/>
    <x v="101"/>
    <x v="2"/>
    <n v="132"/>
    <x v="12"/>
    <n v="274.16279069767444"/>
    <n v="-0.71549749766731696"/>
    <x v="18"/>
    <n v="253.6875"/>
    <d v="2022-02-09T00:00:00"/>
    <n v="684"/>
    <x v="3"/>
  </r>
  <r>
    <n v="110"/>
    <n v="132"/>
    <n v="278"/>
    <n v="3"/>
    <n v="834"/>
    <x v="102"/>
    <x v="3"/>
    <n v="236"/>
    <x v="6"/>
    <n v="258.5128205128205"/>
    <n v="7.5381868676849928E-2"/>
    <x v="6"/>
    <n v="260.64705882352939"/>
    <d v="2022-09-16T00:00:00"/>
    <n v="193"/>
    <x v="0"/>
  </r>
  <r>
    <n v="111"/>
    <n v="457"/>
    <n v="211"/>
    <n v="4"/>
    <n v="844"/>
    <x v="103"/>
    <x v="9"/>
    <n v="333"/>
    <x v="5"/>
    <n v="268.60344827586209"/>
    <n v="-0.21445535656974135"/>
    <x v="49"/>
    <n v="272.25"/>
    <d v="2022-10-23T00:00:00"/>
    <n v="182"/>
    <x v="2"/>
  </r>
  <r>
    <n v="112"/>
    <n v="250"/>
    <n v="97"/>
    <n v="5"/>
    <n v="485"/>
    <x v="55"/>
    <x v="19"/>
    <n v="298"/>
    <x v="12"/>
    <n v="274.16279069767444"/>
    <n v="-0.64619560607345838"/>
    <x v="50"/>
    <n v="280.66666666666669"/>
    <d v="2022-09-17T00:00:00"/>
    <n v="393"/>
    <x v="3"/>
  </r>
  <r>
    <n v="113"/>
    <n v="195"/>
    <n v="240"/>
    <n v="2"/>
    <n v="480"/>
    <x v="104"/>
    <x v="6"/>
    <n v="273"/>
    <x v="16"/>
    <n v="300.31818181818181"/>
    <n v="-0.20084758589374907"/>
    <x v="51"/>
    <n v="331.16666666666669"/>
    <d v="2022-02-07T00:00:00"/>
    <n v="678"/>
    <x v="0"/>
  </r>
  <r>
    <n v="114"/>
    <n v="186"/>
    <n v="244"/>
    <n v="1"/>
    <n v="244"/>
    <x v="105"/>
    <x v="9"/>
    <n v="321"/>
    <x v="11"/>
    <n v="262.63492063492066"/>
    <n v="-7.0953704822918073E-2"/>
    <x v="21"/>
    <n v="238.72222222222223"/>
    <d v="2022-07-14T00:00:00"/>
    <n v="420"/>
    <x v="4"/>
  </r>
  <r>
    <n v="115"/>
    <n v="490"/>
    <n v="219"/>
    <n v="1"/>
    <n v="219"/>
    <x v="106"/>
    <x v="12"/>
    <n v="119"/>
    <x v="11"/>
    <n v="262.63492063492066"/>
    <n v="-0.16614287441073383"/>
    <x v="47"/>
    <n v="271"/>
    <d v="2022-05-09T00:00:00"/>
    <n v="258"/>
    <x v="2"/>
  </r>
  <r>
    <n v="116"/>
    <n v="72"/>
    <n v="162"/>
    <n v="1"/>
    <n v="162"/>
    <x v="107"/>
    <x v="9"/>
    <n v="472"/>
    <x v="17"/>
    <n v="267.85483870967744"/>
    <n v="-0.39519479737460106"/>
    <x v="35"/>
    <n v="250.25925925925927"/>
    <d v="2022-12-06T00:00:00"/>
    <n v="58"/>
    <x v="3"/>
  </r>
  <r>
    <n v="117"/>
    <n v="430"/>
    <n v="119"/>
    <n v="3"/>
    <n v="357"/>
    <x v="108"/>
    <x v="16"/>
    <n v="396"/>
    <x v="8"/>
    <n v="271.18181818181819"/>
    <n v="-0.56118002011397916"/>
    <x v="52"/>
    <n v="243.3"/>
    <d v="2022-11-06T00:00:00"/>
    <n v="370"/>
    <x v="3"/>
  </r>
  <r>
    <n v="118"/>
    <n v="223"/>
    <n v="174"/>
    <n v="2"/>
    <n v="348"/>
    <x v="109"/>
    <x v="6"/>
    <n v="269"/>
    <x v="8"/>
    <n v="271.18181818181819"/>
    <n v="-0.35836406302380153"/>
    <x v="8"/>
    <n v="291.45454545454544"/>
    <d v="2022-06-08T00:00:00"/>
    <n v="618"/>
    <x v="2"/>
  </r>
  <r>
    <n v="119"/>
    <n v="164"/>
    <n v="229"/>
    <n v="3"/>
    <n v="687"/>
    <x v="110"/>
    <x v="14"/>
    <n v="16"/>
    <x v="15"/>
    <n v="294.95238095238096"/>
    <n v="-0.22360348724572165"/>
    <x v="53"/>
    <n v="322.54545454545456"/>
    <d v="2022-06-01T00:00:00"/>
    <n v="630"/>
    <x v="3"/>
  </r>
  <r>
    <n v="120"/>
    <n v="223"/>
    <n v="411"/>
    <n v="5"/>
    <n v="2055"/>
    <x v="20"/>
    <x v="15"/>
    <n v="281"/>
    <x v="8"/>
    <n v="271.18181818181819"/>
    <n v="0.51558833389205505"/>
    <x v="8"/>
    <n v="291.45454545454544"/>
    <d v="2022-05-30T00:00:00"/>
    <n v="533"/>
    <x v="0"/>
  </r>
  <r>
    <n v="121"/>
    <n v="244"/>
    <n v="245"/>
    <n v="4"/>
    <n v="980"/>
    <x v="111"/>
    <x v="17"/>
    <n v="149"/>
    <x v="10"/>
    <n v="271.74545454545455"/>
    <n v="-9.8420982202595986E-2"/>
    <x v="12"/>
    <n v="212.8125"/>
    <d v="2022-11-17T00:00:00"/>
    <n v="78"/>
    <x v="4"/>
  </r>
  <r>
    <n v="122"/>
    <n v="393"/>
    <n v="113"/>
    <n v="5"/>
    <n v="565"/>
    <x v="112"/>
    <x v="11"/>
    <n v="71"/>
    <x v="6"/>
    <n v="258.5128205128205"/>
    <n v="-0.56288434834358259"/>
    <x v="54"/>
    <n v="292.66666666666669"/>
    <d v="2022-07-20T00:00:00"/>
    <n v="671"/>
    <x v="3"/>
  </r>
  <r>
    <n v="123"/>
    <n v="166"/>
    <n v="73"/>
    <n v="4"/>
    <n v="292"/>
    <x v="72"/>
    <x v="16"/>
    <n v="126"/>
    <x v="5"/>
    <n v="268.60344827586209"/>
    <n v="-0.72822389113550301"/>
    <x v="28"/>
    <n v="242.81818181818181"/>
    <d v="2022-09-18T00:00:00"/>
    <n v="494"/>
    <x v="0"/>
  </r>
  <r>
    <n v="124"/>
    <n v="249"/>
    <n v="368"/>
    <n v="2"/>
    <n v="736"/>
    <x v="113"/>
    <x v="14"/>
    <n v="380"/>
    <x v="8"/>
    <n v="271.18181818181819"/>
    <n v="0.35702313107609784"/>
    <x v="14"/>
    <n v="260.15789473684208"/>
    <d v="2022-01-02T00:00:00"/>
    <n v="750"/>
    <x v="2"/>
  </r>
  <r>
    <n v="125"/>
    <n v="83"/>
    <n v="351"/>
    <n v="1"/>
    <n v="351"/>
    <x v="114"/>
    <x v="7"/>
    <n v="11"/>
    <x v="5"/>
    <n v="268.60344827586209"/>
    <n v="0.30675909878682828"/>
    <x v="32"/>
    <n v="254.18181818181819"/>
    <d v="2022-05-09T00:00:00"/>
    <n v="671"/>
    <x v="4"/>
  </r>
  <r>
    <n v="126"/>
    <n v="242"/>
    <n v="221"/>
    <n v="5"/>
    <n v="1105"/>
    <x v="115"/>
    <x v="12"/>
    <n v="114"/>
    <x v="4"/>
    <n v="250.48780487804879"/>
    <n v="-0.11772151898734184"/>
    <x v="25"/>
    <n v="303.8235294117647"/>
    <d v="2022-11-24T00:00:00"/>
    <n v="136"/>
    <x v="2"/>
  </r>
  <r>
    <n v="127"/>
    <n v="281"/>
    <n v="442"/>
    <n v="5"/>
    <n v="2210"/>
    <x v="116"/>
    <x v="2"/>
    <n v="381"/>
    <x v="8"/>
    <n v="271.18181818181819"/>
    <n v="0.6299027824337915"/>
    <x v="14"/>
    <n v="260.15789473684208"/>
    <d v="2022-06-02T00:00:00"/>
    <n v="665"/>
    <x v="0"/>
  </r>
  <r>
    <n v="128"/>
    <n v="236"/>
    <n v="465"/>
    <n v="1"/>
    <n v="465"/>
    <x v="105"/>
    <x v="18"/>
    <n v="342"/>
    <x v="2"/>
    <n v="283.468085106383"/>
    <n v="0.64039630713803186"/>
    <x v="46"/>
    <n v="321.63636363636363"/>
    <d v="2022-01-09T00:00:00"/>
    <n v="606"/>
    <x v="4"/>
  </r>
  <r>
    <n v="129"/>
    <n v="379"/>
    <n v="380"/>
    <n v="1"/>
    <n v="380"/>
    <x v="117"/>
    <x v="18"/>
    <n v="276"/>
    <x v="9"/>
    <n v="263.25423728813558"/>
    <n v="0.44347154262168442"/>
    <x v="55"/>
    <n v="293.66666666666669"/>
    <d v="2022-03-12T00:00:00"/>
    <n v="628"/>
    <x v="4"/>
  </r>
  <r>
    <n v="130"/>
    <n v="37"/>
    <n v="313"/>
    <n v="1"/>
    <n v="313"/>
    <x v="118"/>
    <x v="8"/>
    <n v="293"/>
    <x v="1"/>
    <n v="264.8679245283019"/>
    <n v="0.18172104288360158"/>
    <x v="1"/>
    <n v="238.16666666666666"/>
    <d v="2022-01-12T00:00:00"/>
    <n v="436"/>
    <x v="1"/>
  </r>
  <r>
    <n v="131"/>
    <n v="431"/>
    <n v="141"/>
    <n v="5"/>
    <n v="705"/>
    <x v="119"/>
    <x v="10"/>
    <n v="386"/>
    <x v="4"/>
    <n v="250.48780487804879"/>
    <n v="-0.43709834469328146"/>
    <x v="56"/>
    <n v="247.66666666666666"/>
    <d v="2022-06-22T00:00:00"/>
    <n v="295"/>
    <x v="0"/>
  </r>
  <r>
    <n v="132"/>
    <n v="237"/>
    <n v="348"/>
    <n v="2"/>
    <n v="696"/>
    <x v="120"/>
    <x v="1"/>
    <n v="362"/>
    <x v="17"/>
    <n v="267.85483870967744"/>
    <n v="0.29921117601011615"/>
    <x v="27"/>
    <n v="288.23809523809524"/>
    <d v="2022-12-21T00:00:00"/>
    <n v="468"/>
    <x v="2"/>
  </r>
  <r>
    <n v="133"/>
    <n v="452"/>
    <n v="349"/>
    <n v="1"/>
    <n v="349"/>
    <x v="67"/>
    <x v="3"/>
    <n v="283"/>
    <x v="12"/>
    <n v="274.16279069767444"/>
    <n v="0.27296632453982528"/>
    <x v="18"/>
    <n v="253.6875"/>
    <d v="2022-11-24T00:00:00"/>
    <n v="111"/>
    <x v="4"/>
  </r>
  <r>
    <n v="134"/>
    <n v="382"/>
    <n v="379"/>
    <n v="5"/>
    <n v="1895"/>
    <x v="121"/>
    <x v="8"/>
    <n v="388"/>
    <x v="4"/>
    <n v="250.48780487804879"/>
    <n v="0.51304771178188902"/>
    <x v="25"/>
    <n v="303.8235294117647"/>
    <d v="2022-01-20T00:00:00"/>
    <n v="733"/>
    <x v="2"/>
  </r>
  <r>
    <n v="135"/>
    <n v="452"/>
    <n v="448"/>
    <n v="4"/>
    <n v="1792"/>
    <x v="122"/>
    <x v="18"/>
    <n v="437"/>
    <x v="12"/>
    <n v="274.16279069767444"/>
    <n v="0.63406565442361518"/>
    <x v="18"/>
    <n v="253.6875"/>
    <d v="2022-01-15T00:00:00"/>
    <n v="858"/>
    <x v="0"/>
  </r>
  <r>
    <n v="136"/>
    <n v="463"/>
    <n v="173"/>
    <n v="2"/>
    <n v="346"/>
    <x v="123"/>
    <x v="14"/>
    <n v="450"/>
    <x v="7"/>
    <n v="249.02380952380952"/>
    <n v="-0.30528731236255857"/>
    <x v="39"/>
    <n v="222.2"/>
    <d v="2022-02-27T00:00:00"/>
    <n v="419"/>
    <x v="2"/>
  </r>
  <r>
    <n v="137"/>
    <n v="494"/>
    <n v="304"/>
    <n v="3"/>
    <n v="912"/>
    <x v="124"/>
    <x v="6"/>
    <n v="136"/>
    <x v="11"/>
    <n v="262.63492063492066"/>
    <n v="0.15750030218783984"/>
    <x v="47"/>
    <n v="271"/>
    <d v="2022-10-26T00:00:00"/>
    <n v="210"/>
    <x v="3"/>
  </r>
  <r>
    <n v="138"/>
    <n v="394"/>
    <n v="493"/>
    <n v="3"/>
    <n v="1479"/>
    <x v="9"/>
    <x v="4"/>
    <n v="61"/>
    <x v="7"/>
    <n v="249.02380952380952"/>
    <n v="0.97973037575294009"/>
    <x v="39"/>
    <n v="222.2"/>
    <d v="2022-07-27T00:00:00"/>
    <n v="263"/>
    <x v="4"/>
  </r>
  <r>
    <n v="139"/>
    <n v="380"/>
    <n v="344"/>
    <n v="5"/>
    <n v="1720"/>
    <x v="81"/>
    <x v="4"/>
    <n v="364"/>
    <x v="17"/>
    <n v="267.85483870967744"/>
    <n v="0.2842777142168964"/>
    <x v="35"/>
    <n v="250.25925925925927"/>
    <d v="2022-11-18T00:00:00"/>
    <n v="306"/>
    <x v="2"/>
  </r>
  <r>
    <n v="140"/>
    <n v="449"/>
    <n v="470"/>
    <n v="4"/>
    <n v="1880"/>
    <x v="125"/>
    <x v="10"/>
    <n v="496"/>
    <x v="10"/>
    <n v="271.74545454545455"/>
    <n v="0.72955974842767302"/>
    <x v="10"/>
    <n v="311.2"/>
    <d v="2022-11-02T00:00:00"/>
    <n v="243"/>
    <x v="3"/>
  </r>
  <r>
    <n v="141"/>
    <n v="309"/>
    <n v="498"/>
    <n v="1"/>
    <n v="498"/>
    <x v="126"/>
    <x v="10"/>
    <n v="464"/>
    <x v="17"/>
    <n v="267.85483870967744"/>
    <n v="0.85921599325585585"/>
    <x v="27"/>
    <n v="288.23809523809524"/>
    <d v="2022-09-23T00:00:00"/>
    <n v="545"/>
    <x v="2"/>
  </r>
  <r>
    <n v="142"/>
    <n v="112"/>
    <n v="351"/>
    <n v="3"/>
    <n v="1053"/>
    <x v="27"/>
    <x v="10"/>
    <n v="419"/>
    <x v="15"/>
    <n v="294.95238095238096"/>
    <n v="0.19002260251856629"/>
    <x v="53"/>
    <n v="322.54545454545456"/>
    <d v="2022-11-04T00:00:00"/>
    <n v="499"/>
    <x v="4"/>
  </r>
  <r>
    <n v="143"/>
    <n v="81"/>
    <n v="116"/>
    <n v="1"/>
    <n v="116"/>
    <x v="53"/>
    <x v="19"/>
    <n v="247"/>
    <x v="8"/>
    <n v="271.18181818181819"/>
    <n v="-0.57224270868253435"/>
    <x v="48"/>
    <n v="281.75"/>
    <d v="2022-07-20T00:00:00"/>
    <n v="594"/>
    <x v="0"/>
  </r>
  <r>
    <n v="144"/>
    <n v="4"/>
    <n v="314"/>
    <n v="4"/>
    <n v="1256"/>
    <x v="127"/>
    <x v="6"/>
    <n v="380"/>
    <x v="13"/>
    <n v="258.375"/>
    <n v="0.21528785679729068"/>
    <x v="20"/>
    <n v="269.70588235294116"/>
    <d v="2022-01-02T00:00:00"/>
    <n v="773"/>
    <x v="2"/>
  </r>
  <r>
    <n v="145"/>
    <n v="209"/>
    <n v="284"/>
    <n v="5"/>
    <n v="1420"/>
    <x v="128"/>
    <x v="4"/>
    <n v="75"/>
    <x v="16"/>
    <n v="300.31818181818181"/>
    <n v="-5.4336309974269748E-2"/>
    <x v="57"/>
    <n v="316.60000000000002"/>
    <d v="2022-08-23T00:00:00"/>
    <n v="371"/>
    <x v="3"/>
  </r>
  <r>
    <n v="146"/>
    <n v="156"/>
    <n v="332"/>
    <n v="1"/>
    <n v="332"/>
    <x v="129"/>
    <x v="9"/>
    <n v="356"/>
    <x v="12"/>
    <n v="274.16279069767444"/>
    <n v="0.21095936890321476"/>
    <x v="50"/>
    <n v="280.66666666666669"/>
    <d v="2022-01-09T00:00:00"/>
    <n v="499"/>
    <x v="4"/>
  </r>
  <r>
    <n v="147"/>
    <n v="441"/>
    <n v="239"/>
    <n v="2"/>
    <n v="478"/>
    <x v="130"/>
    <x v="16"/>
    <n v="487"/>
    <x v="8"/>
    <n v="271.18181818181819"/>
    <n v="-0.11867247737177344"/>
    <x v="14"/>
    <n v="260.15789473684208"/>
    <d v="2022-09-11T00:00:00"/>
    <n v="288"/>
    <x v="2"/>
  </r>
  <r>
    <n v="148"/>
    <n v="180"/>
    <n v="86"/>
    <n v="4"/>
    <n v="344"/>
    <x v="24"/>
    <x v="9"/>
    <n v="73"/>
    <x v="14"/>
    <n v="273.72549019607845"/>
    <n v="-0.68581661891117474"/>
    <x v="58"/>
    <n v="241.83333333333334"/>
    <d v="2022-04-14T00:00:00"/>
    <n v="661"/>
    <x v="3"/>
  </r>
  <r>
    <n v="149"/>
    <n v="438"/>
    <n v="154"/>
    <n v="4"/>
    <n v="616"/>
    <x v="131"/>
    <x v="4"/>
    <n v="139"/>
    <x v="7"/>
    <n v="249.02380952380952"/>
    <n v="-0.38158523759441632"/>
    <x v="59"/>
    <n v="256.89999999999998"/>
    <d v="2022-03-28T00:00:00"/>
    <n v="616"/>
    <x v="1"/>
  </r>
  <r>
    <n v="150"/>
    <n v="232"/>
    <n v="109"/>
    <n v="4"/>
    <n v="436"/>
    <x v="44"/>
    <x v="12"/>
    <n v="407"/>
    <x v="15"/>
    <n v="294.95238095238096"/>
    <n v="-0.63044882144010339"/>
    <x v="23"/>
    <n v="318.81818181818181"/>
    <d v="2022-03-01T00:00:00"/>
    <n v="766"/>
    <x v="1"/>
  </r>
  <r>
    <n v="151"/>
    <n v="206"/>
    <n v="73"/>
    <n v="5"/>
    <n v="365"/>
    <x v="132"/>
    <x v="2"/>
    <n v="115"/>
    <x v="15"/>
    <n v="294.95238095238096"/>
    <n v="-0.75250242169841786"/>
    <x v="41"/>
    <n v="274.77777777777777"/>
    <d v="2022-09-28T00:00:00"/>
    <n v="478"/>
    <x v="1"/>
  </r>
  <r>
    <n v="152"/>
    <n v="295"/>
    <n v="230"/>
    <n v="4"/>
    <n v="920"/>
    <x v="133"/>
    <x v="4"/>
    <n v="258"/>
    <x v="2"/>
    <n v="283.468085106383"/>
    <n v="-0.18862118141559714"/>
    <x v="36"/>
    <n v="249.5"/>
    <d v="2022-06-05T00:00:00"/>
    <n v="273"/>
    <x v="3"/>
  </r>
  <r>
    <n v="153"/>
    <n v="204"/>
    <n v="88"/>
    <n v="4"/>
    <n v="352"/>
    <x v="133"/>
    <x v="16"/>
    <n v="349"/>
    <x v="2"/>
    <n v="283.468085106383"/>
    <n v="-0.68955940854161979"/>
    <x v="2"/>
    <n v="232.44444444444446"/>
    <d v="2022-04-22T00:00:00"/>
    <n v="317"/>
    <x v="2"/>
  </r>
  <r>
    <n v="154"/>
    <n v="399"/>
    <n v="231"/>
    <n v="2"/>
    <n v="462"/>
    <x v="89"/>
    <x v="15"/>
    <n v="325"/>
    <x v="16"/>
    <n v="300.31818181818181"/>
    <n v="-0.2308158014227335"/>
    <x v="24"/>
    <n v="281.73333333333335"/>
    <d v="2022-11-10T00:00:00"/>
    <n v="415"/>
    <x v="4"/>
  </r>
  <r>
    <n v="155"/>
    <n v="221"/>
    <n v="477"/>
    <n v="4"/>
    <n v="1908"/>
    <x v="134"/>
    <x v="7"/>
    <n v="276"/>
    <x v="14"/>
    <n v="273.72549019607845"/>
    <n v="0.74262177650429795"/>
    <x v="22"/>
    <n v="280.23809523809524"/>
    <d v="2022-03-12T00:00:00"/>
    <n v="553"/>
    <x v="4"/>
  </r>
  <r>
    <n v="156"/>
    <n v="333"/>
    <n v="74"/>
    <n v="2"/>
    <n v="148"/>
    <x v="135"/>
    <x v="8"/>
    <n v="328"/>
    <x v="6"/>
    <n v="258.5128205128205"/>
    <n v="-0.71374727236659385"/>
    <x v="26"/>
    <n v="216.4"/>
    <d v="2022-01-07T00:00:00"/>
    <n v="585"/>
    <x v="2"/>
  </r>
  <r>
    <n v="157"/>
    <n v="498"/>
    <n v="430"/>
    <n v="5"/>
    <n v="2150"/>
    <x v="136"/>
    <x v="17"/>
    <n v="250"/>
    <x v="15"/>
    <n v="294.95238095238096"/>
    <n v="0.4578624475298676"/>
    <x v="41"/>
    <n v="274.77777777777777"/>
    <d v="2022-10-22T00:00:00"/>
    <n v="250"/>
    <x v="2"/>
  </r>
  <r>
    <n v="158"/>
    <n v="476"/>
    <n v="286"/>
    <n v="2"/>
    <n v="572"/>
    <x v="62"/>
    <x v="11"/>
    <n v="397"/>
    <x v="6"/>
    <n v="258.5128205128205"/>
    <n v="0.10632810950208293"/>
    <x v="60"/>
    <n v="289.88888888888891"/>
    <d v="2022-06-16T00:00:00"/>
    <n v="245"/>
    <x v="1"/>
  </r>
  <r>
    <n v="159"/>
    <n v="126"/>
    <n v="273"/>
    <n v="3"/>
    <n v="819"/>
    <x v="137"/>
    <x v="8"/>
    <n v="153"/>
    <x v="0"/>
    <n v="252.76271186440678"/>
    <n v="8.006437336551997E-2"/>
    <x v="45"/>
    <n v="293.41176470588238"/>
    <d v="2022-08-29T00:00:00"/>
    <n v="249"/>
    <x v="2"/>
  </r>
  <r>
    <n v="160"/>
    <n v="255"/>
    <n v="279"/>
    <n v="3"/>
    <n v="837"/>
    <x v="138"/>
    <x v="2"/>
    <n v="286"/>
    <x v="7"/>
    <n v="249.02380952380952"/>
    <n v="0.12037479682570029"/>
    <x v="59"/>
    <n v="256.89999999999998"/>
    <d v="2022-01-02T00:00:00"/>
    <n v="518"/>
    <x v="4"/>
  </r>
  <r>
    <n v="161"/>
    <n v="138"/>
    <n v="210"/>
    <n v="2"/>
    <n v="420"/>
    <x v="139"/>
    <x v="5"/>
    <n v="14"/>
    <x v="11"/>
    <n v="262.63492063492066"/>
    <n v="-0.20041097546234743"/>
    <x v="47"/>
    <n v="271"/>
    <d v="2022-08-02T00:00:00"/>
    <n v="237"/>
    <x v="4"/>
  </r>
  <r>
    <n v="162"/>
    <n v="403"/>
    <n v="229"/>
    <n v="1"/>
    <n v="229"/>
    <x v="140"/>
    <x v="9"/>
    <n v="32"/>
    <x v="8"/>
    <n v="271.18181818181819"/>
    <n v="-0.15554810593362389"/>
    <x v="52"/>
    <n v="243.3"/>
    <d v="2022-12-27T00:00:00"/>
    <n v="69"/>
    <x v="0"/>
  </r>
  <r>
    <n v="163"/>
    <n v="280"/>
    <n v="192"/>
    <n v="2"/>
    <n v="384"/>
    <x v="141"/>
    <x v="0"/>
    <n v="49"/>
    <x v="11"/>
    <n v="262.63492063492066"/>
    <n v="-0.26894717756557485"/>
    <x v="21"/>
    <n v="238.72222222222223"/>
    <d v="2022-04-21T00:00:00"/>
    <n v="611"/>
    <x v="4"/>
  </r>
  <r>
    <n v="164"/>
    <n v="356"/>
    <n v="373"/>
    <n v="1"/>
    <n v="373"/>
    <x v="142"/>
    <x v="2"/>
    <n v="115"/>
    <x v="2"/>
    <n v="283.468085106383"/>
    <n v="0.31584477970427072"/>
    <x v="46"/>
    <n v="321.63636363636363"/>
    <d v="2022-09-28T00:00:00"/>
    <n v="459"/>
    <x v="1"/>
  </r>
  <r>
    <n v="165"/>
    <n v="41"/>
    <n v="315"/>
    <n v="3"/>
    <n v="945"/>
    <x v="143"/>
    <x v="13"/>
    <n v="420"/>
    <x v="13"/>
    <n v="258.375"/>
    <n v="0.21915820029027566"/>
    <x v="30"/>
    <n v="317.85714285714283"/>
    <d v="2022-05-17T00:00:00"/>
    <n v="504"/>
    <x v="3"/>
  </r>
  <r>
    <n v="166"/>
    <n v="379"/>
    <n v="321"/>
    <n v="5"/>
    <n v="1605"/>
    <x v="9"/>
    <x v="9"/>
    <n v="47"/>
    <x v="9"/>
    <n v="263.25423728813558"/>
    <n v="0.21935359258305431"/>
    <x v="55"/>
    <n v="293.66666666666669"/>
    <d v="2022-05-12T00:00:00"/>
    <n v="339"/>
    <x v="1"/>
  </r>
  <r>
    <n v="167"/>
    <n v="282"/>
    <n v="189"/>
    <n v="2"/>
    <n v="378"/>
    <x v="19"/>
    <x v="9"/>
    <n v="202"/>
    <x v="13"/>
    <n v="258.375"/>
    <n v="-0.26850507982583449"/>
    <x v="30"/>
    <n v="317.85714285714283"/>
    <d v="2022-07-24T00:00:00"/>
    <n v="392"/>
    <x v="1"/>
  </r>
  <r>
    <n v="168"/>
    <n v="459"/>
    <n v="405"/>
    <n v="3"/>
    <n v="1215"/>
    <x v="144"/>
    <x v="2"/>
    <n v="37"/>
    <x v="18"/>
    <n v="255.11627906976744"/>
    <n v="0.58751139471285319"/>
    <x v="61"/>
    <n v="274.28571428571428"/>
    <d v="2022-06-16T00:00:00"/>
    <n v="221"/>
    <x v="3"/>
  </r>
  <r>
    <n v="169"/>
    <n v="402"/>
    <n v="426"/>
    <n v="2"/>
    <n v="852"/>
    <x v="26"/>
    <x v="17"/>
    <n v="366"/>
    <x v="16"/>
    <n v="300.31818181818181"/>
    <n v="0.41849553503859549"/>
    <x v="51"/>
    <n v="331.16666666666669"/>
    <d v="2022-09-23T00:00:00"/>
    <n v="272"/>
    <x v="0"/>
  </r>
  <r>
    <n v="170"/>
    <n v="320"/>
    <n v="271"/>
    <n v="1"/>
    <n v="271"/>
    <x v="145"/>
    <x v="19"/>
    <n v="434"/>
    <x v="17"/>
    <n v="267.85483870967744"/>
    <n v="1.1742036490636432E-2"/>
    <x v="35"/>
    <n v="250.25925925925927"/>
    <d v="2022-06-18T00:00:00"/>
    <n v="682"/>
    <x v="3"/>
  </r>
  <r>
    <n v="171"/>
    <n v="19"/>
    <n v="96"/>
    <n v="4"/>
    <n v="384"/>
    <x v="146"/>
    <x v="1"/>
    <n v="172"/>
    <x v="10"/>
    <n v="271.74545454545455"/>
    <n v="-0.6467282215977519"/>
    <x v="37"/>
    <n v="272.35294117647061"/>
    <d v="2022-06-25T00:00:00"/>
    <n v="304"/>
    <x v="2"/>
  </r>
  <r>
    <n v="172"/>
    <n v="447"/>
    <n v="65"/>
    <n v="1"/>
    <n v="65"/>
    <x v="147"/>
    <x v="3"/>
    <n v="52"/>
    <x v="9"/>
    <n v="263.25423728813558"/>
    <n v="-0.75309039402523825"/>
    <x v="33"/>
    <n v="248.5"/>
    <d v="2022-12-22T00:00:00"/>
    <n v="424"/>
    <x v="2"/>
  </r>
  <r>
    <n v="173"/>
    <n v="406"/>
    <n v="426"/>
    <n v="1"/>
    <n v="426"/>
    <x v="148"/>
    <x v="4"/>
    <n v="395"/>
    <x v="5"/>
    <n v="268.60344827586209"/>
    <n v="0.58598112844213346"/>
    <x v="5"/>
    <n v="281.96875"/>
    <d v="2022-11-25T00:00:00"/>
    <n v="399"/>
    <x v="0"/>
  </r>
  <r>
    <n v="174"/>
    <n v="391"/>
    <n v="356"/>
    <n v="2"/>
    <n v="712"/>
    <x v="149"/>
    <x v="4"/>
    <n v="46"/>
    <x v="6"/>
    <n v="258.5128205128205"/>
    <n v="0.37710771672287247"/>
    <x v="60"/>
    <n v="289.88888888888891"/>
    <d v="2022-03-16T00:00:00"/>
    <n v="539"/>
    <x v="4"/>
  </r>
  <r>
    <n v="175"/>
    <n v="82"/>
    <n v="233"/>
    <n v="2"/>
    <n v="466"/>
    <x v="150"/>
    <x v="16"/>
    <n v="361"/>
    <x v="11"/>
    <n v="262.63492063492066"/>
    <n v="-0.11283693944155693"/>
    <x v="62"/>
    <n v="168"/>
    <d v="2022-09-27T00:00:00"/>
    <n v="538"/>
    <x v="0"/>
  </r>
  <r>
    <n v="176"/>
    <n v="243"/>
    <n v="494"/>
    <n v="5"/>
    <n v="2470"/>
    <x v="151"/>
    <x v="19"/>
    <n v="358"/>
    <x v="13"/>
    <n v="258.375"/>
    <n v="0.91194968553459121"/>
    <x v="20"/>
    <n v="269.70588235294116"/>
    <d v="2022-07-29T00:00:00"/>
    <n v="582"/>
    <x v="3"/>
  </r>
  <r>
    <n v="177"/>
    <n v="432"/>
    <n v="305"/>
    <n v="3"/>
    <n v="915"/>
    <x v="152"/>
    <x v="14"/>
    <n v="44"/>
    <x v="3"/>
    <n v="265.47674418604652"/>
    <n v="0.14887652752836056"/>
    <x v="3"/>
    <n v="236.27586206896552"/>
    <d v="2022-05-20T00:00:00"/>
    <n v="712"/>
    <x v="1"/>
  </r>
  <r>
    <n v="178"/>
    <n v="159"/>
    <n v="173"/>
    <n v="4"/>
    <n v="692"/>
    <x v="149"/>
    <x v="2"/>
    <n v="416"/>
    <x v="18"/>
    <n v="255.11627906976744"/>
    <n v="-0.32187784867821334"/>
    <x v="61"/>
    <n v="274.28571428571428"/>
    <d v="2022-05-22T00:00:00"/>
    <n v="472"/>
    <x v="4"/>
  </r>
  <r>
    <n v="179"/>
    <n v="197"/>
    <n v="177"/>
    <n v="2"/>
    <n v="354"/>
    <x v="153"/>
    <x v="15"/>
    <n v="153"/>
    <x v="2"/>
    <n v="283.468085106383"/>
    <n v="-0.37559108308939437"/>
    <x v="2"/>
    <n v="232.44444444444446"/>
    <d v="2022-08-29T00:00:00"/>
    <n v="363"/>
    <x v="2"/>
  </r>
  <r>
    <n v="180"/>
    <n v="110"/>
    <n v="261"/>
    <n v="1"/>
    <n v="261"/>
    <x v="154"/>
    <x v="13"/>
    <n v="223"/>
    <x v="3"/>
    <n v="265.47674418604652"/>
    <n v="-1.6863037098681644E-2"/>
    <x v="16"/>
    <n v="276.67567567567568"/>
    <d v="2022-11-28T00:00:00"/>
    <n v="432"/>
    <x v="3"/>
  </r>
  <r>
    <n v="181"/>
    <n v="288"/>
    <n v="198"/>
    <n v="5"/>
    <n v="990"/>
    <x v="155"/>
    <x v="18"/>
    <n v="74"/>
    <x v="11"/>
    <n v="262.63492063492066"/>
    <n v="-0.24610177686449908"/>
    <x v="62"/>
    <n v="168"/>
    <d v="2022-10-23T00:00:00"/>
    <n v="355"/>
    <x v="2"/>
  </r>
  <r>
    <n v="182"/>
    <n v="7"/>
    <n v="114"/>
    <n v="3"/>
    <n v="342"/>
    <x v="20"/>
    <x v="14"/>
    <n v="180"/>
    <x v="11"/>
    <n v="262.63492063492066"/>
    <n v="-0.56593738667956006"/>
    <x v="21"/>
    <n v="238.72222222222223"/>
    <d v="2022-02-24T00:00:00"/>
    <n v="628"/>
    <x v="1"/>
  </r>
  <r>
    <n v="183"/>
    <n v="385"/>
    <n v="427"/>
    <n v="3"/>
    <n v="1281"/>
    <x v="92"/>
    <x v="19"/>
    <n v="359"/>
    <x v="3"/>
    <n v="265.47674418604652"/>
    <n v="0.60842713853970465"/>
    <x v="19"/>
    <n v="329.27272727272725"/>
    <d v="2022-01-23T00:00:00"/>
    <n v="358"/>
    <x v="2"/>
  </r>
  <r>
    <n v="184"/>
    <n v="493"/>
    <n v="376"/>
    <n v="1"/>
    <n v="376"/>
    <x v="156"/>
    <x v="0"/>
    <n v="134"/>
    <x v="4"/>
    <n v="250.48780487804879"/>
    <n v="0.50107108081791618"/>
    <x v="25"/>
    <n v="303.8235294117647"/>
    <d v="2022-07-11T00:00:00"/>
    <n v="500"/>
    <x v="2"/>
  </r>
  <r>
    <n v="185"/>
    <n v="158"/>
    <n v="51"/>
    <n v="2"/>
    <n v="102"/>
    <x v="154"/>
    <x v="3"/>
    <n v="159"/>
    <x v="0"/>
    <n v="252.76271186440678"/>
    <n v="-0.7982297324481995"/>
    <x v="11"/>
    <n v="240.26666666666668"/>
    <d v="2022-05-05T00:00:00"/>
    <n v="639"/>
    <x v="0"/>
  </r>
  <r>
    <n v="186"/>
    <n v="446"/>
    <n v="316"/>
    <n v="2"/>
    <n v="632"/>
    <x v="119"/>
    <x v="8"/>
    <n v="328"/>
    <x v="14"/>
    <n v="273.72549019607845"/>
    <n v="0.15444126074498565"/>
    <x v="44"/>
    <n v="320.57142857142856"/>
    <d v="2022-01-07T00:00:00"/>
    <n v="461"/>
    <x v="2"/>
  </r>
  <r>
    <n v="187"/>
    <n v="428"/>
    <n v="156"/>
    <n v="1"/>
    <n v="156"/>
    <x v="157"/>
    <x v="8"/>
    <n v="325"/>
    <x v="17"/>
    <n v="267.85483870967744"/>
    <n v="-0.41759499006443068"/>
    <x v="35"/>
    <n v="250.25925925925927"/>
    <d v="2022-11-10T00:00:00"/>
    <n v="546"/>
    <x v="4"/>
  </r>
  <r>
    <n v="188"/>
    <n v="192"/>
    <n v="215"/>
    <n v="1"/>
    <n v="215"/>
    <x v="158"/>
    <x v="18"/>
    <n v="106"/>
    <x v="10"/>
    <n v="271.74545454545455"/>
    <n v="-0.2088184129532985"/>
    <x v="37"/>
    <n v="272.35294117647061"/>
    <d v="2022-10-24T00:00:00"/>
    <n v="553"/>
    <x v="3"/>
  </r>
  <r>
    <n v="189"/>
    <n v="41"/>
    <n v="59"/>
    <n v="1"/>
    <n v="59"/>
    <x v="67"/>
    <x v="1"/>
    <n v="65"/>
    <x v="13"/>
    <n v="258.375"/>
    <n v="-0.77164973391388481"/>
    <x v="30"/>
    <n v="317.85714285714283"/>
    <d v="2022-03-03T00:00:00"/>
    <n v="377"/>
    <x v="3"/>
  </r>
  <r>
    <n v="190"/>
    <n v="69"/>
    <n v="88"/>
    <n v="4"/>
    <n v="352"/>
    <x v="159"/>
    <x v="4"/>
    <n v="346"/>
    <x v="14"/>
    <n v="273.72549019607845"/>
    <n v="-0.67851002865329513"/>
    <x v="63"/>
    <n v="266.27272727272725"/>
    <d v="2022-03-16T00:00:00"/>
    <n v="673"/>
    <x v="2"/>
  </r>
  <r>
    <n v="191"/>
    <n v="270"/>
    <n v="484"/>
    <n v="4"/>
    <n v="1936"/>
    <x v="160"/>
    <x v="0"/>
    <n v="457"/>
    <x v="1"/>
    <n v="264.8679245283019"/>
    <n v="0.82732582989029768"/>
    <x v="64"/>
    <n v="236.91666666666666"/>
    <d v="2022-02-03T00:00:00"/>
    <n v="489"/>
    <x v="4"/>
  </r>
  <r>
    <n v="192"/>
    <n v="345"/>
    <n v="257"/>
    <n v="1"/>
    <n v="257"/>
    <x v="161"/>
    <x v="1"/>
    <n v="255"/>
    <x v="17"/>
    <n v="267.85483870967744"/>
    <n v="-4.0525079785632578E-2"/>
    <x v="27"/>
    <n v="288.23809523809524"/>
    <d v="2022-08-20T00:00:00"/>
    <n v="176"/>
    <x v="3"/>
  </r>
  <r>
    <n v="193"/>
    <n v="348"/>
    <n v="497"/>
    <n v="3"/>
    <n v="1491"/>
    <x v="162"/>
    <x v="0"/>
    <n v="42"/>
    <x v="14"/>
    <n v="273.72549019607845"/>
    <n v="0.81568767908309447"/>
    <x v="63"/>
    <n v="266.27272727272725"/>
    <d v="2022-08-10T00:00:00"/>
    <n v="493"/>
    <x v="4"/>
  </r>
  <r>
    <n v="194"/>
    <n v="102"/>
    <n v="115"/>
    <n v="2"/>
    <n v="230"/>
    <x v="163"/>
    <x v="8"/>
    <n v="385"/>
    <x v="2"/>
    <n v="283.468085106383"/>
    <n v="-0.59431059070779857"/>
    <x v="36"/>
    <n v="249.5"/>
    <d v="2022-07-11T00:00:00"/>
    <n v="627"/>
    <x v="3"/>
  </r>
  <r>
    <n v="195"/>
    <n v="321"/>
    <n v="368"/>
    <n v="1"/>
    <n v="368"/>
    <x v="164"/>
    <x v="17"/>
    <n v="436"/>
    <x v="10"/>
    <n v="271.74545454545455"/>
    <n v="0.35420848387528436"/>
    <x v="12"/>
    <n v="212.8125"/>
    <d v="2022-05-02T00:00:00"/>
    <n v="510"/>
    <x v="2"/>
  </r>
  <r>
    <n v="196"/>
    <n v="176"/>
    <n v="113"/>
    <n v="4"/>
    <n v="452"/>
    <x v="165"/>
    <x v="14"/>
    <n v="175"/>
    <x v="0"/>
    <n v="252.76271186440678"/>
    <n v="-0.55294038758130493"/>
    <x v="0"/>
    <n v="240.5"/>
    <d v="2022-01-04T00:00:00"/>
    <n v="770"/>
    <x v="2"/>
  </r>
  <r>
    <n v="197"/>
    <n v="341"/>
    <n v="194"/>
    <n v="3"/>
    <n v="582"/>
    <x v="166"/>
    <x v="7"/>
    <n v="274"/>
    <x v="3"/>
    <n v="265.47674418604652"/>
    <n v="-0.26923919232622318"/>
    <x v="19"/>
    <n v="329.27272727272725"/>
    <d v="2022-02-15T00:00:00"/>
    <n v="648"/>
    <x v="2"/>
  </r>
  <r>
    <n v="198"/>
    <n v="473"/>
    <n v="171"/>
    <n v="4"/>
    <n v="684"/>
    <x v="18"/>
    <x v="19"/>
    <n v="266"/>
    <x v="16"/>
    <n v="300.31818181818181"/>
    <n v="-0.43060390494929623"/>
    <x v="24"/>
    <n v="281.73333333333335"/>
    <d v="2022-08-22T00:00:00"/>
    <n v="263"/>
    <x v="2"/>
  </r>
  <r>
    <n v="199"/>
    <n v="482"/>
    <n v="321"/>
    <n v="2"/>
    <n v="642"/>
    <x v="92"/>
    <x v="2"/>
    <n v="481"/>
    <x v="18"/>
    <n v="255.11627906976744"/>
    <n v="0.25824977210574285"/>
    <x v="34"/>
    <n v="250.30769230769232"/>
    <d v="2022-07-14T00:00:00"/>
    <n v="186"/>
    <x v="1"/>
  </r>
  <r>
    <n v="200"/>
    <n v="169"/>
    <n v="386"/>
    <n v="5"/>
    <n v="1930"/>
    <x v="167"/>
    <x v="10"/>
    <n v="59"/>
    <x v="12"/>
    <n v="274.16279069767444"/>
    <n v="0.4079226397489184"/>
    <x v="65"/>
    <n v="258.30769230769232"/>
    <d v="2022-07-28T00:00:00"/>
    <n v="197"/>
    <x v="2"/>
  </r>
  <r>
    <n v="201"/>
    <n v="397"/>
    <n v="148"/>
    <n v="1"/>
    <n v="148"/>
    <x v="168"/>
    <x v="13"/>
    <n v="47"/>
    <x v="9"/>
    <n v="263.25423728813558"/>
    <n v="-0.43780582024208081"/>
    <x v="9"/>
    <n v="257.78260869565219"/>
    <d v="2022-05-12T00:00:00"/>
    <n v="317"/>
    <x v="1"/>
  </r>
  <r>
    <n v="202"/>
    <n v="436"/>
    <n v="291"/>
    <n v="2"/>
    <n v="582"/>
    <x v="99"/>
    <x v="13"/>
    <n v="385"/>
    <x v="4"/>
    <n v="250.48780487804879"/>
    <n v="0.16173320350535536"/>
    <x v="56"/>
    <n v="247.66666666666666"/>
    <d v="2022-07-11T00:00:00"/>
    <n v="342"/>
    <x v="3"/>
  </r>
  <r>
    <n v="203"/>
    <n v="369"/>
    <n v="74"/>
    <n v="1"/>
    <n v="74"/>
    <x v="47"/>
    <x v="10"/>
    <n v="411"/>
    <x v="15"/>
    <n v="294.95238095238096"/>
    <n v="-0.74911204391346464"/>
    <x v="41"/>
    <n v="274.77777777777777"/>
    <d v="2022-04-22T00:00:00"/>
    <n v="535"/>
    <x v="4"/>
  </r>
  <r>
    <n v="204"/>
    <n v="361"/>
    <n v="245"/>
    <n v="1"/>
    <n v="245"/>
    <x v="169"/>
    <x v="16"/>
    <n v="259"/>
    <x v="10"/>
    <n v="271.74545454545455"/>
    <n v="-9.8420982202595986E-2"/>
    <x v="12"/>
    <n v="212.8125"/>
    <d v="2022-05-26T00:00:00"/>
    <n v="471"/>
    <x v="1"/>
  </r>
  <r>
    <n v="205"/>
    <n v="226"/>
    <n v="339"/>
    <n v="4"/>
    <n v="1356"/>
    <x v="170"/>
    <x v="7"/>
    <n v="337"/>
    <x v="11"/>
    <n v="262.63492063492066"/>
    <n v="0.29076513961078199"/>
    <x v="17"/>
    <n v="311.33333333333331"/>
    <d v="2022-11-10T00:00:00"/>
    <n v="376"/>
    <x v="2"/>
  </r>
  <r>
    <n v="206"/>
    <n v="87"/>
    <n v="487"/>
    <n v="1"/>
    <n v="487"/>
    <x v="171"/>
    <x v="9"/>
    <n v="172"/>
    <x v="7"/>
    <n v="249.02380952380952"/>
    <n v="0.95563629410077455"/>
    <x v="7"/>
    <n v="276.21052631578948"/>
    <d v="2022-06-25T00:00:00"/>
    <n v="282"/>
    <x v="2"/>
  </r>
  <r>
    <n v="207"/>
    <n v="376"/>
    <n v="335"/>
    <n v="5"/>
    <n v="1675"/>
    <x v="172"/>
    <x v="9"/>
    <n v="130"/>
    <x v="17"/>
    <n v="267.85483870967744"/>
    <n v="0.25067742518215197"/>
    <x v="66"/>
    <n v="273.625"/>
    <d v="2022-10-29T00:00:00"/>
    <n v="120"/>
    <x v="4"/>
  </r>
  <r>
    <n v="208"/>
    <n v="255"/>
    <n v="214"/>
    <n v="2"/>
    <n v="428"/>
    <x v="173"/>
    <x v="4"/>
    <n v="354"/>
    <x v="7"/>
    <n v="249.02380952380952"/>
    <n v="-0.14064442107276032"/>
    <x v="59"/>
    <n v="256.89999999999998"/>
    <d v="2022-09-07T00:00:00"/>
    <n v="220"/>
    <x v="0"/>
  </r>
  <r>
    <n v="209"/>
    <n v="111"/>
    <n v="452"/>
    <n v="4"/>
    <n v="1808"/>
    <x v="83"/>
    <x v="7"/>
    <n v="329"/>
    <x v="0"/>
    <n v="252.76271186440678"/>
    <n v="0.78823844967478029"/>
    <x v="11"/>
    <n v="240.26666666666668"/>
    <d v="2022-04-02T00:00:00"/>
    <n v="274"/>
    <x v="1"/>
  </r>
  <r>
    <n v="210"/>
    <n v="344"/>
    <n v="172"/>
    <n v="5"/>
    <n v="860"/>
    <x v="174"/>
    <x v="10"/>
    <n v="186"/>
    <x v="5"/>
    <n v="268.60344827586209"/>
    <n v="-0.35965081199050009"/>
    <x v="32"/>
    <n v="254.18181818181819"/>
    <d v="2022-12-19T00:00:00"/>
    <n v="178"/>
    <x v="1"/>
  </r>
  <r>
    <n v="211"/>
    <n v="462"/>
    <n v="104"/>
    <n v="4"/>
    <n v="416"/>
    <x v="175"/>
    <x v="12"/>
    <n v="448"/>
    <x v="13"/>
    <n v="258.375"/>
    <n v="-0.59748427672955973"/>
    <x v="20"/>
    <n v="269.70588235294116"/>
    <d v="2022-07-28T00:00:00"/>
    <n v="335"/>
    <x v="2"/>
  </r>
  <r>
    <n v="212"/>
    <n v="279"/>
    <n v="433"/>
    <n v="4"/>
    <n v="1732"/>
    <x v="176"/>
    <x v="17"/>
    <n v="377"/>
    <x v="18"/>
    <n v="255.11627906976744"/>
    <n v="0.69726526891522322"/>
    <x v="67"/>
    <n v="251.91666666666666"/>
    <d v="2022-08-21T00:00:00"/>
    <n v="471"/>
    <x v="0"/>
  </r>
  <r>
    <n v="213"/>
    <n v="322"/>
    <n v="79"/>
    <n v="5"/>
    <n v="395"/>
    <x v="177"/>
    <x v="5"/>
    <n v="316"/>
    <x v="18"/>
    <n v="255.11627906976744"/>
    <n v="-0.69033728350045576"/>
    <x v="67"/>
    <n v="251.91666666666666"/>
    <d v="2022-08-14T00:00:00"/>
    <n v="321"/>
    <x v="4"/>
  </r>
  <r>
    <n v="214"/>
    <n v="494"/>
    <n v="181"/>
    <n v="1"/>
    <n v="181"/>
    <x v="170"/>
    <x v="16"/>
    <n v="356"/>
    <x v="11"/>
    <n v="262.63492063492066"/>
    <n v="-0.31083041218421381"/>
    <x v="47"/>
    <n v="271"/>
    <d v="2022-01-09T00:00:00"/>
    <n v="681"/>
    <x v="4"/>
  </r>
  <r>
    <n v="215"/>
    <n v="317"/>
    <n v="196"/>
    <n v="3"/>
    <n v="588"/>
    <x v="178"/>
    <x v="8"/>
    <n v="159"/>
    <x v="5"/>
    <n v="268.60344827586209"/>
    <n v="-0.27029976250080245"/>
    <x v="5"/>
    <n v="281.96875"/>
    <d v="2022-05-05T00:00:00"/>
    <n v="685"/>
    <x v="0"/>
  </r>
  <r>
    <n v="216"/>
    <n v="223"/>
    <n v="174"/>
    <n v="1"/>
    <n v="174"/>
    <x v="179"/>
    <x v="2"/>
    <n v="287"/>
    <x v="8"/>
    <n v="271.18181818181819"/>
    <n v="-0.35836406302380153"/>
    <x v="8"/>
    <n v="291.45454545454544"/>
    <d v="2022-02-16T00:00:00"/>
    <n v="414"/>
    <x v="2"/>
  </r>
  <r>
    <n v="217"/>
    <n v="25"/>
    <n v="356"/>
    <n v="3"/>
    <n v="1068"/>
    <x v="180"/>
    <x v="7"/>
    <n v="322"/>
    <x v="14"/>
    <n v="273.72549019607845"/>
    <n v="0.30057306590257871"/>
    <x v="58"/>
    <n v="241.83333333333334"/>
    <d v="2022-11-21T00:00:00"/>
    <n v="132"/>
    <x v="3"/>
  </r>
  <r>
    <n v="218"/>
    <n v="392"/>
    <n v="125"/>
    <n v="5"/>
    <n v="625"/>
    <x v="181"/>
    <x v="1"/>
    <n v="62"/>
    <x v="7"/>
    <n v="249.02380952380952"/>
    <n v="-0.49803996557988339"/>
    <x v="39"/>
    <n v="222.2"/>
    <d v="2022-04-20T00:00:00"/>
    <n v="611"/>
    <x v="2"/>
  </r>
  <r>
    <n v="219"/>
    <n v="410"/>
    <n v="228"/>
    <n v="2"/>
    <n v="456"/>
    <x v="182"/>
    <x v="14"/>
    <n v="295"/>
    <x v="14"/>
    <n v="273.72549019607845"/>
    <n v="-0.16704871060171922"/>
    <x v="44"/>
    <n v="320.57142857142856"/>
    <d v="2022-01-27T00:00:00"/>
    <n v="636"/>
    <x v="2"/>
  </r>
  <r>
    <n v="220"/>
    <n v="498"/>
    <n v="472"/>
    <n v="5"/>
    <n v="2360"/>
    <x v="183"/>
    <x v="9"/>
    <n v="171"/>
    <x v="15"/>
    <n v="294.95238095238096"/>
    <n v="0.60025831449790124"/>
    <x v="41"/>
    <n v="274.77777777777777"/>
    <d v="2022-05-29T00:00:00"/>
    <n v="485"/>
    <x v="2"/>
  </r>
  <r>
    <n v="221"/>
    <n v="304"/>
    <n v="163"/>
    <n v="3"/>
    <n v="489"/>
    <x v="184"/>
    <x v="6"/>
    <n v="392"/>
    <x v="17"/>
    <n v="267.85483870967744"/>
    <n v="-0.39146143192629623"/>
    <x v="27"/>
    <n v="288.23809523809524"/>
    <d v="2022-12-24T00:00:00"/>
    <n v="220"/>
    <x v="2"/>
  </r>
  <r>
    <n v="222"/>
    <n v="333"/>
    <n v="70"/>
    <n v="1"/>
    <n v="70"/>
    <x v="185"/>
    <x v="8"/>
    <n v="229"/>
    <x v="6"/>
    <n v="258.5128205128205"/>
    <n v="-0.72922039277921047"/>
    <x v="26"/>
    <n v="216.4"/>
    <d v="2022-07-24T00:00:00"/>
    <n v="310"/>
    <x v="1"/>
  </r>
  <r>
    <n v="223"/>
    <n v="207"/>
    <n v="208"/>
    <n v="5"/>
    <n v="1040"/>
    <x v="111"/>
    <x v="0"/>
    <n v="253"/>
    <x v="0"/>
    <n v="252.76271186440678"/>
    <n v="-0.17709381076912767"/>
    <x v="68"/>
    <n v="215.85714285714286"/>
    <d v="2022-07-08T00:00:00"/>
    <n v="210"/>
    <x v="1"/>
  </r>
  <r>
    <n v="224"/>
    <n v="348"/>
    <n v="417"/>
    <n v="4"/>
    <n v="1668"/>
    <x v="186"/>
    <x v="10"/>
    <n v="235"/>
    <x v="14"/>
    <n v="273.72549019607845"/>
    <n v="0.52342406876790815"/>
    <x v="63"/>
    <n v="266.27272727272725"/>
    <d v="2022-03-15T00:00:00"/>
    <n v="370"/>
    <x v="0"/>
  </r>
  <r>
    <n v="225"/>
    <n v="4"/>
    <n v="198"/>
    <n v="5"/>
    <n v="990"/>
    <x v="187"/>
    <x v="0"/>
    <n v="156"/>
    <x v="13"/>
    <n v="258.375"/>
    <n v="-0.23367198838896952"/>
    <x v="20"/>
    <n v="269.70588235294116"/>
    <d v="2022-12-10T00:00:00"/>
    <n v="446"/>
    <x v="3"/>
  </r>
  <r>
    <n v="226"/>
    <n v="317"/>
    <n v="196"/>
    <n v="2"/>
    <n v="392"/>
    <x v="188"/>
    <x v="14"/>
    <n v="327"/>
    <x v="5"/>
    <n v="268.60344827586209"/>
    <n v="-0.27029976250080245"/>
    <x v="5"/>
    <n v="281.96875"/>
    <d v="2022-01-04T00:00:00"/>
    <n v="865"/>
    <x v="4"/>
  </r>
  <r>
    <n v="227"/>
    <n v="131"/>
    <n v="376"/>
    <n v="1"/>
    <n v="376"/>
    <x v="189"/>
    <x v="9"/>
    <n v="275"/>
    <x v="5"/>
    <n v="268.60344827586209"/>
    <n v="0.39983310867193"/>
    <x v="32"/>
    <n v="254.18181818181819"/>
    <d v="2022-03-31T00:00:00"/>
    <n v="776"/>
    <x v="4"/>
  </r>
  <r>
    <n v="228"/>
    <n v="96"/>
    <n v="362"/>
    <n v="4"/>
    <n v="1448"/>
    <x v="48"/>
    <x v="1"/>
    <n v="330"/>
    <x v="1"/>
    <n v="264.8679245283019"/>
    <n v="0.36671890582704081"/>
    <x v="69"/>
    <n v="273.7"/>
    <d v="2022-09-11T00:00:00"/>
    <n v="583"/>
    <x v="0"/>
  </r>
  <r>
    <n v="229"/>
    <n v="311"/>
    <n v="345"/>
    <n v="5"/>
    <n v="1725"/>
    <x v="157"/>
    <x v="15"/>
    <n v="177"/>
    <x v="3"/>
    <n v="265.47674418604652"/>
    <n v="0.29954885900748973"/>
    <x v="16"/>
    <n v="276.67567567567568"/>
    <d v="2022-10-23T00:00:00"/>
    <n v="564"/>
    <x v="4"/>
  </r>
  <r>
    <n v="230"/>
    <n v="268"/>
    <n v="81"/>
    <n v="3"/>
    <n v="243"/>
    <x v="136"/>
    <x v="17"/>
    <n v="407"/>
    <x v="13"/>
    <n v="258.375"/>
    <n v="-0.68650217706821481"/>
    <x v="34"/>
    <n v="181.57142857142858"/>
    <d v="2022-03-01T00:00:00"/>
    <n v="485"/>
    <x v="1"/>
  </r>
  <r>
    <n v="231"/>
    <n v="495"/>
    <n v="97"/>
    <n v="4"/>
    <n v="388"/>
    <x v="190"/>
    <x v="4"/>
    <n v="181"/>
    <x v="8"/>
    <n v="271.18181818181819"/>
    <n v="-0.64230640295005026"/>
    <x v="8"/>
    <n v="291.45454545454544"/>
    <d v="2022-01-07T00:00:00"/>
    <n v="841"/>
    <x v="3"/>
  </r>
  <r>
    <n v="232"/>
    <n v="436"/>
    <n v="184"/>
    <n v="4"/>
    <n v="736"/>
    <x v="191"/>
    <x v="2"/>
    <n v="166"/>
    <x v="4"/>
    <n v="250.48780487804879"/>
    <n v="-0.26543330087633887"/>
    <x v="56"/>
    <n v="247.66666666666666"/>
    <d v="2022-08-23T00:00:00"/>
    <n v="351"/>
    <x v="0"/>
  </r>
  <r>
    <n v="233"/>
    <n v="358"/>
    <n v="172"/>
    <n v="1"/>
    <n v="172"/>
    <x v="116"/>
    <x v="15"/>
    <n v="478"/>
    <x v="17"/>
    <n v="267.85483870967744"/>
    <n v="-0.3578611428915518"/>
    <x v="70"/>
    <n v="268"/>
    <d v="2022-06-14T00:00:00"/>
    <n v="653"/>
    <x v="3"/>
  </r>
  <r>
    <n v="234"/>
    <n v="160"/>
    <n v="288"/>
    <n v="2"/>
    <n v="576"/>
    <x v="192"/>
    <x v="10"/>
    <n v="429"/>
    <x v="18"/>
    <n v="255.11627906976744"/>
    <n v="0.12889699179580671"/>
    <x v="34"/>
    <n v="250.30769230769232"/>
    <d v="2022-03-05T00:00:00"/>
    <n v="371"/>
    <x v="4"/>
  </r>
  <r>
    <n v="235"/>
    <n v="23"/>
    <n v="174"/>
    <n v="3"/>
    <n v="522"/>
    <x v="193"/>
    <x v="13"/>
    <n v="181"/>
    <x v="6"/>
    <n v="258.5128205128205"/>
    <n v="-0.32691926205118027"/>
    <x v="26"/>
    <n v="216.4"/>
    <d v="2022-01-07T00:00:00"/>
    <n v="828"/>
    <x v="3"/>
  </r>
  <r>
    <n v="236"/>
    <n v="49"/>
    <n v="292"/>
    <n v="3"/>
    <n v="876"/>
    <x v="194"/>
    <x v="1"/>
    <n v="431"/>
    <x v="13"/>
    <n v="258.375"/>
    <n v="0.1301402999516208"/>
    <x v="30"/>
    <n v="317.85714285714283"/>
    <d v="2022-03-03T00:00:00"/>
    <n v="436"/>
    <x v="2"/>
  </r>
  <r>
    <n v="237"/>
    <n v="485"/>
    <n v="243"/>
    <n v="3"/>
    <n v="729"/>
    <x v="195"/>
    <x v="13"/>
    <n v="34"/>
    <x v="3"/>
    <n v="265.47674418604652"/>
    <n v="-8.4665586264289772E-2"/>
    <x v="3"/>
    <n v="236.27586206896552"/>
    <d v="2022-04-03T00:00:00"/>
    <n v="333"/>
    <x v="4"/>
  </r>
  <r>
    <n v="238"/>
    <n v="131"/>
    <n v="382"/>
    <n v="5"/>
    <n v="1910"/>
    <x v="196"/>
    <x v="5"/>
    <n v="147"/>
    <x v="5"/>
    <n v="268.60344827586209"/>
    <n v="0.42217087104435436"/>
    <x v="32"/>
    <n v="254.18181818181819"/>
    <d v="2022-09-23T00:00:00"/>
    <n v="538"/>
    <x v="2"/>
  </r>
  <r>
    <n v="239"/>
    <n v="270"/>
    <n v="308"/>
    <n v="1"/>
    <n v="308"/>
    <x v="197"/>
    <x v="1"/>
    <n v="496"/>
    <x v="1"/>
    <n v="264.8679245283019"/>
    <n v="0.16284370993018937"/>
    <x v="64"/>
    <n v="236.91666666666666"/>
    <d v="2022-11-02T00:00:00"/>
    <n v="455"/>
    <x v="3"/>
  </r>
  <r>
    <n v="240"/>
    <n v="345"/>
    <n v="357"/>
    <n v="4"/>
    <n v="1428"/>
    <x v="198"/>
    <x v="14"/>
    <n v="202"/>
    <x v="17"/>
    <n v="267.85483870967744"/>
    <n v="0.33281146504486059"/>
    <x v="27"/>
    <n v="288.23809523809524"/>
    <d v="2022-07-24T00:00:00"/>
    <n v="291"/>
    <x v="1"/>
  </r>
  <r>
    <n v="241"/>
    <n v="40"/>
    <n v="82"/>
    <n v="1"/>
    <n v="82"/>
    <x v="199"/>
    <x v="4"/>
    <n v="312"/>
    <x v="19"/>
    <n v="286.92307692307691"/>
    <n v="-0.71420911528150133"/>
    <x v="71"/>
    <n v="82"/>
    <d v="2022-11-21T00:00:00"/>
    <n v="125"/>
    <x v="2"/>
  </r>
  <r>
    <n v="242"/>
    <n v="275"/>
    <n v="219"/>
    <n v="1"/>
    <n v="219"/>
    <x v="200"/>
    <x v="16"/>
    <n v="41"/>
    <x v="11"/>
    <n v="262.63492063492066"/>
    <n v="-0.16614287441073383"/>
    <x v="47"/>
    <n v="271"/>
    <d v="2022-10-08T00:00:00"/>
    <n v="186"/>
    <x v="2"/>
  </r>
  <r>
    <n v="243"/>
    <n v="205"/>
    <n v="117"/>
    <n v="5"/>
    <n v="585"/>
    <x v="201"/>
    <x v="19"/>
    <n v="389"/>
    <x v="3"/>
    <n v="265.47674418604652"/>
    <n v="-0.559283430423547"/>
    <x v="3"/>
    <n v="236.27586206896552"/>
    <d v="2022-11-11T00:00:00"/>
    <n v="130"/>
    <x v="2"/>
  </r>
  <r>
    <n v="244"/>
    <n v="219"/>
    <n v="474"/>
    <n v="5"/>
    <n v="2370"/>
    <x v="202"/>
    <x v="10"/>
    <n v="24"/>
    <x v="9"/>
    <n v="263.25423728813558"/>
    <n v="0.80054081895441676"/>
    <x v="43"/>
    <n v="287.10000000000002"/>
    <d v="2022-02-17T00:00:00"/>
    <n v="691"/>
    <x v="0"/>
  </r>
  <r>
    <n v="245"/>
    <n v="425"/>
    <n v="334"/>
    <n v="2"/>
    <n v="668"/>
    <x v="0"/>
    <x v="7"/>
    <n v="25"/>
    <x v="1"/>
    <n v="264.8679245283019"/>
    <n v="0.2610058412879328"/>
    <x v="13"/>
    <n v="320.84615384615387"/>
    <d v="2022-01-21T00:00:00"/>
    <n v="605"/>
    <x v="4"/>
  </r>
  <r>
    <n v="246"/>
    <n v="452"/>
    <n v="220"/>
    <n v="5"/>
    <n v="1100"/>
    <x v="203"/>
    <x v="4"/>
    <n v="411"/>
    <x v="12"/>
    <n v="274.16279069767444"/>
    <n v="-0.19755704470268898"/>
    <x v="18"/>
    <n v="253.6875"/>
    <d v="2022-04-22T00:00:00"/>
    <n v="278"/>
    <x v="4"/>
  </r>
  <r>
    <n v="247"/>
    <n v="285"/>
    <n v="282"/>
    <n v="5"/>
    <n v="1410"/>
    <x v="204"/>
    <x v="16"/>
    <n v="106"/>
    <x v="3"/>
    <n v="265.47674418604652"/>
    <n v="6.2239936927861228E-2"/>
    <x v="16"/>
    <n v="276.67567567567568"/>
    <d v="2022-10-24T00:00:00"/>
    <n v="547"/>
    <x v="3"/>
  </r>
  <r>
    <n v="248"/>
    <n v="435"/>
    <n v="499"/>
    <n v="5"/>
    <n v="2495"/>
    <x v="92"/>
    <x v="4"/>
    <n v="175"/>
    <x v="10"/>
    <n v="271.74545454545455"/>
    <n v="0.83627726482001874"/>
    <x v="37"/>
    <n v="272.35294117647061"/>
    <d v="2022-01-04T00:00:00"/>
    <n v="377"/>
    <x v="2"/>
  </r>
  <r>
    <n v="249"/>
    <n v="26"/>
    <n v="170"/>
    <n v="1"/>
    <n v="170"/>
    <x v="184"/>
    <x v="17"/>
    <n v="286"/>
    <x v="10"/>
    <n v="271.74545454545455"/>
    <n v="-0.37441455907935239"/>
    <x v="12"/>
    <n v="212.8125"/>
    <d v="2022-01-02T00:00:00"/>
    <n v="576"/>
    <x v="4"/>
  </r>
  <r>
    <n v="250"/>
    <n v="157"/>
    <n v="52"/>
    <n v="1"/>
    <n v="52"/>
    <x v="205"/>
    <x v="0"/>
    <n v="249"/>
    <x v="11"/>
    <n v="262.63492063492066"/>
    <n v="-0.80200652725734312"/>
    <x v="21"/>
    <n v="238.72222222222223"/>
    <d v="2022-08-08T00:00:00"/>
    <n v="180"/>
    <x v="2"/>
  </r>
  <r>
    <n v="251"/>
    <n v="273"/>
    <n v="156"/>
    <n v="5"/>
    <n v="780"/>
    <x v="119"/>
    <x v="15"/>
    <n v="168"/>
    <x v="17"/>
    <n v="267.85483870967744"/>
    <n v="-0.41759499006443068"/>
    <x v="66"/>
    <n v="273.625"/>
    <d v="2022-05-25T00:00:00"/>
    <n v="323"/>
    <x v="0"/>
  </r>
  <r>
    <n v="252"/>
    <n v="340"/>
    <n v="450"/>
    <n v="3"/>
    <n v="1350"/>
    <x v="206"/>
    <x v="7"/>
    <n v="121"/>
    <x v="11"/>
    <n v="262.63492063492066"/>
    <n v="0.71340505258068387"/>
    <x v="17"/>
    <n v="311.33333333333331"/>
    <d v="2022-07-21T00:00:00"/>
    <n v="170"/>
    <x v="2"/>
  </r>
  <r>
    <n v="253"/>
    <n v="34"/>
    <n v="366"/>
    <n v="4"/>
    <n v="1464"/>
    <x v="131"/>
    <x v="6"/>
    <n v="259"/>
    <x v="18"/>
    <n v="255.11627906976744"/>
    <n v="0.4346399270738377"/>
    <x v="72"/>
    <n v="252.09090909090909"/>
    <d v="2022-05-26T00:00:00"/>
    <n v="557"/>
    <x v="1"/>
  </r>
  <r>
    <n v="254"/>
    <n v="296"/>
    <n v="210"/>
    <n v="1"/>
    <n v="210"/>
    <x v="168"/>
    <x v="1"/>
    <n v="255"/>
    <x v="18"/>
    <n v="255.11627906976744"/>
    <n v="-0.17684594348222427"/>
    <x v="34"/>
    <n v="250.30769230769232"/>
    <d v="2022-08-20T00:00:00"/>
    <n v="217"/>
    <x v="3"/>
  </r>
  <r>
    <n v="255"/>
    <n v="116"/>
    <n v="379"/>
    <n v="4"/>
    <n v="1516"/>
    <x v="207"/>
    <x v="14"/>
    <n v="405"/>
    <x v="1"/>
    <n v="264.8679245283019"/>
    <n v="0.43090183786864222"/>
    <x v="13"/>
    <n v="320.84615384615387"/>
    <d v="2022-08-25T00:00:00"/>
    <n v="463"/>
    <x v="3"/>
  </r>
  <r>
    <n v="256"/>
    <n v="117"/>
    <n v="102"/>
    <n v="4"/>
    <n v="408"/>
    <x v="208"/>
    <x v="16"/>
    <n v="376"/>
    <x v="3"/>
    <n v="265.47674418604652"/>
    <n v="-0.61578555472822039"/>
    <x v="29"/>
    <n v="235.55555555555554"/>
    <d v="2022-06-18T00:00:00"/>
    <n v="599"/>
    <x v="1"/>
  </r>
  <r>
    <n v="257"/>
    <n v="239"/>
    <n v="380"/>
    <n v="5"/>
    <n v="1900"/>
    <x v="37"/>
    <x v="0"/>
    <n v="489"/>
    <x v="9"/>
    <n v="263.25423728813558"/>
    <n v="0.44347154262168442"/>
    <x v="33"/>
    <n v="248.5"/>
    <d v="2022-01-26T00:00:00"/>
    <n v="542"/>
    <x v="2"/>
  </r>
  <r>
    <n v="258"/>
    <n v="201"/>
    <n v="355"/>
    <n v="5"/>
    <n v="1775"/>
    <x v="110"/>
    <x v="11"/>
    <n v="483"/>
    <x v="2"/>
    <n v="283.468085106383"/>
    <n v="0.25234556781505657"/>
    <x v="36"/>
    <n v="249.5"/>
    <d v="2022-10-21T00:00:00"/>
    <n v="488"/>
    <x v="2"/>
  </r>
  <r>
    <n v="259"/>
    <n v="377"/>
    <n v="403"/>
    <n v="4"/>
    <n v="1612"/>
    <x v="209"/>
    <x v="16"/>
    <n v="107"/>
    <x v="19"/>
    <n v="286.92307692307691"/>
    <n v="0.40455764075067036"/>
    <x v="40"/>
    <n v="273.58333333333331"/>
    <d v="2022-07-02T00:00:00"/>
    <n v="593"/>
    <x v="4"/>
  </r>
  <r>
    <n v="260"/>
    <n v="485"/>
    <n v="101"/>
    <n v="1"/>
    <n v="101"/>
    <x v="94"/>
    <x v="13"/>
    <n v="51"/>
    <x v="3"/>
    <n v="265.47674418604652"/>
    <n v="-0.61955236301519867"/>
    <x v="3"/>
    <n v="236.27586206896552"/>
    <d v="2022-02-13T00:00:00"/>
    <n v="726"/>
    <x v="0"/>
  </r>
  <r>
    <n v="261"/>
    <n v="251"/>
    <n v="294"/>
    <n v="1"/>
    <n v="294"/>
    <x v="96"/>
    <x v="4"/>
    <n v="47"/>
    <x v="4"/>
    <n v="250.48780487804879"/>
    <n v="0.17370983446932819"/>
    <x v="56"/>
    <n v="247.66666666666666"/>
    <d v="2022-05-12T00:00:00"/>
    <n v="389"/>
    <x v="1"/>
  </r>
  <r>
    <n v="262"/>
    <n v="409"/>
    <n v="299"/>
    <n v="1"/>
    <n v="299"/>
    <x v="114"/>
    <x v="2"/>
    <n v="411"/>
    <x v="12"/>
    <n v="274.16279069767444"/>
    <n v="9.0592925608618202E-2"/>
    <x v="65"/>
    <n v="258.30769230769232"/>
    <d v="2022-04-22T00:00:00"/>
    <n v="688"/>
    <x v="4"/>
  </r>
  <r>
    <n v="263"/>
    <n v="422"/>
    <n v="349"/>
    <n v="2"/>
    <n v="698"/>
    <x v="210"/>
    <x v="10"/>
    <n v="160"/>
    <x v="7"/>
    <n v="249.02380952380952"/>
    <n v="0.40147241610096573"/>
    <x v="59"/>
    <n v="256.89999999999998"/>
    <d v="2022-03-29T00:00:00"/>
    <n v="396"/>
    <x v="0"/>
  </r>
  <r>
    <n v="264"/>
    <n v="222"/>
    <n v="500"/>
    <n v="2"/>
    <n v="1000"/>
    <x v="211"/>
    <x v="18"/>
    <n v="9"/>
    <x v="15"/>
    <n v="294.95238095238096"/>
    <n v="0.6951888924765901"/>
    <x v="23"/>
    <n v="318.81818181818181"/>
    <d v="2022-12-05T00:00:00"/>
    <n v="257"/>
    <x v="4"/>
  </r>
  <r>
    <n v="265"/>
    <n v="497"/>
    <n v="387"/>
    <n v="2"/>
    <n v="774"/>
    <x v="212"/>
    <x v="7"/>
    <n v="456"/>
    <x v="17"/>
    <n v="267.85483870967744"/>
    <n v="0.44481242849400848"/>
    <x v="35"/>
    <n v="250.25925925925927"/>
    <d v="2022-02-26T00:00:00"/>
    <n v="327"/>
    <x v="2"/>
  </r>
  <r>
    <n v="266"/>
    <n v="217"/>
    <n v="412"/>
    <n v="2"/>
    <n v="824"/>
    <x v="25"/>
    <x v="11"/>
    <n v="110"/>
    <x v="10"/>
    <n v="271.74545454545455"/>
    <n v="0.51612471564298135"/>
    <x v="10"/>
    <n v="311.2"/>
    <d v="2022-01-19T00:00:00"/>
    <n v="594"/>
    <x v="0"/>
  </r>
  <r>
    <n v="267"/>
    <n v="351"/>
    <n v="155"/>
    <n v="5"/>
    <n v="775"/>
    <x v="81"/>
    <x v="9"/>
    <n v="216"/>
    <x v="14"/>
    <n v="273.72549019607845"/>
    <n v="-0.43373925501432664"/>
    <x v="58"/>
    <n v="241.83333333333334"/>
    <d v="2022-04-04T00:00:00"/>
    <n v="534"/>
    <x v="4"/>
  </r>
  <r>
    <n v="268"/>
    <n v="494"/>
    <n v="214"/>
    <n v="1"/>
    <n v="214"/>
    <x v="119"/>
    <x v="6"/>
    <n v="424"/>
    <x v="11"/>
    <n v="262.63492063492066"/>
    <n v="-0.18518070832829692"/>
    <x v="47"/>
    <n v="271"/>
    <d v="2022-01-24T00:00:00"/>
    <n v="444"/>
    <x v="2"/>
  </r>
  <r>
    <n v="269"/>
    <n v="464"/>
    <n v="290"/>
    <n v="3"/>
    <n v="870"/>
    <x v="134"/>
    <x v="14"/>
    <n v="77"/>
    <x v="11"/>
    <n v="262.63492063492066"/>
    <n v="0.10419436721866293"/>
    <x v="47"/>
    <n v="271"/>
    <d v="2022-03-24T00:00:00"/>
    <n v="541"/>
    <x v="2"/>
  </r>
  <r>
    <n v="270"/>
    <n v="462"/>
    <n v="271"/>
    <n v="2"/>
    <n v="542"/>
    <x v="45"/>
    <x v="0"/>
    <n v="192"/>
    <x v="13"/>
    <n v="258.375"/>
    <n v="4.8863086598935679E-2"/>
    <x v="20"/>
    <n v="269.70588235294116"/>
    <d v="2022-01-11T00:00:00"/>
    <n v="404"/>
    <x v="2"/>
  </r>
  <r>
    <n v="271"/>
    <n v="102"/>
    <n v="326"/>
    <n v="2"/>
    <n v="652"/>
    <x v="213"/>
    <x v="16"/>
    <n v="130"/>
    <x v="2"/>
    <n v="283.468085106383"/>
    <n v="0.15004128199354483"/>
    <x v="36"/>
    <n v="249.5"/>
    <d v="2022-10-29T00:00:00"/>
    <n v="279"/>
    <x v="4"/>
  </r>
  <r>
    <n v="272"/>
    <n v="345"/>
    <n v="420"/>
    <n v="2"/>
    <n v="840"/>
    <x v="214"/>
    <x v="11"/>
    <n v="308"/>
    <x v="17"/>
    <n v="267.85483870967744"/>
    <n v="0.56801348828807119"/>
    <x v="27"/>
    <n v="288.23809523809524"/>
    <d v="2022-01-01T00:00:00"/>
    <n v="475"/>
    <x v="1"/>
  </r>
  <r>
    <n v="273"/>
    <n v="445"/>
    <n v="71"/>
    <n v="4"/>
    <n v="284"/>
    <x v="215"/>
    <x v="17"/>
    <n v="455"/>
    <x v="0"/>
    <n v="252.76271186440678"/>
    <n v="-0.71910413732984646"/>
    <x v="11"/>
    <n v="240.26666666666668"/>
    <d v="2022-09-16T00:00:00"/>
    <n v="430"/>
    <x v="3"/>
  </r>
  <r>
    <n v="274"/>
    <n v="241"/>
    <n v="400"/>
    <n v="3"/>
    <n v="1200"/>
    <x v="178"/>
    <x v="17"/>
    <n v="490"/>
    <x v="19"/>
    <n v="286.92307692307691"/>
    <n v="0.39410187667560326"/>
    <x v="40"/>
    <n v="273.58333333333331"/>
    <d v="2022-02-11T00:00:00"/>
    <n v="768"/>
    <x v="2"/>
  </r>
  <r>
    <n v="275"/>
    <n v="258"/>
    <n v="109"/>
    <n v="2"/>
    <n v="218"/>
    <x v="216"/>
    <x v="2"/>
    <n v="480"/>
    <x v="6"/>
    <n v="258.5128205128205"/>
    <n v="-0.5783574687561992"/>
    <x v="26"/>
    <n v="216.4"/>
    <d v="2022-01-07T00:00:00"/>
    <n v="848"/>
    <x v="0"/>
  </r>
  <r>
    <n v="276"/>
    <n v="376"/>
    <n v="217"/>
    <n v="1"/>
    <n v="217"/>
    <x v="217"/>
    <x v="4"/>
    <n v="321"/>
    <x v="17"/>
    <n v="267.85483870967744"/>
    <n v="-0.18985969771782985"/>
    <x v="66"/>
    <n v="273.625"/>
    <d v="2022-07-14T00:00:00"/>
    <n v="443"/>
    <x v="4"/>
  </r>
  <r>
    <n v="277"/>
    <n v="7"/>
    <n v="104"/>
    <n v="1"/>
    <n v="104"/>
    <x v="63"/>
    <x v="7"/>
    <n v="496"/>
    <x v="11"/>
    <n v="262.63492063492066"/>
    <n v="-0.60401305451468634"/>
    <x v="21"/>
    <n v="238.72222222222223"/>
    <d v="2022-11-02T00:00:00"/>
    <n v="122"/>
    <x v="3"/>
  </r>
  <r>
    <n v="278"/>
    <n v="428"/>
    <n v="428"/>
    <n v="4"/>
    <n v="1712"/>
    <x v="21"/>
    <x v="10"/>
    <n v="203"/>
    <x v="17"/>
    <n v="267.85483870967744"/>
    <n v="0.59788041187451069"/>
    <x v="35"/>
    <n v="250.25925925925927"/>
    <d v="2022-05-04T00:00:00"/>
    <n v="438"/>
    <x v="2"/>
  </r>
  <r>
    <n v="279"/>
    <n v="216"/>
    <n v="83"/>
    <n v="3"/>
    <n v="249"/>
    <x v="100"/>
    <x v="9"/>
    <n v="457"/>
    <x v="7"/>
    <n v="249.02380952380952"/>
    <n v="-0.66669853714504246"/>
    <x v="39"/>
    <n v="222.2"/>
    <d v="2022-02-03T00:00:00"/>
    <n v="438"/>
    <x v="4"/>
  </r>
  <r>
    <n v="280"/>
    <n v="272"/>
    <n v="113"/>
    <n v="3"/>
    <n v="339"/>
    <x v="171"/>
    <x v="15"/>
    <n v="21"/>
    <x v="18"/>
    <n v="255.11627906976744"/>
    <n v="-0.55706472196900636"/>
    <x v="72"/>
    <n v="252.09090909090909"/>
    <d v="2022-11-16T00:00:00"/>
    <n v="138"/>
    <x v="1"/>
  </r>
  <r>
    <n v="281"/>
    <n v="236"/>
    <n v="221"/>
    <n v="4"/>
    <n v="884"/>
    <x v="218"/>
    <x v="11"/>
    <n v="333"/>
    <x v="2"/>
    <n v="283.468085106383"/>
    <n v="-0.22037078736020421"/>
    <x v="46"/>
    <n v="321.63636363636363"/>
    <d v="2022-10-23T00:00:00"/>
    <n v="309"/>
    <x v="2"/>
  </r>
  <r>
    <n v="282"/>
    <n v="225"/>
    <n v="114"/>
    <n v="3"/>
    <n v="342"/>
    <x v="219"/>
    <x v="7"/>
    <n v="405"/>
    <x v="1"/>
    <n v="264.8679245283019"/>
    <n v="-0.56959680866220264"/>
    <x v="1"/>
    <n v="238.16666666666666"/>
    <d v="2022-08-25T00:00:00"/>
    <n v="328"/>
    <x v="3"/>
  </r>
  <r>
    <n v="283"/>
    <n v="167"/>
    <n v="488"/>
    <n v="3"/>
    <n v="1464"/>
    <x v="75"/>
    <x v="0"/>
    <n v="32"/>
    <x v="10"/>
    <n v="271.74545454545455"/>
    <n v="0.79579820687809444"/>
    <x v="12"/>
    <n v="212.8125"/>
    <d v="2022-12-27T00:00:00"/>
    <n v="242"/>
    <x v="0"/>
  </r>
  <r>
    <n v="284"/>
    <n v="467"/>
    <n v="421"/>
    <n v="5"/>
    <n v="2105"/>
    <x v="124"/>
    <x v="6"/>
    <n v="334"/>
    <x v="3"/>
    <n v="265.47674418604652"/>
    <n v="0.58582628881783538"/>
    <x v="3"/>
    <n v="236.27586206896552"/>
    <d v="2022-11-16T00:00:00"/>
    <n v="189"/>
    <x v="3"/>
  </r>
  <r>
    <n v="285"/>
    <n v="430"/>
    <n v="380"/>
    <n v="1"/>
    <n v="380"/>
    <x v="220"/>
    <x v="19"/>
    <n v="449"/>
    <x v="8"/>
    <n v="271.18181818181819"/>
    <n v="0.40127388535031838"/>
    <x v="52"/>
    <n v="243.3"/>
    <d v="2022-03-25T00:00:00"/>
    <n v="746"/>
    <x v="4"/>
  </r>
  <r>
    <n v="286"/>
    <n v="139"/>
    <n v="232"/>
    <n v="3"/>
    <n v="696"/>
    <x v="91"/>
    <x v="18"/>
    <n v="302"/>
    <x v="9"/>
    <n v="263.25423728813558"/>
    <n v="-0.11872263713623488"/>
    <x v="9"/>
    <n v="257.78260869565219"/>
    <d v="2022-10-25T00:00:00"/>
    <n v="338"/>
    <x v="2"/>
  </r>
  <r>
    <n v="287"/>
    <n v="351"/>
    <n v="93"/>
    <n v="3"/>
    <n v="279"/>
    <x v="221"/>
    <x v="12"/>
    <n v="341"/>
    <x v="14"/>
    <n v="273.72549019607845"/>
    <n v="-0.66024355300859594"/>
    <x v="58"/>
    <n v="241.83333333333334"/>
    <d v="2022-06-12T00:00:00"/>
    <n v="668"/>
    <x v="2"/>
  </r>
  <r>
    <n v="288"/>
    <n v="404"/>
    <n v="136"/>
    <n v="2"/>
    <n v="272"/>
    <x v="64"/>
    <x v="3"/>
    <n v="62"/>
    <x v="9"/>
    <n v="263.25423728813558"/>
    <n v="-0.48338913211434453"/>
    <x v="9"/>
    <n v="257.78260869565219"/>
    <d v="2022-04-20T00:00:00"/>
    <n v="616"/>
    <x v="2"/>
  </r>
  <r>
    <n v="289"/>
    <n v="237"/>
    <n v="157"/>
    <n v="5"/>
    <n v="785"/>
    <x v="76"/>
    <x v="16"/>
    <n v="366"/>
    <x v="17"/>
    <n v="267.85483870967744"/>
    <n v="-0.41386162461612575"/>
    <x v="27"/>
    <n v="288.23809523809524"/>
    <d v="2022-09-23T00:00:00"/>
    <n v="119"/>
    <x v="0"/>
  </r>
  <r>
    <n v="290"/>
    <n v="323"/>
    <n v="363"/>
    <n v="4"/>
    <n v="1452"/>
    <x v="222"/>
    <x v="7"/>
    <n v="463"/>
    <x v="6"/>
    <n v="258.5128205128205"/>
    <n v="0.40418567744495149"/>
    <x v="6"/>
    <n v="260.64705882352939"/>
    <d v="2022-11-04T00:00:00"/>
    <n v="493"/>
    <x v="3"/>
  </r>
  <r>
    <n v="291"/>
    <n v="457"/>
    <n v="289"/>
    <n v="5"/>
    <n v="1445"/>
    <x v="128"/>
    <x v="16"/>
    <n v="421"/>
    <x v="5"/>
    <n v="268.60344827586209"/>
    <n v="7.5935554271776118E-2"/>
    <x v="49"/>
    <n v="272.25"/>
    <d v="2022-02-28T00:00:00"/>
    <n v="547"/>
    <x v="2"/>
  </r>
  <r>
    <n v="292"/>
    <n v="328"/>
    <n v="448"/>
    <n v="4"/>
    <n v="1792"/>
    <x v="218"/>
    <x v="10"/>
    <n v="86"/>
    <x v="14"/>
    <n v="273.72549019607845"/>
    <n v="0.63667621776504291"/>
    <x v="58"/>
    <n v="241.83333333333334"/>
    <d v="2022-05-11T00:00:00"/>
    <n v="474"/>
    <x v="0"/>
  </r>
  <r>
    <n v="293"/>
    <n v="424"/>
    <n v="226"/>
    <n v="2"/>
    <n v="452"/>
    <x v="177"/>
    <x v="9"/>
    <n v="397"/>
    <x v="2"/>
    <n v="283.468085106383"/>
    <n v="-0.20273211739097807"/>
    <x v="31"/>
    <n v="323.07692307692309"/>
    <d v="2022-06-16T00:00:00"/>
    <n v="380"/>
    <x v="1"/>
  </r>
  <r>
    <n v="294"/>
    <n v="86"/>
    <n v="261"/>
    <n v="5"/>
    <n v="1305"/>
    <x v="223"/>
    <x v="2"/>
    <n v="319"/>
    <x v="0"/>
    <n v="252.76271186440678"/>
    <n v="3.2589016294508166E-2"/>
    <x v="45"/>
    <n v="293.41176470588238"/>
    <d v="2022-04-23T00:00:00"/>
    <n v="327"/>
    <x v="0"/>
  </r>
  <r>
    <n v="295"/>
    <n v="17"/>
    <n v="253"/>
    <n v="3"/>
    <n v="759"/>
    <x v="150"/>
    <x v="15"/>
    <n v="290"/>
    <x v="7"/>
    <n v="249.02380952380952"/>
    <n v="1.5967109666316093E-2"/>
    <x v="7"/>
    <n v="276.21052631578948"/>
    <d v="2022-08-04T00:00:00"/>
    <n v="592"/>
    <x v="2"/>
  </r>
  <r>
    <n v="296"/>
    <n v="43"/>
    <n v="457"/>
    <n v="3"/>
    <n v="1371"/>
    <x v="224"/>
    <x v="8"/>
    <n v="13"/>
    <x v="2"/>
    <n v="283.468085106383"/>
    <n v="0.61217443518726999"/>
    <x v="31"/>
    <n v="323.07692307692309"/>
    <d v="2022-06-12T00:00:00"/>
    <n v="219"/>
    <x v="2"/>
  </r>
  <r>
    <n v="297"/>
    <n v="5"/>
    <n v="65"/>
    <n v="5"/>
    <n v="325"/>
    <x v="170"/>
    <x v="14"/>
    <n v="302"/>
    <x v="3"/>
    <n v="265.47674418604652"/>
    <n v="-0.75515746134641493"/>
    <x v="29"/>
    <n v="235.55555555555554"/>
    <d v="2022-10-25T00:00:00"/>
    <n v="392"/>
    <x v="2"/>
  </r>
  <r>
    <n v="298"/>
    <n v="298"/>
    <n v="65"/>
    <n v="1"/>
    <n v="65"/>
    <x v="225"/>
    <x v="19"/>
    <n v="453"/>
    <x v="18"/>
    <n v="255.11627906976744"/>
    <n v="-0.74521422060164078"/>
    <x v="67"/>
    <n v="251.91666666666666"/>
    <d v="2022-03-15T00:00:00"/>
    <n v="350"/>
    <x v="2"/>
  </r>
  <r>
    <n v="299"/>
    <n v="436"/>
    <n v="320"/>
    <n v="3"/>
    <n v="960"/>
    <x v="85"/>
    <x v="13"/>
    <n v="16"/>
    <x v="4"/>
    <n v="250.48780487804879"/>
    <n v="0.27750730282375846"/>
    <x v="56"/>
    <n v="247.66666666666666"/>
    <d v="2022-06-01T00:00:00"/>
    <n v="675"/>
    <x v="3"/>
  </r>
  <r>
    <n v="300"/>
    <n v="421"/>
    <n v="145"/>
    <n v="4"/>
    <n v="580"/>
    <x v="226"/>
    <x v="13"/>
    <n v="120"/>
    <x v="8"/>
    <n v="271.18181818181819"/>
    <n v="-0.46530338585316799"/>
    <x v="8"/>
    <n v="291.45454545454544"/>
    <d v="2022-05-10T00:00:00"/>
    <n v="632"/>
    <x v="2"/>
  </r>
  <r>
    <n v="301"/>
    <n v="223"/>
    <n v="467"/>
    <n v="5"/>
    <n v="2335"/>
    <x v="132"/>
    <x v="4"/>
    <n v="295"/>
    <x v="8"/>
    <n v="271.18181818181819"/>
    <n v="0.72209185383841756"/>
    <x v="8"/>
    <n v="291.45454545454544"/>
    <d v="2022-01-27T00:00:00"/>
    <n v="722"/>
    <x v="2"/>
  </r>
  <r>
    <n v="302"/>
    <n v="483"/>
    <n v="124"/>
    <n v="4"/>
    <n v="496"/>
    <x v="227"/>
    <x v="6"/>
    <n v="381"/>
    <x v="19"/>
    <n v="286.92307692307691"/>
    <n v="-0.56782841823056296"/>
    <x v="42"/>
    <n v="312.66666666666669"/>
    <d v="2022-06-02T00:00:00"/>
    <n v="585"/>
    <x v="0"/>
  </r>
  <r>
    <n v="303"/>
    <n v="414"/>
    <n v="406"/>
    <n v="3"/>
    <n v="1218"/>
    <x v="52"/>
    <x v="3"/>
    <n v="287"/>
    <x v="12"/>
    <n v="274.16279069767444"/>
    <n v="0.48087199932140123"/>
    <x v="18"/>
    <n v="253.6875"/>
    <d v="2022-02-16T00:00:00"/>
    <n v="638"/>
    <x v="2"/>
  </r>
  <r>
    <n v="304"/>
    <n v="389"/>
    <n v="76"/>
    <n v="4"/>
    <n v="304"/>
    <x v="228"/>
    <x v="10"/>
    <n v="415"/>
    <x v="8"/>
    <n v="271.18181818181819"/>
    <n v="-0.71974522292993637"/>
    <x v="52"/>
    <n v="243.3"/>
    <d v="2022-04-10T00:00:00"/>
    <n v="406"/>
    <x v="3"/>
  </r>
  <r>
    <n v="305"/>
    <n v="367"/>
    <n v="79"/>
    <n v="5"/>
    <n v="395"/>
    <x v="229"/>
    <x v="18"/>
    <n v="292"/>
    <x v="19"/>
    <n v="286.92307692307691"/>
    <n v="-0.72466487935656843"/>
    <x v="40"/>
    <n v="273.58333333333331"/>
    <d v="2022-02-16T00:00:00"/>
    <n v="499"/>
    <x v="2"/>
  </r>
  <r>
    <n v="306"/>
    <n v="128"/>
    <n v="466"/>
    <n v="1"/>
    <n v="466"/>
    <x v="230"/>
    <x v="19"/>
    <n v="389"/>
    <x v="10"/>
    <n v="271.74545454545455"/>
    <n v="0.71484009099424584"/>
    <x v="15"/>
    <n v="316.58333333333331"/>
    <d v="2022-11-11T00:00:00"/>
    <n v="108"/>
    <x v="2"/>
  </r>
  <r>
    <n v="307"/>
    <n v="368"/>
    <n v="265"/>
    <n v="5"/>
    <n v="1325"/>
    <x v="231"/>
    <x v="7"/>
    <n v="106"/>
    <x v="11"/>
    <n v="262.63492063492066"/>
    <n v="9.0051976308471726E-3"/>
    <x v="47"/>
    <n v="271"/>
    <d v="2022-10-24T00:00:00"/>
    <n v="334"/>
    <x v="3"/>
  </r>
  <r>
    <n v="308"/>
    <n v="74"/>
    <n v="397"/>
    <n v="2"/>
    <n v="794"/>
    <x v="169"/>
    <x v="11"/>
    <n v="458"/>
    <x v="19"/>
    <n v="286.92307692307691"/>
    <n v="0.38364611260053638"/>
    <x v="73"/>
    <n v="320.25"/>
    <d v="2022-05-13T00:00:00"/>
    <n v="484"/>
    <x v="2"/>
  </r>
  <r>
    <n v="309"/>
    <n v="276"/>
    <n v="359"/>
    <n v="2"/>
    <n v="718"/>
    <x v="191"/>
    <x v="5"/>
    <n v="203"/>
    <x v="19"/>
    <n v="286.92307692307691"/>
    <n v="0.25120643431635403"/>
    <x v="42"/>
    <n v="312.66666666666669"/>
    <d v="2022-05-04T00:00:00"/>
    <n v="462"/>
    <x v="2"/>
  </r>
  <r>
    <n v="310"/>
    <n v="149"/>
    <n v="168"/>
    <n v="4"/>
    <n v="672"/>
    <x v="232"/>
    <x v="1"/>
    <n v="1"/>
    <x v="17"/>
    <n v="267.85483870967744"/>
    <n v="-0.37279460468477155"/>
    <x v="35"/>
    <n v="250.25925925925927"/>
    <d v="2022-01-24T00:00:00"/>
    <n v="351"/>
    <x v="2"/>
  </r>
  <r>
    <n v="311"/>
    <n v="229"/>
    <n v="156"/>
    <n v="4"/>
    <n v="624"/>
    <x v="233"/>
    <x v="14"/>
    <n v="204"/>
    <x v="10"/>
    <n v="271.74545454545455"/>
    <n v="-0.42593336009634686"/>
    <x v="12"/>
    <n v="212.8125"/>
    <d v="2022-11-02T00:00:00"/>
    <n v="301"/>
    <x v="2"/>
  </r>
  <r>
    <n v="312"/>
    <n v="28"/>
    <n v="78"/>
    <n v="4"/>
    <n v="312"/>
    <x v="234"/>
    <x v="14"/>
    <n v="490"/>
    <x v="18"/>
    <n v="255.11627906976744"/>
    <n v="-0.69425706472196902"/>
    <x v="61"/>
    <n v="274.28571428571428"/>
    <d v="2022-02-11T00:00:00"/>
    <n v="352"/>
    <x v="2"/>
  </r>
  <r>
    <n v="313"/>
    <n v="260"/>
    <n v="489"/>
    <n v="3"/>
    <n v="1467"/>
    <x v="235"/>
    <x v="17"/>
    <n v="98"/>
    <x v="1"/>
    <n v="264.8679245283019"/>
    <n v="0.84620316284370989"/>
    <x v="13"/>
    <n v="320.84615384615387"/>
    <d v="2022-03-17T00:00:00"/>
    <n v="660"/>
    <x v="2"/>
  </r>
  <r>
    <n v="314"/>
    <n v="140"/>
    <n v="106"/>
    <n v="3"/>
    <n v="318"/>
    <x v="144"/>
    <x v="3"/>
    <n v="181"/>
    <x v="13"/>
    <n v="258.375"/>
    <n v="-0.58974358974358976"/>
    <x v="20"/>
    <n v="269.70588235294116"/>
    <d v="2022-01-07T00:00:00"/>
    <n v="381"/>
    <x v="3"/>
  </r>
  <r>
    <n v="315"/>
    <n v="270"/>
    <n v="204"/>
    <n v="3"/>
    <n v="612"/>
    <x v="118"/>
    <x v="13"/>
    <n v="226"/>
    <x v="1"/>
    <n v="264.8679245283019"/>
    <n v="-0.22980481550078358"/>
    <x v="64"/>
    <n v="236.91666666666666"/>
    <d v="2022-05-21T00:00:00"/>
    <n v="307"/>
    <x v="2"/>
  </r>
  <r>
    <n v="316"/>
    <n v="67"/>
    <n v="317"/>
    <n v="4"/>
    <n v="1268"/>
    <x v="236"/>
    <x v="4"/>
    <n v="322"/>
    <x v="9"/>
    <n v="263.25423728813558"/>
    <n v="0.20415915529229989"/>
    <x v="43"/>
    <n v="287.10000000000002"/>
    <d v="2022-11-21T00:00:00"/>
    <n v="336"/>
    <x v="3"/>
  </r>
  <r>
    <n v="317"/>
    <n v="448"/>
    <n v="442"/>
    <n v="1"/>
    <n v="442"/>
    <x v="28"/>
    <x v="15"/>
    <n v="296"/>
    <x v="9"/>
    <n v="263.25423728813558"/>
    <n v="0.67898532062838024"/>
    <x v="9"/>
    <n v="257.78260869565219"/>
    <d v="2022-07-16T00:00:00"/>
    <n v="282"/>
    <x v="0"/>
  </r>
  <r>
    <n v="318"/>
    <n v="331"/>
    <n v="88"/>
    <n v="3"/>
    <n v="264"/>
    <x v="237"/>
    <x v="0"/>
    <n v="458"/>
    <x v="1"/>
    <n v="264.8679245283019"/>
    <n v="-0.66775894001994596"/>
    <x v="69"/>
    <n v="273.7"/>
    <d v="2022-05-13T00:00:00"/>
    <n v="517"/>
    <x v="2"/>
  </r>
  <r>
    <n v="319"/>
    <n v="325"/>
    <n v="99"/>
    <n v="2"/>
    <n v="198"/>
    <x v="238"/>
    <x v="8"/>
    <n v="11"/>
    <x v="5"/>
    <n v="268.60344827586209"/>
    <n v="-0.63142692085499719"/>
    <x v="28"/>
    <n v="242.81818181818181"/>
    <d v="2022-05-09T00:00:00"/>
    <n v="494"/>
    <x v="4"/>
  </r>
  <r>
    <n v="320"/>
    <n v="346"/>
    <n v="178"/>
    <n v="5"/>
    <n v="890"/>
    <x v="235"/>
    <x v="14"/>
    <n v="75"/>
    <x v="8"/>
    <n v="271.18181818181819"/>
    <n v="-0.34361381159906135"/>
    <x v="8"/>
    <n v="291.45454545454544"/>
    <d v="2022-08-23T00:00:00"/>
    <n v="501"/>
    <x v="3"/>
  </r>
  <r>
    <n v="321"/>
    <n v="397"/>
    <n v="299"/>
    <n v="3"/>
    <n v="897"/>
    <x v="239"/>
    <x v="7"/>
    <n v="29"/>
    <x v="9"/>
    <n v="263.25423728813558"/>
    <n v="0.13578418748390431"/>
    <x v="9"/>
    <n v="257.78260869565219"/>
    <d v="2022-05-23T00:00:00"/>
    <n v="360"/>
    <x v="2"/>
  </r>
  <r>
    <n v="322"/>
    <n v="115"/>
    <n v="479"/>
    <n v="1"/>
    <n v="479"/>
    <x v="141"/>
    <x v="12"/>
    <n v="297"/>
    <x v="11"/>
    <n v="262.63492063492066"/>
    <n v="0.82382448930255037"/>
    <x v="21"/>
    <n v="238.72222222222223"/>
    <d v="2022-04-15T00:00:00"/>
    <n v="617"/>
    <x v="3"/>
  </r>
  <r>
    <n v="323"/>
    <n v="360"/>
    <n v="463"/>
    <n v="3"/>
    <n v="1389"/>
    <x v="240"/>
    <x v="19"/>
    <n v="497"/>
    <x v="1"/>
    <n v="264.8679245283019"/>
    <n v="0.74804103148596668"/>
    <x v="64"/>
    <n v="236.91666666666666"/>
    <d v="2022-09-22T00:00:00"/>
    <n v="432"/>
    <x v="0"/>
  </r>
  <r>
    <n v="324"/>
    <n v="230"/>
    <n v="431"/>
    <n v="3"/>
    <n v="1293"/>
    <x v="181"/>
    <x v="18"/>
    <n v="191"/>
    <x v="5"/>
    <n v="268.60344827586209"/>
    <n v="0.60459593041915394"/>
    <x v="5"/>
    <n v="281.96875"/>
    <d v="2022-11-01T00:00:00"/>
    <n v="416"/>
    <x v="3"/>
  </r>
  <r>
    <n v="325"/>
    <n v="229"/>
    <n v="173"/>
    <n v="4"/>
    <n v="692"/>
    <x v="123"/>
    <x v="16"/>
    <n v="327"/>
    <x v="10"/>
    <n v="271.74545454545455"/>
    <n v="-0.36337481600428212"/>
    <x v="12"/>
    <n v="212.8125"/>
    <d v="2022-01-04T00:00:00"/>
    <n v="473"/>
    <x v="4"/>
  </r>
  <r>
    <n v="326"/>
    <n v="486"/>
    <n v="213"/>
    <n v="1"/>
    <n v="213"/>
    <x v="241"/>
    <x v="18"/>
    <n v="58"/>
    <x v="1"/>
    <n v="264.8679245283019"/>
    <n v="-0.19582561618464167"/>
    <x v="1"/>
    <n v="238.16666666666666"/>
    <d v="2022-03-08T00:00:00"/>
    <n v="651"/>
    <x v="1"/>
  </r>
  <r>
    <n v="327"/>
    <n v="353"/>
    <n v="115"/>
    <n v="2"/>
    <n v="230"/>
    <x v="242"/>
    <x v="13"/>
    <n v="446"/>
    <x v="3"/>
    <n v="265.47674418604652"/>
    <n v="-0.56681704699750335"/>
    <x v="16"/>
    <n v="276.67567567567568"/>
    <d v="2022-04-20T00:00:00"/>
    <n v="416"/>
    <x v="4"/>
  </r>
  <r>
    <n v="328"/>
    <n v="65"/>
    <n v="455"/>
    <n v="5"/>
    <n v="2275"/>
    <x v="243"/>
    <x v="9"/>
    <n v="117"/>
    <x v="16"/>
    <n v="300.31818181818181"/>
    <n v="0.51505978507643402"/>
    <x v="24"/>
    <n v="281.73333333333335"/>
    <d v="2022-05-25T00:00:00"/>
    <n v="664"/>
    <x v="3"/>
  </r>
  <r>
    <n v="329"/>
    <n v="490"/>
    <n v="176"/>
    <n v="3"/>
    <n v="528"/>
    <x v="87"/>
    <x v="15"/>
    <n v="32"/>
    <x v="11"/>
    <n v="262.63492063492066"/>
    <n v="-0.3298682461017769"/>
    <x v="47"/>
    <n v="271"/>
    <d v="2022-12-27T00:00:00"/>
    <n v="261"/>
    <x v="0"/>
  </r>
  <r>
    <n v="330"/>
    <n v="188"/>
    <n v="154"/>
    <n v="4"/>
    <n v="616"/>
    <x v="244"/>
    <x v="18"/>
    <n v="187"/>
    <x v="15"/>
    <n v="294.95238095238096"/>
    <n v="-0.47788182111721023"/>
    <x v="74"/>
    <n v="193.5"/>
    <d v="2022-10-14T00:00:00"/>
    <n v="395"/>
    <x v="2"/>
  </r>
  <r>
    <n v="331"/>
    <n v="17"/>
    <n v="212"/>
    <n v="3"/>
    <n v="636"/>
    <x v="245"/>
    <x v="16"/>
    <n v="111"/>
    <x v="7"/>
    <n v="249.02380952380952"/>
    <n v="-0.14867578162348216"/>
    <x v="7"/>
    <n v="276.21052631578948"/>
    <d v="2022-08-31T00:00:00"/>
    <n v="562"/>
    <x v="0"/>
  </r>
  <r>
    <n v="332"/>
    <n v="405"/>
    <n v="389"/>
    <n v="5"/>
    <n v="1945"/>
    <x v="118"/>
    <x v="6"/>
    <n v="231"/>
    <x v="16"/>
    <n v="300.31818181818181"/>
    <n v="0.29529287119721515"/>
    <x v="51"/>
    <n v="331.16666666666669"/>
    <d v="2022-07-10T00:00:00"/>
    <n v="257"/>
    <x v="2"/>
  </r>
  <r>
    <n v="333"/>
    <n v="23"/>
    <n v="476"/>
    <n v="3"/>
    <n v="1428"/>
    <x v="246"/>
    <x v="2"/>
    <n v="283"/>
    <x v="6"/>
    <n v="258.5128205128205"/>
    <n v="0.8413013291013689"/>
    <x v="26"/>
    <n v="216.4"/>
    <d v="2022-11-24T00:00:00"/>
    <n v="213"/>
    <x v="4"/>
  </r>
  <r>
    <n v="334"/>
    <n v="99"/>
    <n v="51"/>
    <n v="5"/>
    <n v="255"/>
    <x v="56"/>
    <x v="8"/>
    <n v="265"/>
    <x v="4"/>
    <n v="250.48780487804879"/>
    <n v="-0.79639727361246349"/>
    <x v="75"/>
    <n v="208"/>
    <d v="2022-07-14T00:00:00"/>
    <n v="667"/>
    <x v="0"/>
  </r>
  <r>
    <n v="335"/>
    <n v="196"/>
    <n v="452"/>
    <n v="2"/>
    <n v="904"/>
    <x v="209"/>
    <x v="0"/>
    <n v="136"/>
    <x v="17"/>
    <n v="267.85483870967744"/>
    <n v="0.68748118263382896"/>
    <x v="27"/>
    <n v="288.23809523809524"/>
    <d v="2022-10-26T00:00:00"/>
    <n v="477"/>
    <x v="3"/>
  </r>
  <r>
    <n v="336"/>
    <n v="415"/>
    <n v="222"/>
    <n v="3"/>
    <n v="666"/>
    <x v="247"/>
    <x v="17"/>
    <n v="395"/>
    <x v="14"/>
    <n v="273.72549019607845"/>
    <n v="-0.18896848137535827"/>
    <x v="22"/>
    <n v="280.23809523809524"/>
    <d v="2022-11-25T00:00:00"/>
    <n v="271"/>
    <x v="0"/>
  </r>
  <r>
    <n v="337"/>
    <n v="328"/>
    <n v="100"/>
    <n v="1"/>
    <n v="100"/>
    <x v="93"/>
    <x v="5"/>
    <n v="391"/>
    <x v="14"/>
    <n v="273.72549019607845"/>
    <n v="-0.63467048710601714"/>
    <x v="58"/>
    <n v="241.83333333333334"/>
    <d v="2022-04-24T00:00:00"/>
    <n v="402"/>
    <x v="4"/>
  </r>
  <r>
    <n v="338"/>
    <n v="271"/>
    <n v="382"/>
    <n v="1"/>
    <n v="382"/>
    <x v="248"/>
    <x v="1"/>
    <n v="355"/>
    <x v="11"/>
    <n v="262.63492063492066"/>
    <n v="0.45449051130182516"/>
    <x v="47"/>
    <n v="271"/>
    <d v="2022-03-11T00:00:00"/>
    <n v="551"/>
    <x v="2"/>
  </r>
  <r>
    <n v="339"/>
    <n v="204"/>
    <n v="279"/>
    <n v="4"/>
    <n v="1116"/>
    <x v="249"/>
    <x v="4"/>
    <n v="277"/>
    <x v="2"/>
    <n v="283.468085106383"/>
    <n v="-1.5762215717180839E-2"/>
    <x v="2"/>
    <n v="232.44444444444446"/>
    <d v="2022-07-08T00:00:00"/>
    <n v="477"/>
    <x v="2"/>
  </r>
  <r>
    <n v="340"/>
    <n v="60"/>
    <n v="500"/>
    <n v="2"/>
    <n v="1000"/>
    <x v="30"/>
    <x v="19"/>
    <n v="145"/>
    <x v="7"/>
    <n v="249.02380952380952"/>
    <n v="1.0078401376804664"/>
    <x v="7"/>
    <n v="276.21052631578948"/>
    <d v="2022-04-02T00:00:00"/>
    <n v="472"/>
    <x v="3"/>
  </r>
  <r>
    <n v="341"/>
    <n v="76"/>
    <n v="92"/>
    <n v="2"/>
    <n v="184"/>
    <x v="250"/>
    <x v="0"/>
    <n v="104"/>
    <x v="2"/>
    <n v="283.468085106383"/>
    <n v="-0.67544847256623886"/>
    <x v="2"/>
    <n v="232.44444444444446"/>
    <d v="2022-07-30T00:00:00"/>
    <n v="460"/>
    <x v="0"/>
  </r>
  <r>
    <n v="342"/>
    <n v="201"/>
    <n v="179"/>
    <n v="5"/>
    <n v="895"/>
    <x v="251"/>
    <x v="6"/>
    <n v="109"/>
    <x v="2"/>
    <n v="283.468085106383"/>
    <n v="-0.36853561510170385"/>
    <x v="36"/>
    <n v="249.5"/>
    <d v="2022-06-20T00:00:00"/>
    <n v="359"/>
    <x v="3"/>
  </r>
  <r>
    <n v="343"/>
    <n v="462"/>
    <n v="209"/>
    <n v="4"/>
    <n v="836"/>
    <x v="17"/>
    <x v="14"/>
    <n v="369"/>
    <x v="13"/>
    <n v="258.375"/>
    <n v="-0.19109820996613447"/>
    <x v="20"/>
    <n v="269.70588235294116"/>
    <d v="2022-04-27T00:00:00"/>
    <n v="438"/>
    <x v="2"/>
  </r>
  <r>
    <n v="344"/>
    <n v="210"/>
    <n v="486"/>
    <n v="5"/>
    <n v="2430"/>
    <x v="252"/>
    <x v="3"/>
    <n v="78"/>
    <x v="19"/>
    <n v="286.92307692307691"/>
    <n v="0.69383378016085806"/>
    <x v="40"/>
    <n v="273.58333333333331"/>
    <d v="2022-04-07T00:00:00"/>
    <n v="692"/>
    <x v="3"/>
  </r>
  <r>
    <n v="345"/>
    <n v="404"/>
    <n v="123"/>
    <n v="1"/>
    <n v="123"/>
    <x v="253"/>
    <x v="12"/>
    <n v="298"/>
    <x v="9"/>
    <n v="263.25423728813558"/>
    <n v="-0.53277105330929686"/>
    <x v="9"/>
    <n v="257.78260869565219"/>
    <d v="2022-09-17T00:00:00"/>
    <n v="525"/>
    <x v="3"/>
  </r>
  <r>
    <n v="346"/>
    <n v="178"/>
    <n v="179"/>
    <n v="1"/>
    <n v="179"/>
    <x v="254"/>
    <x v="13"/>
    <n v="130"/>
    <x v="9"/>
    <n v="263.25423728813558"/>
    <n v="-0.3200489312387329"/>
    <x v="9"/>
    <n v="257.78260869565219"/>
    <d v="2022-10-29T00:00:00"/>
    <n v="75"/>
    <x v="4"/>
  </r>
  <r>
    <n v="347"/>
    <n v="423"/>
    <n v="218"/>
    <n v="3"/>
    <n v="654"/>
    <x v="255"/>
    <x v="8"/>
    <n v="66"/>
    <x v="14"/>
    <n v="273.72549019607845"/>
    <n v="-0.20358166189111759"/>
    <x v="22"/>
    <n v="280.23809523809524"/>
    <d v="2022-08-04T00:00:00"/>
    <n v="259"/>
    <x v="2"/>
  </r>
  <r>
    <n v="348"/>
    <n v="70"/>
    <n v="51"/>
    <n v="1"/>
    <n v="51"/>
    <x v="121"/>
    <x v="1"/>
    <n v="261"/>
    <x v="13"/>
    <n v="258.375"/>
    <n v="-0.8026124818577649"/>
    <x v="34"/>
    <n v="181.57142857142858"/>
    <d v="2022-10-14T00:00:00"/>
    <n v="466"/>
    <x v="2"/>
  </r>
  <r>
    <n v="349"/>
    <n v="335"/>
    <n v="392"/>
    <n v="5"/>
    <n v="1960"/>
    <x v="256"/>
    <x v="8"/>
    <n v="307"/>
    <x v="16"/>
    <n v="300.31818181818181"/>
    <n v="0.30528227637354322"/>
    <x v="51"/>
    <n v="331.16666666666669"/>
    <d v="2022-07-22T00:00:00"/>
    <n v="453"/>
    <x v="1"/>
  </r>
  <r>
    <n v="350"/>
    <n v="427"/>
    <n v="273"/>
    <n v="5"/>
    <n v="1365"/>
    <x v="48"/>
    <x v="14"/>
    <n v="190"/>
    <x v="16"/>
    <n v="300.31818181818181"/>
    <n v="-9.0964128954139523E-2"/>
    <x v="57"/>
    <n v="316.60000000000002"/>
    <d v="2022-05-08T00:00:00"/>
    <n v="709"/>
    <x v="1"/>
  </r>
  <r>
    <n v="351"/>
    <n v="137"/>
    <n v="154"/>
    <n v="1"/>
    <n v="154"/>
    <x v="164"/>
    <x v="16"/>
    <n v="144"/>
    <x v="12"/>
    <n v="274.16279069767444"/>
    <n v="-0.43828993129188232"/>
    <x v="18"/>
    <n v="253.6875"/>
    <d v="2022-05-24T00:00:00"/>
    <n v="488"/>
    <x v="3"/>
  </r>
  <r>
    <n v="352"/>
    <n v="303"/>
    <n v="68"/>
    <n v="4"/>
    <n v="272"/>
    <x v="36"/>
    <x v="16"/>
    <n v="76"/>
    <x v="12"/>
    <n v="274.16279069767444"/>
    <n v="-0.75197217745355838"/>
    <x v="65"/>
    <n v="258.30769230769232"/>
    <d v="2022-01-14T00:00:00"/>
    <n v="372"/>
    <x v="1"/>
  </r>
  <r>
    <n v="353"/>
    <n v="23"/>
    <n v="380"/>
    <n v="1"/>
    <n v="380"/>
    <x v="217"/>
    <x v="8"/>
    <n v="84"/>
    <x v="6"/>
    <n v="258.5128205128205"/>
    <n v="0.46994643919857171"/>
    <x v="26"/>
    <n v="216.4"/>
    <d v="2022-09-01T00:00:00"/>
    <n v="394"/>
    <x v="4"/>
  </r>
  <r>
    <n v="354"/>
    <n v="398"/>
    <n v="417"/>
    <n v="4"/>
    <n v="1668"/>
    <x v="128"/>
    <x v="15"/>
    <n v="81"/>
    <x v="5"/>
    <n v="268.60344827586209"/>
    <n v="0.55247448488349682"/>
    <x v="5"/>
    <n v="281.96875"/>
    <d v="2022-09-21T00:00:00"/>
    <n v="342"/>
    <x v="2"/>
  </r>
  <r>
    <n v="355"/>
    <n v="8"/>
    <n v="404"/>
    <n v="1"/>
    <n v="404"/>
    <x v="93"/>
    <x v="14"/>
    <n v="157"/>
    <x v="3"/>
    <n v="265.47674418604652"/>
    <n v="0.52179054793920554"/>
    <x v="16"/>
    <n v="276.67567567567568"/>
    <d v="2022-08-10T00:00:00"/>
    <n v="294"/>
    <x v="2"/>
  </r>
  <r>
    <n v="356"/>
    <n v="485"/>
    <n v="193"/>
    <n v="1"/>
    <n v="193"/>
    <x v="175"/>
    <x v="12"/>
    <n v="57"/>
    <x v="3"/>
    <n v="265.47674418604652"/>
    <n v="-0.27300600061320135"/>
    <x v="3"/>
    <n v="236.27586206896552"/>
    <d v="2022-04-18T00:00:00"/>
    <n v="436"/>
    <x v="2"/>
  </r>
  <r>
    <n v="357"/>
    <n v="60"/>
    <n v="320"/>
    <n v="4"/>
    <n v="1280"/>
    <x v="257"/>
    <x v="10"/>
    <n v="273"/>
    <x v="7"/>
    <n v="249.02380952380952"/>
    <n v="0.28501768811549866"/>
    <x v="7"/>
    <n v="276.21052631578948"/>
    <d v="2022-02-07T00:00:00"/>
    <n v="693"/>
    <x v="0"/>
  </r>
  <r>
    <n v="358"/>
    <n v="290"/>
    <n v="470"/>
    <n v="5"/>
    <n v="2350"/>
    <x v="103"/>
    <x v="12"/>
    <n v="479"/>
    <x v="0"/>
    <n v="252.76271186440678"/>
    <n v="0.85945148528129822"/>
    <x v="0"/>
    <n v="240.5"/>
    <d v="2022-08-20T00:00:00"/>
    <n v="246"/>
    <x v="2"/>
  </r>
  <r>
    <n v="359"/>
    <n v="386"/>
    <n v="424"/>
    <n v="3"/>
    <n v="1272"/>
    <x v="218"/>
    <x v="19"/>
    <n v="406"/>
    <x v="18"/>
    <n v="255.11627906976744"/>
    <n v="0.6619872379216043"/>
    <x v="67"/>
    <n v="251.91666666666666"/>
    <d v="2022-11-30T00:00:00"/>
    <n v="271"/>
    <x v="3"/>
  </r>
  <r>
    <n v="360"/>
    <n v="348"/>
    <n v="147"/>
    <n v="4"/>
    <n v="588"/>
    <x v="201"/>
    <x v="14"/>
    <n v="157"/>
    <x v="14"/>
    <n v="273.72549019607845"/>
    <n v="-0.4629656160458453"/>
    <x v="63"/>
    <n v="266.27272727272725"/>
    <d v="2022-08-10T00:00:00"/>
    <n v="223"/>
    <x v="2"/>
  </r>
  <r>
    <n v="361"/>
    <n v="350"/>
    <n v="319"/>
    <n v="3"/>
    <n v="957"/>
    <x v="258"/>
    <x v="0"/>
    <n v="56"/>
    <x v="12"/>
    <n v="274.16279069767444"/>
    <n v="0.16354228518110103"/>
    <x v="50"/>
    <n v="280.66666666666669"/>
    <d v="2022-04-11T00:00:00"/>
    <n v="723"/>
    <x v="4"/>
  </r>
  <r>
    <n v="362"/>
    <n v="126"/>
    <n v="479"/>
    <n v="2"/>
    <n v="958"/>
    <x v="210"/>
    <x v="16"/>
    <n v="10"/>
    <x v="0"/>
    <n v="252.76271186440678"/>
    <n v="0.89505800308455719"/>
    <x v="45"/>
    <n v="293.41176470588238"/>
    <d v="2022-11-16T00:00:00"/>
    <n v="164"/>
    <x v="3"/>
  </r>
  <r>
    <n v="363"/>
    <n v="258"/>
    <n v="181"/>
    <n v="5"/>
    <n v="905"/>
    <x v="259"/>
    <x v="19"/>
    <n v="174"/>
    <x v="6"/>
    <n v="258.5128205128205"/>
    <n v="-0.29984130132910136"/>
    <x v="26"/>
    <n v="216.4"/>
    <d v="2022-08-06T00:00:00"/>
    <n v="275"/>
    <x v="4"/>
  </r>
  <r>
    <n v="364"/>
    <n v="325"/>
    <n v="361"/>
    <n v="5"/>
    <n v="1805"/>
    <x v="244"/>
    <x v="3"/>
    <n v="110"/>
    <x v="5"/>
    <n v="268.60344827586209"/>
    <n v="0.34398870274086901"/>
    <x v="28"/>
    <n v="242.81818181818181"/>
    <d v="2022-01-19T00:00:00"/>
    <n v="663"/>
    <x v="0"/>
  </r>
  <r>
    <n v="365"/>
    <n v="320"/>
    <n v="254"/>
    <n v="1"/>
    <n v="254"/>
    <x v="72"/>
    <x v="11"/>
    <n v="72"/>
    <x v="17"/>
    <n v="267.85483870967744"/>
    <n v="-5.172517613054739E-2"/>
    <x v="35"/>
    <n v="250.25925925925927"/>
    <d v="2022-12-11T00:00:00"/>
    <n v="410"/>
    <x v="4"/>
  </r>
  <r>
    <n v="366"/>
    <n v="329"/>
    <n v="187"/>
    <n v="4"/>
    <n v="748"/>
    <x v="260"/>
    <x v="12"/>
    <n v="307"/>
    <x v="1"/>
    <n v="264.8679245283019"/>
    <n v="-0.29398774754238499"/>
    <x v="64"/>
    <n v="236.91666666666666"/>
    <d v="2022-07-22T00:00:00"/>
    <n v="510"/>
    <x v="1"/>
  </r>
  <r>
    <n v="367"/>
    <n v="226"/>
    <n v="155"/>
    <n v="4"/>
    <n v="620"/>
    <x v="167"/>
    <x v="13"/>
    <n v="202"/>
    <x v="11"/>
    <n v="262.63492063492066"/>
    <n v="-0.40982714855554214"/>
    <x v="17"/>
    <n v="311.33333333333331"/>
    <d v="2022-07-24T00:00:00"/>
    <n v="201"/>
    <x v="1"/>
  </r>
  <r>
    <n v="368"/>
    <n v="270"/>
    <n v="78"/>
    <n v="4"/>
    <n v="312"/>
    <x v="261"/>
    <x v="16"/>
    <n v="157"/>
    <x v="1"/>
    <n v="264.8679245283019"/>
    <n v="-0.70551360592677015"/>
    <x v="64"/>
    <n v="236.91666666666666"/>
    <d v="2022-08-10T00:00:00"/>
    <n v="149"/>
    <x v="2"/>
  </r>
  <r>
    <n v="369"/>
    <n v="233"/>
    <n v="478"/>
    <n v="2"/>
    <n v="956"/>
    <x v="37"/>
    <x v="14"/>
    <n v="270"/>
    <x v="9"/>
    <n v="263.25423728813558"/>
    <n v="0.8157352562451714"/>
    <x v="9"/>
    <n v="257.78260869565219"/>
    <d v="2022-09-23T00:00:00"/>
    <n v="302"/>
    <x v="4"/>
  </r>
  <r>
    <n v="370"/>
    <n v="178"/>
    <n v="176"/>
    <n v="5"/>
    <n v="880"/>
    <x v="87"/>
    <x v="9"/>
    <n v="65"/>
    <x v="9"/>
    <n v="263.25423728813558"/>
    <n v="-0.33144475920679883"/>
    <x v="9"/>
    <n v="257.78260869565219"/>
    <d v="2022-03-03T00:00:00"/>
    <n v="560"/>
    <x v="3"/>
  </r>
  <r>
    <n v="371"/>
    <n v="293"/>
    <n v="179"/>
    <n v="4"/>
    <n v="716"/>
    <x v="240"/>
    <x v="3"/>
    <n v="38"/>
    <x v="17"/>
    <n v="267.85483870967744"/>
    <n v="-0.33172758475341724"/>
    <x v="35"/>
    <n v="250.25925925925927"/>
    <d v="2022-09-15T00:00:00"/>
    <n v="439"/>
    <x v="4"/>
  </r>
  <r>
    <n v="372"/>
    <n v="286"/>
    <n v="122"/>
    <n v="5"/>
    <n v="610"/>
    <x v="191"/>
    <x v="5"/>
    <n v="356"/>
    <x v="9"/>
    <n v="263.25423728813558"/>
    <n v="-0.53656966263198558"/>
    <x v="9"/>
    <n v="257.78260869565219"/>
    <d v="2022-01-09T00:00:00"/>
    <n v="577"/>
    <x v="4"/>
  </r>
  <r>
    <n v="373"/>
    <n v="11"/>
    <n v="199"/>
    <n v="4"/>
    <n v="796"/>
    <x v="262"/>
    <x v="9"/>
    <n v="296"/>
    <x v="16"/>
    <n v="300.31818181818181"/>
    <n v="-0.33736945663690021"/>
    <x v="57"/>
    <n v="316.60000000000002"/>
    <d v="2022-07-16T00:00:00"/>
    <n v="616"/>
    <x v="0"/>
  </r>
  <r>
    <n v="374"/>
    <n v="441"/>
    <n v="173"/>
    <n v="3"/>
    <n v="519"/>
    <x v="6"/>
    <x v="6"/>
    <n v="62"/>
    <x v="8"/>
    <n v="271.18181818181819"/>
    <n v="-0.36205162587998663"/>
    <x v="14"/>
    <n v="260.15789473684208"/>
    <d v="2022-04-20T00:00:00"/>
    <n v="678"/>
    <x v="2"/>
  </r>
  <r>
    <n v="375"/>
    <n v="19"/>
    <n v="142"/>
    <n v="3"/>
    <n v="426"/>
    <x v="211"/>
    <x v="2"/>
    <n v="18"/>
    <x v="10"/>
    <n v="271.74545454545455"/>
    <n v="-0.47745216111334132"/>
    <x v="37"/>
    <n v="272.35294117647061"/>
    <d v="2022-01-17T00:00:00"/>
    <n v="579"/>
    <x v="3"/>
  </r>
  <r>
    <n v="376"/>
    <n v="340"/>
    <n v="157"/>
    <n v="2"/>
    <n v="314"/>
    <x v="263"/>
    <x v="10"/>
    <n v="376"/>
    <x v="11"/>
    <n v="262.63492063492066"/>
    <n v="-0.40221201498851689"/>
    <x v="17"/>
    <n v="311.33333333333331"/>
    <d v="2022-06-18T00:00:00"/>
    <n v="345"/>
    <x v="1"/>
  </r>
  <r>
    <n v="377"/>
    <n v="142"/>
    <n v="160"/>
    <n v="4"/>
    <n v="640"/>
    <x v="29"/>
    <x v="2"/>
    <n v="459"/>
    <x v="12"/>
    <n v="274.16279069767444"/>
    <n v="-0.41640512342013747"/>
    <x v="65"/>
    <n v="258.30769230769232"/>
    <d v="2022-07-01T00:00:00"/>
    <n v="671"/>
    <x v="2"/>
  </r>
  <r>
    <n v="378"/>
    <n v="452"/>
    <n v="325"/>
    <n v="2"/>
    <n v="650"/>
    <x v="264"/>
    <x v="7"/>
    <n v="88"/>
    <x v="12"/>
    <n v="274.16279069767444"/>
    <n v="0.18542709305284588"/>
    <x v="18"/>
    <n v="253.6875"/>
    <d v="2022-03-10T00:00:00"/>
    <n v="530"/>
    <x v="3"/>
  </r>
  <r>
    <n v="379"/>
    <n v="340"/>
    <n v="457"/>
    <n v="1"/>
    <n v="457"/>
    <x v="212"/>
    <x v="5"/>
    <n v="325"/>
    <x v="11"/>
    <n v="262.63492063492066"/>
    <n v="0.74005802006527244"/>
    <x v="17"/>
    <n v="311.33333333333331"/>
    <d v="2022-11-10T00:00:00"/>
    <n v="70"/>
    <x v="4"/>
  </r>
  <r>
    <n v="380"/>
    <n v="466"/>
    <n v="425"/>
    <n v="5"/>
    <n v="2125"/>
    <x v="265"/>
    <x v="13"/>
    <n v="129"/>
    <x v="12"/>
    <n v="274.16279069767444"/>
    <n v="0.55017389091525981"/>
    <x v="76"/>
    <n v="369.2"/>
    <d v="2022-11-03T00:00:00"/>
    <n v="264"/>
    <x v="1"/>
  </r>
  <r>
    <n v="381"/>
    <n v="71"/>
    <n v="125"/>
    <n v="4"/>
    <n v="500"/>
    <x v="248"/>
    <x v="9"/>
    <n v="19"/>
    <x v="2"/>
    <n v="283.468085106383"/>
    <n v="-0.55903325076934629"/>
    <x v="36"/>
    <n v="249.5"/>
    <d v="2022-12-07T00:00:00"/>
    <n v="280"/>
    <x v="2"/>
  </r>
  <r>
    <n v="382"/>
    <n v="451"/>
    <n v="227"/>
    <n v="3"/>
    <n v="681"/>
    <x v="266"/>
    <x v="10"/>
    <n v="304"/>
    <x v="13"/>
    <n v="258.375"/>
    <n v="-0.12143202709240442"/>
    <x v="20"/>
    <n v="269.70588235294116"/>
    <d v="2022-11-21T00:00:00"/>
    <n v="212"/>
    <x v="2"/>
  </r>
  <r>
    <n v="383"/>
    <n v="116"/>
    <n v="426"/>
    <n v="5"/>
    <n v="2130"/>
    <x v="69"/>
    <x v="17"/>
    <n v="285"/>
    <x v="1"/>
    <n v="264.8679245283019"/>
    <n v="0.60834876763071666"/>
    <x v="13"/>
    <n v="320.84615384615387"/>
    <d v="2022-12-27T00:00:00"/>
    <n v="71"/>
    <x v="4"/>
  </r>
  <r>
    <n v="384"/>
    <n v="480"/>
    <n v="70"/>
    <n v="1"/>
    <n v="70"/>
    <x v="212"/>
    <x v="2"/>
    <n v="464"/>
    <x v="15"/>
    <n v="294.95238095238096"/>
    <n v="-0.76267355505327739"/>
    <x v="53"/>
    <n v="322.54545454545456"/>
    <d v="2022-09-23T00:00:00"/>
    <n v="118"/>
    <x v="2"/>
  </r>
  <r>
    <n v="385"/>
    <n v="409"/>
    <n v="386"/>
    <n v="1"/>
    <n v="386"/>
    <x v="231"/>
    <x v="5"/>
    <n v="461"/>
    <x v="12"/>
    <n v="274.16279069767444"/>
    <n v="0.4079226397489184"/>
    <x v="65"/>
    <n v="258.30769230769232"/>
    <d v="2022-04-16T00:00:00"/>
    <n v="525"/>
    <x v="0"/>
  </r>
  <r>
    <n v="386"/>
    <n v="129"/>
    <n v="235"/>
    <n v="2"/>
    <n v="470"/>
    <x v="267"/>
    <x v="2"/>
    <n v="149"/>
    <x v="10"/>
    <n v="271.74545454545455"/>
    <n v="-0.13522012578616349"/>
    <x v="10"/>
    <n v="311.2"/>
    <d v="2022-11-17T00:00:00"/>
    <n v="325"/>
    <x v="4"/>
  </r>
  <r>
    <n v="387"/>
    <n v="283"/>
    <n v="107"/>
    <n v="3"/>
    <n v="321"/>
    <x v="152"/>
    <x v="10"/>
    <n v="222"/>
    <x v="17"/>
    <n v="267.85483870967744"/>
    <n v="-0.60052989703137238"/>
    <x v="27"/>
    <n v="288.23809523809524"/>
    <d v="2022-05-13T00:00:00"/>
    <n v="719"/>
    <x v="3"/>
  </r>
  <r>
    <n v="388"/>
    <n v="36"/>
    <n v="83"/>
    <n v="4"/>
    <n v="332"/>
    <x v="176"/>
    <x v="5"/>
    <n v="333"/>
    <x v="3"/>
    <n v="265.47674418604652"/>
    <n v="-0.6873549121808068"/>
    <x v="29"/>
    <n v="235.55555555555554"/>
    <d v="2022-10-23T00:00:00"/>
    <n v="408"/>
    <x v="2"/>
  </r>
  <r>
    <n v="389"/>
    <n v="290"/>
    <n v="50"/>
    <n v="5"/>
    <n v="250"/>
    <x v="268"/>
    <x v="9"/>
    <n v="495"/>
    <x v="0"/>
    <n v="252.76271186440678"/>
    <n v="-0.80218601220411723"/>
    <x v="0"/>
    <n v="240.5"/>
    <d v="2022-04-03T00:00:00"/>
    <n v="398"/>
    <x v="0"/>
  </r>
  <r>
    <n v="390"/>
    <n v="229"/>
    <n v="269"/>
    <n v="5"/>
    <n v="1345"/>
    <x v="199"/>
    <x v="6"/>
    <n v="278"/>
    <x v="10"/>
    <n v="271.74545454545455"/>
    <n v="-1.0103037602034015E-2"/>
    <x v="12"/>
    <n v="212.8125"/>
    <d v="2022-12-25T00:00:00"/>
    <n v="91"/>
    <x v="0"/>
  </r>
  <r>
    <n v="391"/>
    <n v="313"/>
    <n v="385"/>
    <n v="4"/>
    <n v="1540"/>
    <x v="269"/>
    <x v="10"/>
    <n v="246"/>
    <x v="17"/>
    <n v="267.85483870967744"/>
    <n v="0.43734569759739861"/>
    <x v="35"/>
    <n v="250.25925925925927"/>
    <d v="2022-09-01T00:00:00"/>
    <n v="177"/>
    <x v="0"/>
  </r>
  <r>
    <n v="392"/>
    <n v="368"/>
    <n v="64"/>
    <n v="5"/>
    <n v="320"/>
    <x v="270"/>
    <x v="4"/>
    <n v="480"/>
    <x v="11"/>
    <n v="262.63492063492066"/>
    <n v="-0.75631572585519158"/>
    <x v="47"/>
    <n v="271"/>
    <d v="2022-01-07T00:00:00"/>
    <n v="772"/>
    <x v="0"/>
  </r>
  <r>
    <n v="393"/>
    <n v="322"/>
    <n v="223"/>
    <n v="2"/>
    <n v="446"/>
    <x v="271"/>
    <x v="7"/>
    <n v="205"/>
    <x v="18"/>
    <n v="255.11627906976744"/>
    <n v="-0.1258887876025524"/>
    <x v="67"/>
    <n v="251.91666666666666"/>
    <d v="2022-12-23T00:00:00"/>
    <n v="336"/>
    <x v="2"/>
  </r>
  <r>
    <n v="394"/>
    <n v="206"/>
    <n v="226"/>
    <n v="2"/>
    <n v="452"/>
    <x v="131"/>
    <x v="7"/>
    <n v="357"/>
    <x v="15"/>
    <n v="294.95238095238096"/>
    <n v="-0.23377462060058118"/>
    <x v="41"/>
    <n v="274.77777777777777"/>
    <d v="2022-12-18T00:00:00"/>
    <n v="351"/>
    <x v="0"/>
  </r>
  <r>
    <n v="395"/>
    <n v="18"/>
    <n v="459"/>
    <n v="3"/>
    <n v="1377"/>
    <x v="272"/>
    <x v="8"/>
    <n v="152"/>
    <x v="6"/>
    <n v="258.5128205128205"/>
    <n v="0.77554056734774868"/>
    <x v="6"/>
    <n v="260.64705882352939"/>
    <d v="2022-08-18T00:00:00"/>
    <n v="551"/>
    <x v="1"/>
  </r>
  <r>
    <n v="396"/>
    <n v="145"/>
    <n v="455"/>
    <n v="3"/>
    <n v="1365"/>
    <x v="273"/>
    <x v="14"/>
    <n v="323"/>
    <x v="4"/>
    <n v="250.48780487804879"/>
    <n v="0.81645569620253156"/>
    <x v="75"/>
    <n v="208"/>
    <d v="2022-09-17T00:00:00"/>
    <n v="552"/>
    <x v="4"/>
  </r>
  <r>
    <n v="397"/>
    <n v="491"/>
    <n v="193"/>
    <n v="1"/>
    <n v="193"/>
    <x v="274"/>
    <x v="6"/>
    <n v="185"/>
    <x v="4"/>
    <n v="250.48780487804879"/>
    <n v="-0.2295034079844207"/>
    <x v="4"/>
    <n v="159.19999999999999"/>
    <d v="2022-05-02T00:00:00"/>
    <n v="649"/>
    <x v="0"/>
  </r>
  <r>
    <n v="398"/>
    <n v="258"/>
    <n v="113"/>
    <n v="1"/>
    <n v="113"/>
    <x v="148"/>
    <x v="16"/>
    <n v="314"/>
    <x v="6"/>
    <n v="258.5128205128205"/>
    <n v="-0.56288434834358259"/>
    <x v="26"/>
    <n v="216.4"/>
    <d v="2022-12-04T00:00:00"/>
    <n v="390"/>
    <x v="2"/>
  </r>
  <r>
    <n v="399"/>
    <n v="29"/>
    <n v="91"/>
    <n v="5"/>
    <n v="455"/>
    <x v="275"/>
    <x v="0"/>
    <n v="476"/>
    <x v="1"/>
    <n v="264.8679245283019"/>
    <n v="-0.65643254024789854"/>
    <x v="1"/>
    <n v="238.16666666666666"/>
    <d v="2022-05-22T00:00:00"/>
    <n v="672"/>
    <x v="3"/>
  </r>
  <r>
    <n v="400"/>
    <n v="321"/>
    <n v="61"/>
    <n v="5"/>
    <n v="305"/>
    <x v="42"/>
    <x v="12"/>
    <n v="375"/>
    <x v="10"/>
    <n v="271.74545454545455"/>
    <n v="-0.77552522414023817"/>
    <x v="12"/>
    <n v="212.8125"/>
    <d v="2022-04-23T00:00:00"/>
    <n v="430"/>
    <x v="2"/>
  </r>
  <r>
    <n v="401"/>
    <n v="50"/>
    <n v="95"/>
    <n v="4"/>
    <n v="380"/>
    <x v="129"/>
    <x v="12"/>
    <n v="376"/>
    <x v="5"/>
    <n v="268.60344827586209"/>
    <n v="-0.64631876243661335"/>
    <x v="28"/>
    <n v="242.81818181818181"/>
    <d v="2022-06-18T00:00:00"/>
    <n v="339"/>
    <x v="1"/>
  </r>
  <r>
    <n v="402"/>
    <n v="495"/>
    <n v="469"/>
    <n v="2"/>
    <n v="938"/>
    <x v="27"/>
    <x v="16"/>
    <n v="233"/>
    <x v="8"/>
    <n v="271.18181818181819"/>
    <n v="0.72946697955078776"/>
    <x v="8"/>
    <n v="291.45454545454544"/>
    <d v="2022-02-24T00:00:00"/>
    <n v="752"/>
    <x v="4"/>
  </r>
  <r>
    <n v="403"/>
    <n v="207"/>
    <n v="237"/>
    <n v="2"/>
    <n v="474"/>
    <x v="138"/>
    <x v="3"/>
    <n v="69"/>
    <x v="0"/>
    <n v="252.76271186440678"/>
    <n v="-6.2361697847515551E-2"/>
    <x v="68"/>
    <n v="215.85714285714286"/>
    <d v="2022-01-26T00:00:00"/>
    <n v="494"/>
    <x v="4"/>
  </r>
  <r>
    <n v="404"/>
    <n v="145"/>
    <n v="356"/>
    <n v="3"/>
    <n v="1068"/>
    <x v="276"/>
    <x v="0"/>
    <n v="254"/>
    <x v="4"/>
    <n v="250.48780487804879"/>
    <n v="0.42122687439143136"/>
    <x v="75"/>
    <n v="208"/>
    <d v="2022-10-28T00:00:00"/>
    <n v="66"/>
    <x v="1"/>
  </r>
  <r>
    <n v="405"/>
    <n v="249"/>
    <n v="275"/>
    <n v="3"/>
    <n v="825"/>
    <x v="103"/>
    <x v="15"/>
    <n v="219"/>
    <x v="8"/>
    <n v="271.18181818181819"/>
    <n v="1.4079785450888282E-2"/>
    <x v="14"/>
    <n v="260.15789473684208"/>
    <d v="2022-01-24T00:00:00"/>
    <n v="454"/>
    <x v="4"/>
  </r>
  <r>
    <n v="406"/>
    <n v="377"/>
    <n v="129"/>
    <n v="1"/>
    <n v="129"/>
    <x v="277"/>
    <x v="4"/>
    <n v="456"/>
    <x v="19"/>
    <n v="286.92307692307691"/>
    <n v="-0.55040214477211791"/>
    <x v="40"/>
    <n v="273.58333333333331"/>
    <d v="2022-02-26T00:00:00"/>
    <n v="613"/>
    <x v="2"/>
  </r>
  <r>
    <n v="407"/>
    <n v="427"/>
    <n v="499"/>
    <n v="4"/>
    <n v="1996"/>
    <x v="27"/>
    <x v="15"/>
    <n v="283"/>
    <x v="16"/>
    <n v="300.31818181818181"/>
    <n v="0.66157106099591356"/>
    <x v="57"/>
    <n v="316.60000000000002"/>
    <d v="2022-11-24T00:00:00"/>
    <n v="479"/>
    <x v="4"/>
  </r>
  <r>
    <n v="408"/>
    <n v="445"/>
    <n v="164"/>
    <n v="2"/>
    <n v="328"/>
    <x v="240"/>
    <x v="7"/>
    <n v="232"/>
    <x v="0"/>
    <n v="252.76271186440678"/>
    <n v="-0.35117012002950443"/>
    <x v="11"/>
    <n v="240.26666666666668"/>
    <d v="2022-12-28T00:00:00"/>
    <n v="335"/>
    <x v="4"/>
  </r>
  <r>
    <n v="409"/>
    <n v="336"/>
    <n v="265"/>
    <n v="3"/>
    <n v="795"/>
    <x v="278"/>
    <x v="1"/>
    <n v="434"/>
    <x v="14"/>
    <n v="273.72549019607845"/>
    <n v="-3.1876790830945634E-2"/>
    <x v="63"/>
    <n v="266.27272727272725"/>
    <d v="2022-06-18T00:00:00"/>
    <n v="394"/>
    <x v="3"/>
  </r>
  <r>
    <n v="410"/>
    <n v="96"/>
    <n v="386"/>
    <n v="4"/>
    <n v="1544"/>
    <x v="279"/>
    <x v="9"/>
    <n v="252"/>
    <x v="1"/>
    <n v="264.8679245283019"/>
    <n v="0.45733010400341922"/>
    <x v="69"/>
    <n v="273.7"/>
    <d v="2022-03-23T00:00:00"/>
    <n v="502"/>
    <x v="2"/>
  </r>
  <r>
    <n v="411"/>
    <n v="117"/>
    <n v="288"/>
    <n v="5"/>
    <n v="1440"/>
    <x v="280"/>
    <x v="11"/>
    <n v="372"/>
    <x v="3"/>
    <n v="265.47674418604652"/>
    <n v="8.4840786649730715E-2"/>
    <x v="29"/>
    <n v="235.55555555555554"/>
    <d v="2022-07-30T00:00:00"/>
    <n v="576"/>
    <x v="4"/>
  </r>
  <r>
    <n v="412"/>
    <n v="440"/>
    <n v="201"/>
    <n v="5"/>
    <n v="1005"/>
    <x v="281"/>
    <x v="14"/>
    <n v="432"/>
    <x v="12"/>
    <n v="274.16279069767444"/>
    <n v="-0.26685893629654767"/>
    <x v="65"/>
    <n v="258.30769230769232"/>
    <d v="2022-06-06T00:00:00"/>
    <n v="515"/>
    <x v="4"/>
  </r>
  <r>
    <n v="413"/>
    <n v="51"/>
    <n v="271"/>
    <n v="4"/>
    <n v="1084"/>
    <x v="282"/>
    <x v="7"/>
    <n v="221"/>
    <x v="19"/>
    <n v="286.92307692307691"/>
    <n v="-5.5495978552278724E-2"/>
    <x v="42"/>
    <n v="312.66666666666669"/>
    <d v="2022-09-16T00:00:00"/>
    <n v="385"/>
    <x v="4"/>
  </r>
  <r>
    <n v="414"/>
    <n v="398"/>
    <n v="419"/>
    <n v="2"/>
    <n v="838"/>
    <x v="165"/>
    <x v="16"/>
    <n v="164"/>
    <x v="5"/>
    <n v="268.60344827586209"/>
    <n v="0.55992040567430501"/>
    <x v="5"/>
    <n v="281.96875"/>
    <d v="2022-04-27T00:00:00"/>
    <n v="657"/>
    <x v="2"/>
  </r>
  <r>
    <n v="415"/>
    <n v="443"/>
    <n v="192"/>
    <n v="5"/>
    <n v="960"/>
    <x v="108"/>
    <x v="14"/>
    <n v="413"/>
    <x v="7"/>
    <n v="249.02380952380952"/>
    <n v="-0.22898938713070083"/>
    <x v="7"/>
    <n v="276.21052631578948"/>
    <d v="2022-05-18T00:00:00"/>
    <n v="542"/>
    <x v="2"/>
  </r>
  <r>
    <n v="416"/>
    <n v="118"/>
    <n v="193"/>
    <n v="2"/>
    <n v="386"/>
    <x v="53"/>
    <x v="3"/>
    <n v="148"/>
    <x v="0"/>
    <n v="252.76271186440678"/>
    <n v="-0.23643800710789242"/>
    <x v="0"/>
    <n v="240.5"/>
    <d v="2022-05-19T00:00:00"/>
    <n v="656"/>
    <x v="2"/>
  </r>
  <r>
    <n v="417"/>
    <n v="371"/>
    <n v="245"/>
    <n v="1"/>
    <n v="245"/>
    <x v="225"/>
    <x v="19"/>
    <n v="209"/>
    <x v="0"/>
    <n v="252.76271186440678"/>
    <n v="-3.0711459800174312E-2"/>
    <x v="45"/>
    <n v="293.41176470588238"/>
    <d v="2022-03-08T00:00:00"/>
    <n v="357"/>
    <x v="2"/>
  </r>
  <r>
    <n v="418"/>
    <n v="216"/>
    <n v="209"/>
    <n v="3"/>
    <n v="627"/>
    <x v="283"/>
    <x v="8"/>
    <n v="263"/>
    <x v="7"/>
    <n v="249.02380952380952"/>
    <n v="-0.16072282244956493"/>
    <x v="39"/>
    <n v="222.2"/>
    <d v="2022-02-20T00:00:00"/>
    <n v="745"/>
    <x v="4"/>
  </r>
  <r>
    <n v="419"/>
    <n v="390"/>
    <n v="120"/>
    <n v="1"/>
    <n v="120"/>
    <x v="105"/>
    <x v="6"/>
    <n v="449"/>
    <x v="5"/>
    <n v="268.60344827586209"/>
    <n v="-0.55324475255151162"/>
    <x v="32"/>
    <n v="254.18181818181819"/>
    <d v="2022-03-25T00:00:00"/>
    <n v="531"/>
    <x v="4"/>
  </r>
  <r>
    <n v="420"/>
    <n v="14"/>
    <n v="251"/>
    <n v="1"/>
    <n v="251"/>
    <x v="79"/>
    <x v="15"/>
    <n v="321"/>
    <x v="5"/>
    <n v="268.60344827586209"/>
    <n v="-6.5536940753578632E-2"/>
    <x v="49"/>
    <n v="272.25"/>
    <d v="2022-07-14T00:00:00"/>
    <n v="516"/>
    <x v="4"/>
  </r>
  <r>
    <n v="421"/>
    <n v="451"/>
    <n v="443"/>
    <n v="4"/>
    <n v="1772"/>
    <x v="95"/>
    <x v="18"/>
    <n v="101"/>
    <x v="13"/>
    <n v="258.375"/>
    <n v="0.71456216739235612"/>
    <x v="20"/>
    <n v="269.70588235294116"/>
    <d v="2022-06-15T00:00:00"/>
    <n v="483"/>
    <x v="2"/>
  </r>
  <r>
    <n v="422"/>
    <n v="312"/>
    <n v="234"/>
    <n v="1"/>
    <n v="234"/>
    <x v="284"/>
    <x v="9"/>
    <n v="124"/>
    <x v="16"/>
    <n v="300.31818181818181"/>
    <n v="-0.22082639624640532"/>
    <x v="51"/>
    <n v="331.16666666666669"/>
    <d v="2022-08-22T00:00:00"/>
    <n v="159"/>
    <x v="2"/>
  </r>
  <r>
    <n v="423"/>
    <n v="217"/>
    <n v="260"/>
    <n v="5"/>
    <n v="1300"/>
    <x v="180"/>
    <x v="4"/>
    <n v="257"/>
    <x v="10"/>
    <n v="271.74545454545455"/>
    <n v="-4.3222266827244726E-2"/>
    <x v="10"/>
    <n v="311.2"/>
    <d v="2022-05-20T00:00:00"/>
    <n v="317"/>
    <x v="2"/>
  </r>
  <r>
    <n v="424"/>
    <n v="10"/>
    <n v="203"/>
    <n v="4"/>
    <n v="812"/>
    <x v="194"/>
    <x v="4"/>
    <n v="276"/>
    <x v="5"/>
    <n v="268.60344827586209"/>
    <n v="-0.24423903973297389"/>
    <x v="5"/>
    <n v="281.96875"/>
    <d v="2022-03-12T00:00:00"/>
    <n v="427"/>
    <x v="4"/>
  </r>
  <r>
    <n v="425"/>
    <n v="60"/>
    <n v="251"/>
    <n v="2"/>
    <n v="502"/>
    <x v="143"/>
    <x v="17"/>
    <n v="309"/>
    <x v="7"/>
    <n v="249.02380952380952"/>
    <n v="7.9357491155942483E-3"/>
    <x v="7"/>
    <n v="276.21052631578948"/>
    <d v="2022-05-30T00:00:00"/>
    <n v="491"/>
    <x v="2"/>
  </r>
  <r>
    <n v="426"/>
    <n v="74"/>
    <n v="210"/>
    <n v="3"/>
    <n v="630"/>
    <x v="165"/>
    <x v="9"/>
    <n v="319"/>
    <x v="19"/>
    <n v="286.92307692307691"/>
    <n v="-0.26809651474530827"/>
    <x v="73"/>
    <n v="320.25"/>
    <d v="2022-04-23T00:00:00"/>
    <n v="661"/>
    <x v="0"/>
  </r>
  <r>
    <n v="427"/>
    <n v="116"/>
    <n v="295"/>
    <n v="1"/>
    <n v="295"/>
    <x v="127"/>
    <x v="2"/>
    <n v="359"/>
    <x v="1"/>
    <n v="264.8679245283019"/>
    <n v="0.11376264425131777"/>
    <x v="13"/>
    <n v="320.84615384615387"/>
    <d v="2022-01-23T00:00:00"/>
    <n v="752"/>
    <x v="2"/>
  </r>
  <r>
    <n v="428"/>
    <n v="401"/>
    <n v="78"/>
    <n v="3"/>
    <n v="234"/>
    <x v="285"/>
    <x v="2"/>
    <n v="395"/>
    <x v="8"/>
    <n v="271.18181818181819"/>
    <n v="-0.71237009721756617"/>
    <x v="8"/>
    <n v="291.45454545454544"/>
    <d v="2022-11-25T00:00:00"/>
    <n v="96"/>
    <x v="0"/>
  </r>
  <r>
    <n v="429"/>
    <n v="348"/>
    <n v="162"/>
    <n v="2"/>
    <n v="324"/>
    <x v="286"/>
    <x v="11"/>
    <n v="107"/>
    <x v="14"/>
    <n v="273.72549019607845"/>
    <n v="-0.40816618911174785"/>
    <x v="63"/>
    <n v="266.27272727272725"/>
    <d v="2022-07-02T00:00:00"/>
    <n v="187"/>
    <x v="4"/>
  </r>
  <r>
    <n v="430"/>
    <n v="382"/>
    <n v="278"/>
    <n v="2"/>
    <n v="556"/>
    <x v="287"/>
    <x v="17"/>
    <n v="103"/>
    <x v="4"/>
    <n v="250.48780487804879"/>
    <n v="0.10983446932814012"/>
    <x v="25"/>
    <n v="303.8235294117647"/>
    <d v="2022-08-14T00:00:00"/>
    <n v="411"/>
    <x v="0"/>
  </r>
  <r>
    <n v="431"/>
    <n v="477"/>
    <n v="420"/>
    <n v="1"/>
    <n v="420"/>
    <x v="250"/>
    <x v="3"/>
    <n v="221"/>
    <x v="3"/>
    <n v="265.47674418604652"/>
    <n v="0.58205948053085721"/>
    <x v="3"/>
    <n v="236.27586206896552"/>
    <d v="2022-09-16T00:00:00"/>
    <n v="412"/>
    <x v="4"/>
  </r>
  <r>
    <n v="432"/>
    <n v="91"/>
    <n v="413"/>
    <n v="2"/>
    <n v="826"/>
    <x v="87"/>
    <x v="11"/>
    <n v="31"/>
    <x v="11"/>
    <n v="262.63492063492066"/>
    <n v="0.57252508159071658"/>
    <x v="47"/>
    <n v="271"/>
    <d v="2022-01-19T00:00:00"/>
    <n v="603"/>
    <x v="3"/>
  </r>
  <r>
    <n v="433"/>
    <n v="52"/>
    <n v="272"/>
    <n v="3"/>
    <n v="816"/>
    <x v="288"/>
    <x v="1"/>
    <n v="306"/>
    <x v="1"/>
    <n v="264.8679245283019"/>
    <n v="2.6926912665621749E-2"/>
    <x v="1"/>
    <n v="238.16666666666666"/>
    <d v="2022-11-07T00:00:00"/>
    <n v="505"/>
    <x v="3"/>
  </r>
  <r>
    <n v="434"/>
    <n v="438"/>
    <n v="435"/>
    <n v="1"/>
    <n v="435"/>
    <x v="213"/>
    <x v="19"/>
    <n v="383"/>
    <x v="7"/>
    <n v="249.02380952380952"/>
    <n v="0.74682091978200593"/>
    <x v="59"/>
    <n v="256.89999999999998"/>
    <d v="2022-11-11T00:00:00"/>
    <n v="266"/>
    <x v="3"/>
  </r>
  <r>
    <n v="435"/>
    <n v="384"/>
    <n v="303"/>
    <n v="2"/>
    <n v="606"/>
    <x v="4"/>
    <x v="6"/>
    <n v="235"/>
    <x v="0"/>
    <n v="252.76271186440678"/>
    <n v="0.1987527660430497"/>
    <x v="11"/>
    <n v="240.26666666666668"/>
    <d v="2022-03-15T00:00:00"/>
    <n v="516"/>
    <x v="0"/>
  </r>
  <r>
    <n v="436"/>
    <n v="473"/>
    <n v="231"/>
    <n v="3"/>
    <n v="693"/>
    <x v="289"/>
    <x v="3"/>
    <n v="448"/>
    <x v="16"/>
    <n v="300.31818181818181"/>
    <n v="-0.2308158014227335"/>
    <x v="24"/>
    <n v="281.73333333333335"/>
    <d v="2022-07-28T00:00:00"/>
    <n v="304"/>
    <x v="2"/>
  </r>
  <r>
    <n v="437"/>
    <n v="383"/>
    <n v="429"/>
    <n v="4"/>
    <n v="1716"/>
    <x v="290"/>
    <x v="12"/>
    <n v="367"/>
    <x v="12"/>
    <n v="274.16279069767444"/>
    <n v="0.56476376282975638"/>
    <x v="65"/>
    <n v="258.30769230769232"/>
    <d v="2022-11-02T00:00:00"/>
    <n v="253"/>
    <x v="4"/>
  </r>
  <r>
    <n v="438"/>
    <n v="406"/>
    <n v="87"/>
    <n v="2"/>
    <n v="174"/>
    <x v="291"/>
    <x v="11"/>
    <n v="255"/>
    <x v="5"/>
    <n v="268.60344827586209"/>
    <n v="-0.676102445599846"/>
    <x v="5"/>
    <n v="281.96875"/>
    <d v="2022-08-20T00:00:00"/>
    <n v="273"/>
    <x v="3"/>
  </r>
  <r>
    <n v="439"/>
    <n v="252"/>
    <n v="50"/>
    <n v="1"/>
    <n v="50"/>
    <x v="111"/>
    <x v="7"/>
    <n v="138"/>
    <x v="8"/>
    <n v="271.18181818181819"/>
    <n v="-0.81562185719074753"/>
    <x v="14"/>
    <n v="260.15789473684208"/>
    <d v="2022-06-11T00:00:00"/>
    <n v="237"/>
    <x v="3"/>
  </r>
  <r>
    <n v="440"/>
    <n v="365"/>
    <n v="127"/>
    <n v="1"/>
    <n v="127"/>
    <x v="187"/>
    <x v="11"/>
    <n v="158"/>
    <x v="10"/>
    <n v="271.74545454545455"/>
    <n v="-0.53265087648869258"/>
    <x v="10"/>
    <n v="311.2"/>
    <d v="2022-07-10T00:00:00"/>
    <n v="599"/>
    <x v="0"/>
  </r>
  <r>
    <n v="441"/>
    <n v="420"/>
    <n v="390"/>
    <n v="3"/>
    <n v="1170"/>
    <x v="87"/>
    <x v="1"/>
    <n v="217"/>
    <x v="16"/>
    <n v="300.31818181818181"/>
    <n v="0.29862267292265776"/>
    <x v="24"/>
    <n v="281.73333333333335"/>
    <d v="2022-09-22T00:00:00"/>
    <n v="357"/>
    <x v="2"/>
  </r>
  <r>
    <n v="442"/>
    <n v="97"/>
    <n v="298"/>
    <n v="2"/>
    <n v="596"/>
    <x v="246"/>
    <x v="9"/>
    <n v="102"/>
    <x v="2"/>
    <n v="283.468085106383"/>
    <n v="5.1264730165878403E-2"/>
    <x v="31"/>
    <n v="323.07692307692309"/>
    <d v="2022-06-11T00:00:00"/>
    <n v="379"/>
    <x v="0"/>
  </r>
  <r>
    <n v="443"/>
    <n v="217"/>
    <n v="471"/>
    <n v="3"/>
    <n v="1413"/>
    <x v="292"/>
    <x v="6"/>
    <n v="425"/>
    <x v="10"/>
    <n v="271.74545454545455"/>
    <n v="0.73323966278602959"/>
    <x v="10"/>
    <n v="311.2"/>
    <d v="2022-08-09T00:00:00"/>
    <n v="424"/>
    <x v="0"/>
  </r>
  <r>
    <n v="444"/>
    <n v="47"/>
    <n v="315"/>
    <n v="3"/>
    <n v="945"/>
    <x v="222"/>
    <x v="14"/>
    <n v="140"/>
    <x v="10"/>
    <n v="271.74545454545455"/>
    <n v="0.15917302288237645"/>
    <x v="37"/>
    <n v="272.35294117647061"/>
    <d v="2022-03-07T00:00:00"/>
    <n v="735"/>
    <x v="2"/>
  </r>
  <r>
    <n v="445"/>
    <n v="346"/>
    <n v="267"/>
    <n v="3"/>
    <n v="801"/>
    <x v="38"/>
    <x v="13"/>
    <n v="385"/>
    <x v="8"/>
    <n v="271.18181818181819"/>
    <n v="-1.5420717398592076E-2"/>
    <x v="8"/>
    <n v="291.45454545454544"/>
    <d v="2022-07-11T00:00:00"/>
    <n v="653"/>
    <x v="3"/>
  </r>
  <r>
    <n v="446"/>
    <n v="47"/>
    <n v="476"/>
    <n v="4"/>
    <n v="1904"/>
    <x v="293"/>
    <x v="5"/>
    <n v="43"/>
    <x v="10"/>
    <n v="271.74545454545455"/>
    <n v="0.75163923457781334"/>
    <x v="37"/>
    <n v="272.35294117647061"/>
    <d v="2022-12-17T00:00:00"/>
    <n v="513"/>
    <x v="2"/>
  </r>
  <r>
    <n v="447"/>
    <n v="290"/>
    <n v="97"/>
    <n v="4"/>
    <n v="388"/>
    <x v="294"/>
    <x v="11"/>
    <n v="326"/>
    <x v="0"/>
    <n v="252.76271186440678"/>
    <n v="-0.6162408636759874"/>
    <x v="0"/>
    <n v="240.5"/>
    <d v="2022-04-04T00:00:00"/>
    <n v="601"/>
    <x v="2"/>
  </r>
  <r>
    <n v="448"/>
    <n v="484"/>
    <n v="114"/>
    <n v="1"/>
    <n v="114"/>
    <x v="295"/>
    <x v="19"/>
    <n v="402"/>
    <x v="2"/>
    <n v="283.468085106383"/>
    <n v="-0.59783832470164389"/>
    <x v="31"/>
    <n v="323.07692307692309"/>
    <d v="2022-06-30T00:00:00"/>
    <n v="265"/>
    <x v="0"/>
  </r>
  <r>
    <n v="449"/>
    <n v="192"/>
    <n v="147"/>
    <n v="1"/>
    <n v="147"/>
    <x v="296"/>
    <x v="7"/>
    <n v="23"/>
    <x v="10"/>
    <n v="271.74545454545455"/>
    <n v="-0.45905258932155757"/>
    <x v="37"/>
    <n v="272.35294117647061"/>
    <d v="2022-05-25T00:00:00"/>
    <n v="229"/>
    <x v="2"/>
  </r>
  <r>
    <n v="450"/>
    <n v="187"/>
    <n v="185"/>
    <n v="2"/>
    <n v="370"/>
    <x v="246"/>
    <x v="8"/>
    <n v="468"/>
    <x v="3"/>
    <n v="265.47674418604652"/>
    <n v="-0.30314046690902718"/>
    <x v="16"/>
    <n v="276.67567567567568"/>
    <d v="2022-02-27T00:00:00"/>
    <n v="483"/>
    <x v="0"/>
  </r>
  <r>
    <n v="451"/>
    <n v="429"/>
    <n v="368"/>
    <n v="2"/>
    <n v="736"/>
    <x v="297"/>
    <x v="6"/>
    <n v="16"/>
    <x v="18"/>
    <n v="255.11627906976744"/>
    <n v="0.44247948951686422"/>
    <x v="67"/>
    <n v="251.91666666666666"/>
    <d v="2022-06-01T00:00:00"/>
    <n v="295"/>
    <x v="3"/>
  </r>
  <r>
    <n v="452"/>
    <n v="93"/>
    <n v="387"/>
    <n v="2"/>
    <n v="774"/>
    <x v="298"/>
    <x v="8"/>
    <n v="156"/>
    <x v="8"/>
    <n v="271.18181818181819"/>
    <n v="0.42708682534361375"/>
    <x v="8"/>
    <n v="291.45454545454544"/>
    <d v="2022-12-10T00:00:00"/>
    <n v="314"/>
    <x v="3"/>
  </r>
  <r>
    <n v="453"/>
    <n v="57"/>
    <n v="174"/>
    <n v="2"/>
    <n v="348"/>
    <x v="62"/>
    <x v="7"/>
    <n v="141"/>
    <x v="2"/>
    <n v="283.468085106383"/>
    <n v="-0.38617428507092999"/>
    <x v="2"/>
    <n v="232.44444444444446"/>
    <d v="2022-07-01T00:00:00"/>
    <n v="230"/>
    <x v="2"/>
  </r>
  <r>
    <n v="454"/>
    <n v="198"/>
    <n v="438"/>
    <n v="4"/>
    <n v="1752"/>
    <x v="299"/>
    <x v="15"/>
    <n v="385"/>
    <x v="10"/>
    <n v="271.74545454545455"/>
    <n v="0.61180248896025691"/>
    <x v="15"/>
    <n v="316.58333333333331"/>
    <d v="2022-07-11T00:00:00"/>
    <n v="559"/>
    <x v="3"/>
  </r>
  <r>
    <n v="455"/>
    <n v="202"/>
    <n v="308"/>
    <n v="2"/>
    <n v="616"/>
    <x v="300"/>
    <x v="12"/>
    <n v="182"/>
    <x v="4"/>
    <n v="250.48780487804879"/>
    <n v="0.22960077896786757"/>
    <x v="25"/>
    <n v="303.8235294117647"/>
    <d v="2022-10-22T00:00:00"/>
    <n v="554"/>
    <x v="0"/>
  </r>
  <r>
    <n v="456"/>
    <n v="427"/>
    <n v="240"/>
    <n v="1"/>
    <n v="240"/>
    <x v="301"/>
    <x v="2"/>
    <n v="225"/>
    <x v="16"/>
    <n v="300.31818181818181"/>
    <n v="-0.20084758589374907"/>
    <x v="57"/>
    <n v="316.60000000000002"/>
    <d v="2022-09-23T00:00:00"/>
    <n v="593"/>
    <x v="1"/>
  </r>
  <r>
    <n v="457"/>
    <n v="272"/>
    <n v="67"/>
    <n v="3"/>
    <n v="201"/>
    <x v="245"/>
    <x v="5"/>
    <n v="151"/>
    <x v="18"/>
    <n v="255.11627906976744"/>
    <n v="-0.73737465815861447"/>
    <x v="72"/>
    <n v="252.09090909090909"/>
    <d v="2022-12-28T00:00:00"/>
    <n v="443"/>
    <x v="1"/>
  </r>
  <r>
    <n v="458"/>
    <n v="473"/>
    <n v="474"/>
    <n v="2"/>
    <n v="948"/>
    <x v="45"/>
    <x v="4"/>
    <n v="428"/>
    <x v="16"/>
    <n v="300.31818181818181"/>
    <n v="0.57832601785984572"/>
    <x v="24"/>
    <n v="281.73333333333335"/>
    <d v="2022-10-14T00:00:00"/>
    <n v="128"/>
    <x v="1"/>
  </r>
  <r>
    <n v="459"/>
    <n v="189"/>
    <n v="275"/>
    <n v="4"/>
    <n v="1100"/>
    <x v="105"/>
    <x v="14"/>
    <n v="438"/>
    <x v="16"/>
    <n v="300.31818181818181"/>
    <n v="-8.4304525503254069E-2"/>
    <x v="38"/>
    <n v="264"/>
    <d v="2022-05-12T00:00:00"/>
    <n v="483"/>
    <x v="0"/>
  </r>
  <r>
    <n v="460"/>
    <n v="362"/>
    <n v="358"/>
    <n v="4"/>
    <n v="1432"/>
    <x v="14"/>
    <x v="3"/>
    <n v="465"/>
    <x v="16"/>
    <n v="300.31818181818181"/>
    <n v="0.19206901770849094"/>
    <x v="57"/>
    <n v="316.60000000000002"/>
    <d v="2022-04-20T00:00:00"/>
    <n v="301"/>
    <x v="0"/>
  </r>
  <r>
    <n v="461"/>
    <n v="345"/>
    <n v="455"/>
    <n v="5"/>
    <n v="2275"/>
    <x v="302"/>
    <x v="3"/>
    <n v="215"/>
    <x v="17"/>
    <n v="267.85483870967744"/>
    <n v="0.69868127897874377"/>
    <x v="27"/>
    <n v="288.23809523809524"/>
    <d v="2022-08-26T00:00:00"/>
    <n v="414"/>
    <x v="2"/>
  </r>
  <r>
    <n v="462"/>
    <n v="461"/>
    <n v="443"/>
    <n v="3"/>
    <n v="1329"/>
    <x v="185"/>
    <x v="19"/>
    <n v="314"/>
    <x v="12"/>
    <n v="274.16279069767444"/>
    <n v="0.61582831453049436"/>
    <x v="76"/>
    <n v="369.2"/>
    <d v="2022-12-04T00:00:00"/>
    <n v="177"/>
    <x v="2"/>
  </r>
  <r>
    <n v="463"/>
    <n v="401"/>
    <n v="464"/>
    <n v="2"/>
    <n v="928"/>
    <x v="219"/>
    <x v="5"/>
    <n v="15"/>
    <x v="8"/>
    <n v="271.18181818181819"/>
    <n v="0.7110291652698626"/>
    <x v="8"/>
    <n v="291.45454545454544"/>
    <d v="2022-05-30T00:00:00"/>
    <n v="415"/>
    <x v="3"/>
  </r>
  <r>
    <n v="464"/>
    <n v="427"/>
    <n v="307"/>
    <n v="5"/>
    <n v="1535"/>
    <x v="246"/>
    <x v="16"/>
    <n v="191"/>
    <x v="16"/>
    <n v="300.31818181818181"/>
    <n v="2.2249129710912641E-2"/>
    <x v="57"/>
    <n v="316.60000000000002"/>
    <d v="2022-11-01T00:00:00"/>
    <n v="236"/>
    <x v="3"/>
  </r>
  <r>
    <n v="465"/>
    <n v="129"/>
    <n v="121"/>
    <n v="5"/>
    <n v="605"/>
    <x v="303"/>
    <x v="16"/>
    <n v="277"/>
    <x v="10"/>
    <n v="271.74545454545455"/>
    <n v="-0.55473036263883313"/>
    <x v="10"/>
    <n v="311.2"/>
    <d v="2022-07-08T00:00:00"/>
    <n v="406"/>
    <x v="2"/>
  </r>
  <r>
    <n v="466"/>
    <n v="84"/>
    <n v="265"/>
    <n v="2"/>
    <n v="530"/>
    <x v="228"/>
    <x v="0"/>
    <n v="101"/>
    <x v="7"/>
    <n v="249.02380952380952"/>
    <n v="6.4155272970647381E-2"/>
    <x v="77"/>
    <n v="140"/>
    <d v="2022-06-15T00:00:00"/>
    <n v="340"/>
    <x v="2"/>
  </r>
  <r>
    <n v="467"/>
    <n v="172"/>
    <n v="451"/>
    <n v="2"/>
    <n v="902"/>
    <x v="256"/>
    <x v="18"/>
    <n v="141"/>
    <x v="12"/>
    <n v="274.16279069767444"/>
    <n v="0.64500805835948749"/>
    <x v="76"/>
    <n v="369.2"/>
    <d v="2022-07-01T00:00:00"/>
    <n v="474"/>
    <x v="2"/>
  </r>
  <r>
    <n v="468"/>
    <n v="348"/>
    <n v="212"/>
    <n v="5"/>
    <n v="1060"/>
    <x v="277"/>
    <x v="3"/>
    <n v="126"/>
    <x v="14"/>
    <n v="273.72549019607845"/>
    <n v="-0.22550143266475653"/>
    <x v="63"/>
    <n v="266.27272727272725"/>
    <d v="2022-09-18T00:00:00"/>
    <n v="409"/>
    <x v="0"/>
  </r>
  <r>
    <n v="469"/>
    <n v="171"/>
    <n v="336"/>
    <n v="4"/>
    <n v="1344"/>
    <x v="304"/>
    <x v="7"/>
    <n v="148"/>
    <x v="8"/>
    <n v="271.18181818181819"/>
    <n v="0.23902111967817641"/>
    <x v="8"/>
    <n v="291.45454545454544"/>
    <d v="2022-05-19T00:00:00"/>
    <n v="321"/>
    <x v="2"/>
  </r>
  <r>
    <n v="470"/>
    <n v="70"/>
    <n v="407"/>
    <n v="2"/>
    <n v="814"/>
    <x v="91"/>
    <x v="6"/>
    <n v="334"/>
    <x v="13"/>
    <n v="258.375"/>
    <n v="0.57522980164489601"/>
    <x v="34"/>
    <n v="181.57142857142858"/>
    <d v="2022-11-16T00:00:00"/>
    <n v="316"/>
    <x v="3"/>
  </r>
  <r>
    <n v="471"/>
    <n v="476"/>
    <n v="109"/>
    <n v="4"/>
    <n v="436"/>
    <x v="242"/>
    <x v="6"/>
    <n v="335"/>
    <x v="6"/>
    <n v="258.5128205128205"/>
    <n v="-0.5783574687561992"/>
    <x v="60"/>
    <n v="289.88888888888891"/>
    <d v="2022-02-27T00:00:00"/>
    <n v="468"/>
    <x v="0"/>
  </r>
  <r>
    <n v="472"/>
    <n v="49"/>
    <n v="412"/>
    <n v="3"/>
    <n v="1236"/>
    <x v="153"/>
    <x v="8"/>
    <n v="370"/>
    <x v="13"/>
    <n v="258.375"/>
    <n v="0.59458151910982093"/>
    <x v="30"/>
    <n v="317.85714285714283"/>
    <d v="2022-06-14T00:00:00"/>
    <n v="439"/>
    <x v="4"/>
  </r>
  <r>
    <n v="473"/>
    <n v="7"/>
    <n v="254"/>
    <n v="2"/>
    <n v="508"/>
    <x v="305"/>
    <x v="5"/>
    <n v="76"/>
    <x v="11"/>
    <n v="262.63492063492066"/>
    <n v="-3.2878036987791681E-2"/>
    <x v="21"/>
    <n v="238.72222222222223"/>
    <d v="2022-01-14T00:00:00"/>
    <n v="696"/>
    <x v="1"/>
  </r>
  <r>
    <n v="474"/>
    <n v="180"/>
    <n v="338"/>
    <n v="3"/>
    <n v="1014"/>
    <x v="19"/>
    <x v="12"/>
    <n v="25"/>
    <x v="14"/>
    <n v="273.72549019607845"/>
    <n v="0.2348137535816619"/>
    <x v="58"/>
    <n v="241.83333333333334"/>
    <d v="2022-01-21T00:00:00"/>
    <n v="576"/>
    <x v="4"/>
  </r>
  <r>
    <n v="475"/>
    <n v="194"/>
    <n v="268"/>
    <n v="5"/>
    <n v="1340"/>
    <x v="306"/>
    <x v="16"/>
    <n v="80"/>
    <x v="1"/>
    <n v="264.8679245283019"/>
    <n v="1.1825046302892162E-2"/>
    <x v="69"/>
    <n v="273.7"/>
    <d v="2022-03-03T00:00:00"/>
    <n v="785"/>
    <x v="1"/>
  </r>
  <r>
    <n v="476"/>
    <n v="312"/>
    <n v="223"/>
    <n v="2"/>
    <n v="446"/>
    <x v="140"/>
    <x v="4"/>
    <n v="276"/>
    <x v="16"/>
    <n v="300.31818181818181"/>
    <n v="-0.2574542152262751"/>
    <x v="51"/>
    <n v="331.16666666666669"/>
    <d v="2022-03-12T00:00:00"/>
    <n v="359"/>
    <x v="4"/>
  </r>
  <r>
    <n v="477"/>
    <n v="235"/>
    <n v="455"/>
    <n v="5"/>
    <n v="2275"/>
    <x v="123"/>
    <x v="17"/>
    <n v="71"/>
    <x v="16"/>
    <n v="300.31818181818181"/>
    <n v="0.51505978507643402"/>
    <x v="57"/>
    <n v="316.60000000000002"/>
    <d v="2022-07-20T00:00:00"/>
    <n v="276"/>
    <x v="3"/>
  </r>
  <r>
    <n v="478"/>
    <n v="399"/>
    <n v="379"/>
    <n v="1"/>
    <n v="379"/>
    <x v="307"/>
    <x v="10"/>
    <n v="12"/>
    <x v="16"/>
    <n v="300.31818181818181"/>
    <n v="0.26199485394278788"/>
    <x v="24"/>
    <n v="281.73333333333335"/>
    <d v="2022-10-08T00:00:00"/>
    <n v="346"/>
    <x v="1"/>
  </r>
  <r>
    <n v="479"/>
    <n v="494"/>
    <n v="216"/>
    <n v="3"/>
    <n v="648"/>
    <x v="118"/>
    <x v="17"/>
    <n v="9"/>
    <x v="11"/>
    <n v="262.63492063492066"/>
    <n v="-0.17756557476127166"/>
    <x v="47"/>
    <n v="271"/>
    <d v="2022-12-05T00:00:00"/>
    <n v="109"/>
    <x v="4"/>
  </r>
  <r>
    <n v="480"/>
    <n v="458"/>
    <n v="469"/>
    <n v="4"/>
    <n v="1876"/>
    <x v="158"/>
    <x v="12"/>
    <n v="51"/>
    <x v="3"/>
    <n v="265.47674418604652"/>
    <n v="0.76663308659279039"/>
    <x v="3"/>
    <n v="236.27586206896552"/>
    <d v="2022-02-13T00:00:00"/>
    <n v="806"/>
    <x v="0"/>
  </r>
  <r>
    <n v="481"/>
    <n v="193"/>
    <n v="94"/>
    <n v="3"/>
    <n v="282"/>
    <x v="136"/>
    <x v="2"/>
    <n v="370"/>
    <x v="1"/>
    <n v="264.8679245283019"/>
    <n v="-0.64510614047585135"/>
    <x v="69"/>
    <n v="273.7"/>
    <d v="2022-06-14T00:00:00"/>
    <n v="380"/>
    <x v="4"/>
  </r>
  <r>
    <n v="482"/>
    <n v="450"/>
    <n v="494"/>
    <n v="4"/>
    <n v="1976"/>
    <x v="78"/>
    <x v="15"/>
    <n v="17"/>
    <x v="16"/>
    <n v="300.31818181818181"/>
    <n v="0.64492205236869982"/>
    <x v="24"/>
    <n v="281.73333333333335"/>
    <d v="2022-11-12T00:00:00"/>
    <n v="127"/>
    <x v="4"/>
  </r>
  <r>
    <n v="483"/>
    <n v="334"/>
    <n v="309"/>
    <n v="5"/>
    <n v="1545"/>
    <x v="308"/>
    <x v="7"/>
    <n v="39"/>
    <x v="15"/>
    <n v="294.95238095238096"/>
    <n v="4.7626735550532651E-2"/>
    <x v="41"/>
    <n v="274.77777777777777"/>
    <d v="2022-04-02T00:00:00"/>
    <n v="350"/>
    <x v="1"/>
  </r>
  <r>
    <n v="484"/>
    <n v="115"/>
    <n v="118"/>
    <n v="1"/>
    <n v="118"/>
    <x v="7"/>
    <x v="1"/>
    <n v="481"/>
    <x v="11"/>
    <n v="262.63492063492066"/>
    <n v="-0.55070711954550955"/>
    <x v="21"/>
    <n v="238.72222222222223"/>
    <d v="2022-07-14T00:00:00"/>
    <n v="571"/>
    <x v="1"/>
  </r>
  <r>
    <n v="485"/>
    <n v="163"/>
    <n v="344"/>
    <n v="1"/>
    <n v="344"/>
    <x v="307"/>
    <x v="2"/>
    <n v="363"/>
    <x v="1"/>
    <n v="264.8679245283019"/>
    <n v="0.298760507194757"/>
    <x v="13"/>
    <n v="320.84615384615387"/>
    <d v="2022-04-24T00:00:00"/>
    <n v="513"/>
    <x v="0"/>
  </r>
  <r>
    <n v="486"/>
    <n v="321"/>
    <n v="322"/>
    <n v="3"/>
    <n v="966"/>
    <x v="309"/>
    <x v="6"/>
    <n v="328"/>
    <x v="10"/>
    <n v="271.74545454545455"/>
    <n v="0.18493242339087379"/>
    <x v="12"/>
    <n v="212.8125"/>
    <d v="2022-01-07T00:00:00"/>
    <n v="526"/>
    <x v="2"/>
  </r>
  <r>
    <n v="487"/>
    <n v="129"/>
    <n v="328"/>
    <n v="4"/>
    <n v="1312"/>
    <x v="310"/>
    <x v="3"/>
    <n v="127"/>
    <x v="10"/>
    <n v="271.74545454545455"/>
    <n v="0.20701190954101434"/>
    <x v="10"/>
    <n v="311.2"/>
    <d v="2022-12-19T00:00:00"/>
    <n v="390"/>
    <x v="3"/>
  </r>
  <r>
    <n v="488"/>
    <n v="12"/>
    <n v="357"/>
    <n v="1"/>
    <n v="357"/>
    <x v="150"/>
    <x v="2"/>
    <n v="221"/>
    <x v="3"/>
    <n v="265.47674418604652"/>
    <n v="0.34475055845122848"/>
    <x v="19"/>
    <n v="329.27272727272725"/>
    <d v="2022-09-16T00:00:00"/>
    <n v="549"/>
    <x v="4"/>
  </r>
  <r>
    <n v="489"/>
    <n v="104"/>
    <n v="276"/>
    <n v="2"/>
    <n v="552"/>
    <x v="126"/>
    <x v="6"/>
    <n v="134"/>
    <x v="9"/>
    <n v="263.25423728813558"/>
    <n v="4.841617306206536E-2"/>
    <x v="9"/>
    <n v="257.78260869565219"/>
    <d v="2022-07-11T00:00:00"/>
    <n v="619"/>
    <x v="2"/>
  </r>
  <r>
    <n v="490"/>
    <n v="61"/>
    <n v="170"/>
    <n v="2"/>
    <n v="340"/>
    <x v="257"/>
    <x v="3"/>
    <n v="374"/>
    <x v="9"/>
    <n v="263.25423728813558"/>
    <n v="-0.35423641514293069"/>
    <x v="33"/>
    <n v="248.5"/>
    <d v="2022-01-21T00:00:00"/>
    <n v="710"/>
    <x v="3"/>
  </r>
  <r>
    <n v="491"/>
    <n v="202"/>
    <n v="89"/>
    <n v="1"/>
    <n v="89"/>
    <x v="311"/>
    <x v="0"/>
    <n v="441"/>
    <x v="4"/>
    <n v="250.48780487804879"/>
    <n v="-0.64469328140214222"/>
    <x v="25"/>
    <n v="303.8235294117647"/>
    <d v="2022-11-02T00:00:00"/>
    <n v="522"/>
    <x v="0"/>
  </r>
  <r>
    <n v="492"/>
    <n v="464"/>
    <n v="134"/>
    <n v="1"/>
    <n v="134"/>
    <x v="312"/>
    <x v="0"/>
    <n v="220"/>
    <x v="11"/>
    <n v="262.63492063492066"/>
    <n v="-0.48978605100930739"/>
    <x v="47"/>
    <n v="271"/>
    <d v="2022-01-09T00:00:00"/>
    <n v="508"/>
    <x v="3"/>
  </r>
  <r>
    <n v="493"/>
    <n v="335"/>
    <n v="436"/>
    <n v="1"/>
    <n v="436"/>
    <x v="313"/>
    <x v="6"/>
    <n v="235"/>
    <x v="16"/>
    <n v="300.31818181818181"/>
    <n v="0.45179355229302254"/>
    <x v="51"/>
    <n v="331.16666666666669"/>
    <d v="2022-03-15T00:00:00"/>
    <n v="772"/>
    <x v="0"/>
  </r>
  <r>
    <n v="494"/>
    <n v="15"/>
    <n v="318"/>
    <n v="5"/>
    <n v="1590"/>
    <x v="269"/>
    <x v="18"/>
    <n v="323"/>
    <x v="0"/>
    <n v="252.76271186440678"/>
    <n v="0.25809696238181457"/>
    <x v="68"/>
    <n v="215.85714285714286"/>
    <d v="2022-09-17T00:00:00"/>
    <n v="161"/>
    <x v="4"/>
  </r>
  <r>
    <n v="495"/>
    <n v="441"/>
    <n v="183"/>
    <n v="1"/>
    <n v="183"/>
    <x v="90"/>
    <x v="6"/>
    <n v="296"/>
    <x v="8"/>
    <n v="271.18181818181819"/>
    <n v="-0.32517599731813607"/>
    <x v="14"/>
    <n v="260.15789473684208"/>
    <d v="2022-07-16T00:00:00"/>
    <n v="477"/>
    <x v="0"/>
  </r>
  <r>
    <n v="496"/>
    <n v="149"/>
    <n v="448"/>
    <n v="2"/>
    <n v="896"/>
    <x v="129"/>
    <x v="8"/>
    <n v="206"/>
    <x v="17"/>
    <n v="267.85483870967744"/>
    <n v="0.67254772084060921"/>
    <x v="35"/>
    <n v="250.25925925925927"/>
    <d v="2022-01-07T00:00:00"/>
    <n v="501"/>
    <x v="2"/>
  </r>
  <r>
    <n v="497"/>
    <n v="490"/>
    <n v="58"/>
    <n v="4"/>
    <n v="232"/>
    <x v="16"/>
    <x v="18"/>
    <n v="255"/>
    <x v="11"/>
    <n v="262.63492063492066"/>
    <n v="-0.77916112655626746"/>
    <x v="47"/>
    <n v="271"/>
    <d v="2022-08-20T00:00:00"/>
    <n v="423"/>
    <x v="3"/>
  </r>
  <r>
    <n v="498"/>
    <n v="90"/>
    <n v="162"/>
    <n v="3"/>
    <n v="486"/>
    <x v="267"/>
    <x v="6"/>
    <n v="88"/>
    <x v="7"/>
    <n v="249.02380952380952"/>
    <n v="-0.34945979539152883"/>
    <x v="59"/>
    <n v="256.89999999999998"/>
    <d v="2022-03-10T00:00:00"/>
    <n v="577"/>
    <x v="3"/>
  </r>
  <r>
    <n v="499"/>
    <n v="396"/>
    <n v="482"/>
    <n v="2"/>
    <n v="964"/>
    <x v="306"/>
    <x v="12"/>
    <n v="362"/>
    <x v="15"/>
    <n v="294.95238095238096"/>
    <n v="0.63416209234743293"/>
    <x v="41"/>
    <n v="274.77777777777777"/>
    <d v="2022-12-21T00:00:00"/>
    <n v="492"/>
    <x v="2"/>
  </r>
  <r>
    <n v="500"/>
    <n v="323"/>
    <n v="64"/>
    <n v="4"/>
    <n v="256"/>
    <x v="6"/>
    <x v="1"/>
    <n v="265"/>
    <x v="6"/>
    <n v="258.5128205128205"/>
    <n v="-0.75243007339813528"/>
    <x v="6"/>
    <n v="260.64705882352939"/>
    <d v="2022-07-14T00:00:00"/>
    <n v="593"/>
    <x v="0"/>
  </r>
  <r>
    <n v="501"/>
    <n v="451"/>
    <n v="187"/>
    <n v="4"/>
    <n v="748"/>
    <x v="264"/>
    <x v="11"/>
    <n v="164"/>
    <x v="13"/>
    <n v="258.375"/>
    <n v="-0.27624576681180457"/>
    <x v="20"/>
    <n v="269.70588235294116"/>
    <d v="2022-04-27T00:00:00"/>
    <n v="482"/>
    <x v="2"/>
  </r>
  <r>
    <n v="502"/>
    <n v="348"/>
    <n v="461"/>
    <n v="3"/>
    <n v="1383"/>
    <x v="314"/>
    <x v="10"/>
    <n v="364"/>
    <x v="14"/>
    <n v="273.72549019607845"/>
    <n v="0.68416905444126064"/>
    <x v="63"/>
    <n v="266.27272727272725"/>
    <d v="2022-11-18T00:00:00"/>
    <n v="461"/>
    <x v="2"/>
  </r>
  <r>
    <n v="503"/>
    <n v="111"/>
    <n v="321"/>
    <n v="5"/>
    <n v="1605"/>
    <x v="315"/>
    <x v="9"/>
    <n v="19"/>
    <x v="0"/>
    <n v="252.76271186440678"/>
    <n v="0.26996580164956741"/>
    <x v="11"/>
    <n v="240.26666666666668"/>
    <d v="2022-12-07T00:00:00"/>
    <n v="229"/>
    <x v="2"/>
  </r>
  <r>
    <n v="504"/>
    <n v="234"/>
    <n v="244"/>
    <n v="3"/>
    <n v="732"/>
    <x v="138"/>
    <x v="12"/>
    <n v="453"/>
    <x v="8"/>
    <n v="271.18181818181819"/>
    <n v="-0.10023466309084816"/>
    <x v="8"/>
    <n v="291.45454545454544"/>
    <d v="2022-03-15T00:00:00"/>
    <n v="446"/>
    <x v="2"/>
  </r>
  <r>
    <n v="505"/>
    <n v="336"/>
    <n v="416"/>
    <n v="2"/>
    <n v="832"/>
    <x v="77"/>
    <x v="4"/>
    <n v="335"/>
    <x v="14"/>
    <n v="273.72549019607845"/>
    <n v="0.51977077363896829"/>
    <x v="63"/>
    <n v="266.27272727272725"/>
    <d v="2022-02-27T00:00:00"/>
    <n v="554"/>
    <x v="0"/>
  </r>
  <r>
    <n v="506"/>
    <n v="441"/>
    <n v="293"/>
    <n v="3"/>
    <n v="879"/>
    <x v="260"/>
    <x v="16"/>
    <n v="136"/>
    <x v="8"/>
    <n v="271.18181818181819"/>
    <n v="8.0455916862219201E-2"/>
    <x v="14"/>
    <n v="260.15789473684208"/>
    <d v="2022-10-26T00:00:00"/>
    <n v="414"/>
    <x v="3"/>
  </r>
  <r>
    <n v="507"/>
    <n v="481"/>
    <n v="63"/>
    <n v="1"/>
    <n v="63"/>
    <x v="316"/>
    <x v="4"/>
    <n v="388"/>
    <x v="14"/>
    <n v="273.72549019607845"/>
    <n v="-0.76984240687679084"/>
    <x v="22"/>
    <n v="280.23809523809524"/>
    <d v="2022-01-20T00:00:00"/>
    <n v="720"/>
    <x v="2"/>
  </r>
  <r>
    <n v="508"/>
    <n v="403"/>
    <n v="240"/>
    <n v="1"/>
    <n v="240"/>
    <x v="317"/>
    <x v="2"/>
    <n v="341"/>
    <x v="8"/>
    <n v="271.18181818181819"/>
    <n v="-0.11498491451558834"/>
    <x v="52"/>
    <n v="243.3"/>
    <d v="2022-06-12T00:00:00"/>
    <n v="635"/>
    <x v="2"/>
  </r>
  <r>
    <n v="509"/>
    <n v="137"/>
    <n v="432"/>
    <n v="5"/>
    <n v="2160"/>
    <x v="315"/>
    <x v="14"/>
    <n v="185"/>
    <x v="12"/>
    <n v="274.16279069767444"/>
    <n v="0.57570616676562891"/>
    <x v="18"/>
    <n v="253.6875"/>
    <d v="2022-05-02T00:00:00"/>
    <n v="448"/>
    <x v="0"/>
  </r>
  <r>
    <n v="510"/>
    <n v="246"/>
    <n v="196"/>
    <n v="5"/>
    <n v="980"/>
    <x v="233"/>
    <x v="7"/>
    <n v="437"/>
    <x v="11"/>
    <n v="262.63492063492066"/>
    <n v="-0.25371691043152433"/>
    <x v="21"/>
    <n v="238.72222222222223"/>
    <d v="2022-01-15T00:00:00"/>
    <n v="592"/>
    <x v="0"/>
  </r>
  <r>
    <n v="511"/>
    <n v="4"/>
    <n v="493"/>
    <n v="4"/>
    <n v="1972"/>
    <x v="318"/>
    <x v="8"/>
    <n v="263"/>
    <x v="13"/>
    <n v="258.375"/>
    <n v="0.90807934204160623"/>
    <x v="20"/>
    <n v="269.70588235294116"/>
    <d v="2022-02-20T00:00:00"/>
    <n v="543"/>
    <x v="4"/>
  </r>
  <r>
    <n v="512"/>
    <n v="484"/>
    <n v="436"/>
    <n v="2"/>
    <n v="872"/>
    <x v="204"/>
    <x v="7"/>
    <n v="358"/>
    <x v="2"/>
    <n v="283.468085106383"/>
    <n v="0.53809202131652012"/>
    <x v="31"/>
    <n v="323.07692307692309"/>
    <d v="2022-07-29T00:00:00"/>
    <n v="634"/>
    <x v="3"/>
  </r>
  <r>
    <n v="513"/>
    <n v="60"/>
    <n v="412"/>
    <n v="5"/>
    <n v="2060"/>
    <x v="71"/>
    <x v="9"/>
    <n v="377"/>
    <x v="7"/>
    <n v="249.02380952380952"/>
    <n v="0.65446027344870461"/>
    <x v="7"/>
    <n v="276.21052631578948"/>
    <d v="2022-08-21T00:00:00"/>
    <n v="136"/>
    <x v="0"/>
  </r>
  <r>
    <n v="514"/>
    <n v="477"/>
    <n v="117"/>
    <n v="3"/>
    <n v="351"/>
    <x v="319"/>
    <x v="15"/>
    <n v="450"/>
    <x v="3"/>
    <n v="265.47674418604652"/>
    <n v="-0.559283430423547"/>
    <x v="3"/>
    <n v="236.27586206896552"/>
    <d v="2022-02-27T00:00:00"/>
    <n v="628"/>
    <x v="2"/>
  </r>
  <r>
    <n v="515"/>
    <n v="174"/>
    <n v="301"/>
    <n v="4"/>
    <n v="1204"/>
    <x v="320"/>
    <x v="6"/>
    <n v="210"/>
    <x v="8"/>
    <n v="271.18181818181819"/>
    <n v="0.10995641971169956"/>
    <x v="52"/>
    <n v="243.3"/>
    <d v="2022-02-10T00:00:00"/>
    <n v="780"/>
    <x v="0"/>
  </r>
  <r>
    <n v="516"/>
    <n v="240"/>
    <n v="156"/>
    <n v="4"/>
    <n v="624"/>
    <x v="321"/>
    <x v="15"/>
    <n v="67"/>
    <x v="3"/>
    <n v="265.47674418604652"/>
    <n v="-0.41237790723139589"/>
    <x v="3"/>
    <n v="236.27586206896552"/>
    <d v="2022-06-19T00:00:00"/>
    <n v="586"/>
    <x v="0"/>
  </r>
  <r>
    <n v="517"/>
    <n v="299"/>
    <n v="141"/>
    <n v="4"/>
    <n v="564"/>
    <x v="322"/>
    <x v="10"/>
    <n v="125"/>
    <x v="8"/>
    <n v="271.18181818181819"/>
    <n v="-0.48005363727790817"/>
    <x v="14"/>
    <n v="260.15789473684208"/>
    <d v="2022-05-20T00:00:00"/>
    <n v="568"/>
    <x v="2"/>
  </r>
  <r>
    <n v="518"/>
    <n v="481"/>
    <n v="463"/>
    <n v="2"/>
    <n v="926"/>
    <x v="97"/>
    <x v="14"/>
    <n v="213"/>
    <x v="14"/>
    <n v="273.72549019607845"/>
    <n v="0.69147564469914036"/>
    <x v="22"/>
    <n v="280.23809523809524"/>
    <d v="2022-06-21T00:00:00"/>
    <n v="438"/>
    <x v="0"/>
  </r>
  <r>
    <n v="519"/>
    <n v="213"/>
    <n v="432"/>
    <n v="3"/>
    <n v="1296"/>
    <x v="41"/>
    <x v="13"/>
    <n v="254"/>
    <x v="0"/>
    <n v="252.76271186440678"/>
    <n v="0.70911285455642736"/>
    <x v="0"/>
    <n v="240.5"/>
    <d v="2022-10-28T00:00:00"/>
    <n v="334"/>
    <x v="1"/>
  </r>
  <r>
    <n v="520"/>
    <n v="484"/>
    <n v="238"/>
    <n v="2"/>
    <n v="476"/>
    <x v="323"/>
    <x v="6"/>
    <n v="252"/>
    <x v="2"/>
    <n v="283.468085106383"/>
    <n v="-0.16039930946483527"/>
    <x v="31"/>
    <n v="323.07692307692309"/>
    <d v="2022-03-23T00:00:00"/>
    <n v="721"/>
    <x v="2"/>
  </r>
  <r>
    <n v="521"/>
    <n v="479"/>
    <n v="131"/>
    <n v="5"/>
    <n v="655"/>
    <x v="324"/>
    <x v="4"/>
    <n v="164"/>
    <x v="4"/>
    <n v="250.48780487804879"/>
    <n v="-0.47702044790652387"/>
    <x v="56"/>
    <n v="247.66666666666666"/>
    <d v="2022-04-27T00:00:00"/>
    <n v="287"/>
    <x v="2"/>
  </r>
  <r>
    <n v="522"/>
    <n v="159"/>
    <n v="225"/>
    <n v="1"/>
    <n v="225"/>
    <x v="325"/>
    <x v="13"/>
    <n v="258"/>
    <x v="18"/>
    <n v="255.11627906976744"/>
    <n v="-0.11804922515952598"/>
    <x v="61"/>
    <n v="274.28571428571428"/>
    <d v="2022-06-05T00:00:00"/>
    <n v="299"/>
    <x v="3"/>
  </r>
  <r>
    <n v="523"/>
    <n v="110"/>
    <n v="279"/>
    <n v="1"/>
    <n v="279"/>
    <x v="326"/>
    <x v="10"/>
    <n v="290"/>
    <x v="3"/>
    <n v="265.47674418604652"/>
    <n v="5.0939512066926484E-2"/>
    <x v="16"/>
    <n v="276.67567567567568"/>
    <d v="2022-08-04T00:00:00"/>
    <n v="534"/>
    <x v="2"/>
  </r>
  <r>
    <n v="524"/>
    <n v="224"/>
    <n v="161"/>
    <n v="2"/>
    <n v="322"/>
    <x v="327"/>
    <x v="10"/>
    <n v="336"/>
    <x v="14"/>
    <n v="273.72549019607845"/>
    <n v="-0.41181948424068771"/>
    <x v="22"/>
    <n v="280.23809523809524"/>
    <d v="2022-10-22T00:00:00"/>
    <n v="321"/>
    <x v="0"/>
  </r>
  <r>
    <n v="525"/>
    <n v="126"/>
    <n v="267"/>
    <n v="1"/>
    <n v="267"/>
    <x v="63"/>
    <x v="16"/>
    <n v="437"/>
    <x v="0"/>
    <n v="252.76271186440678"/>
    <n v="5.6326694830014068E-2"/>
    <x v="45"/>
    <n v="293.41176470588238"/>
    <d v="2022-01-15T00:00:00"/>
    <n v="413"/>
    <x v="0"/>
  </r>
  <r>
    <n v="526"/>
    <n v="344"/>
    <n v="110"/>
    <n v="4"/>
    <n v="440"/>
    <x v="328"/>
    <x v="17"/>
    <n v="294"/>
    <x v="5"/>
    <n v="268.60344827586209"/>
    <n v="-0.59047435650555236"/>
    <x v="32"/>
    <n v="254.18181818181819"/>
    <d v="2022-11-14T00:00:00"/>
    <n v="405"/>
    <x v="3"/>
  </r>
  <r>
    <n v="527"/>
    <n v="447"/>
    <n v="316"/>
    <n v="1"/>
    <n v="316"/>
    <x v="329"/>
    <x v="9"/>
    <n v="297"/>
    <x v="9"/>
    <n v="263.25423728813558"/>
    <n v="0.20036054596961117"/>
    <x v="33"/>
    <n v="248.5"/>
    <d v="2022-04-15T00:00:00"/>
    <n v="455"/>
    <x v="3"/>
  </r>
  <r>
    <n v="528"/>
    <n v="450"/>
    <n v="228"/>
    <n v="4"/>
    <n v="912"/>
    <x v="164"/>
    <x v="7"/>
    <n v="27"/>
    <x v="16"/>
    <n v="300.31818181818181"/>
    <n v="-0.24080520659906157"/>
    <x v="24"/>
    <n v="281.73333333333335"/>
    <d v="2022-01-25T00:00:00"/>
    <n v="607"/>
    <x v="3"/>
  </r>
  <r>
    <n v="529"/>
    <n v="60"/>
    <n v="100"/>
    <n v="1"/>
    <n v="100"/>
    <x v="330"/>
    <x v="19"/>
    <n v="102"/>
    <x v="7"/>
    <n v="249.02380952380952"/>
    <n v="-0.59843197246390667"/>
    <x v="7"/>
    <n v="276.21052631578948"/>
    <d v="2022-06-11T00:00:00"/>
    <n v="674"/>
    <x v="0"/>
  </r>
  <r>
    <n v="530"/>
    <n v="42"/>
    <n v="332"/>
    <n v="2"/>
    <n v="664"/>
    <x v="316"/>
    <x v="0"/>
    <n v="323"/>
    <x v="13"/>
    <n v="258.375"/>
    <n v="0.28495403967102084"/>
    <x v="34"/>
    <n v="181.57142857142858"/>
    <d v="2022-09-17T00:00:00"/>
    <n v="480"/>
    <x v="4"/>
  </r>
  <r>
    <n v="531"/>
    <n v="267"/>
    <n v="65"/>
    <n v="2"/>
    <n v="130"/>
    <x v="213"/>
    <x v="17"/>
    <n v="53"/>
    <x v="4"/>
    <n v="250.48780487804879"/>
    <n v="-0.740506329113924"/>
    <x v="75"/>
    <n v="208"/>
    <d v="2022-02-01T00:00:00"/>
    <n v="549"/>
    <x v="2"/>
  </r>
  <r>
    <n v="532"/>
    <n v="161"/>
    <n v="489"/>
    <n v="5"/>
    <n v="2445"/>
    <x v="39"/>
    <x v="5"/>
    <n v="143"/>
    <x v="15"/>
    <n v="294.95238095238096"/>
    <n v="0.65789473684210531"/>
    <x v="23"/>
    <n v="318.81818181818181"/>
    <d v="2022-02-09T00:00:00"/>
    <n v="516"/>
    <x v="2"/>
  </r>
  <r>
    <n v="533"/>
    <n v="83"/>
    <n v="315"/>
    <n v="2"/>
    <n v="630"/>
    <x v="150"/>
    <x v="8"/>
    <n v="135"/>
    <x v="5"/>
    <n v="268.60344827586209"/>
    <n v="0.17273252455228172"/>
    <x v="32"/>
    <n v="254.18181818181819"/>
    <d v="2022-02-10T00:00:00"/>
    <n v="767"/>
    <x v="2"/>
  </r>
  <r>
    <n v="534"/>
    <n v="315"/>
    <n v="348"/>
    <n v="2"/>
    <n v="696"/>
    <x v="331"/>
    <x v="4"/>
    <n v="402"/>
    <x v="9"/>
    <n v="263.25423728813558"/>
    <n v="0.32191604429564769"/>
    <x v="43"/>
    <n v="287.10000000000002"/>
    <d v="2022-06-30T00:00:00"/>
    <n v="260"/>
    <x v="0"/>
  </r>
  <r>
    <n v="535"/>
    <n v="121"/>
    <n v="77"/>
    <n v="1"/>
    <n v="77"/>
    <x v="332"/>
    <x v="3"/>
    <n v="279"/>
    <x v="14"/>
    <n v="273.72549019607845"/>
    <n v="-0.71869627507163325"/>
    <x v="22"/>
    <n v="280.23809523809524"/>
    <d v="2022-08-13T00:00:00"/>
    <n v="261"/>
    <x v="0"/>
  </r>
  <r>
    <n v="536"/>
    <n v="371"/>
    <n v="62"/>
    <n v="5"/>
    <n v="310"/>
    <x v="333"/>
    <x v="2"/>
    <n v="385"/>
    <x v="0"/>
    <n v="252.76271186440678"/>
    <n v="-0.75471065513310531"/>
    <x v="45"/>
    <n v="293.41176470588238"/>
    <d v="2022-07-11T00:00:00"/>
    <n v="577"/>
    <x v="3"/>
  </r>
  <r>
    <n v="537"/>
    <n v="169"/>
    <n v="429"/>
    <n v="2"/>
    <n v="858"/>
    <x v="148"/>
    <x v="18"/>
    <n v="326"/>
    <x v="12"/>
    <n v="274.16279069767444"/>
    <n v="0.56476376282975638"/>
    <x v="65"/>
    <n v="258.30769230769232"/>
    <d v="2022-04-04T00:00:00"/>
    <n v="634"/>
    <x v="2"/>
  </r>
  <r>
    <n v="538"/>
    <n v="433"/>
    <n v="115"/>
    <n v="4"/>
    <n v="460"/>
    <x v="334"/>
    <x v="17"/>
    <n v="138"/>
    <x v="6"/>
    <n v="258.5128205128205"/>
    <n v="-0.55514778813727439"/>
    <x v="6"/>
    <n v="260.64705882352939"/>
    <d v="2022-06-11T00:00:00"/>
    <n v="480"/>
    <x v="3"/>
  </r>
  <r>
    <n v="539"/>
    <n v="43"/>
    <n v="158"/>
    <n v="5"/>
    <n v="790"/>
    <x v="330"/>
    <x v="8"/>
    <n v="271"/>
    <x v="2"/>
    <n v="283.468085106383"/>
    <n v="-0.44261802897245373"/>
    <x v="31"/>
    <n v="323.07692307692309"/>
    <d v="2022-11-27T00:00:00"/>
    <n v="505"/>
    <x v="1"/>
  </r>
  <r>
    <n v="540"/>
    <n v="453"/>
    <n v="318"/>
    <n v="4"/>
    <n v="1272"/>
    <x v="335"/>
    <x v="8"/>
    <n v="408"/>
    <x v="3"/>
    <n v="265.47674418604652"/>
    <n v="0.19784503525907748"/>
    <x v="19"/>
    <n v="329.27272727272725"/>
    <d v="2022-10-23T00:00:00"/>
    <n v="498"/>
    <x v="2"/>
  </r>
  <r>
    <n v="541"/>
    <n v="403"/>
    <n v="184"/>
    <n v="5"/>
    <n v="920"/>
    <x v="336"/>
    <x v="3"/>
    <n v="444"/>
    <x v="8"/>
    <n v="271.18181818181819"/>
    <n v="-0.32148843446195108"/>
    <x v="52"/>
    <n v="243.3"/>
    <d v="2022-05-07T00:00:00"/>
    <n v="690"/>
    <x v="2"/>
  </r>
  <r>
    <n v="542"/>
    <n v="248"/>
    <n v="497"/>
    <n v="2"/>
    <n v="994"/>
    <x v="137"/>
    <x v="9"/>
    <n v="116"/>
    <x v="17"/>
    <n v="267.85483870967744"/>
    <n v="0.85548262780755091"/>
    <x v="66"/>
    <n v="273.625"/>
    <d v="2022-03-23T00:00:00"/>
    <n v="408"/>
    <x v="2"/>
  </r>
  <r>
    <n v="543"/>
    <n v="492"/>
    <n v="469"/>
    <n v="4"/>
    <n v="1876"/>
    <x v="337"/>
    <x v="2"/>
    <n v="38"/>
    <x v="6"/>
    <n v="258.5128205128205"/>
    <n v="0.81422336837928988"/>
    <x v="54"/>
    <n v="292.66666666666669"/>
    <d v="2022-09-15T00:00:00"/>
    <n v="567"/>
    <x v="4"/>
  </r>
  <r>
    <n v="544"/>
    <n v="428"/>
    <n v="263"/>
    <n v="4"/>
    <n v="1052"/>
    <x v="258"/>
    <x v="14"/>
    <n v="136"/>
    <x v="17"/>
    <n v="267.85483870967744"/>
    <n v="-1.8124887095803066E-2"/>
    <x v="35"/>
    <n v="250.25925925925927"/>
    <d v="2022-10-26T00:00:00"/>
    <n v="525"/>
    <x v="3"/>
  </r>
  <r>
    <n v="545"/>
    <n v="91"/>
    <n v="335"/>
    <n v="2"/>
    <n v="670"/>
    <x v="338"/>
    <x v="15"/>
    <n v="310"/>
    <x v="11"/>
    <n v="262.63492063492066"/>
    <n v="0.27553487247673147"/>
    <x v="47"/>
    <n v="271"/>
    <d v="2022-09-03T00:00:00"/>
    <n v="379"/>
    <x v="4"/>
  </r>
  <r>
    <n v="546"/>
    <n v="122"/>
    <n v="309"/>
    <n v="3"/>
    <n v="927"/>
    <x v="339"/>
    <x v="11"/>
    <n v="263"/>
    <x v="12"/>
    <n v="274.16279069767444"/>
    <n v="0.12706760539485962"/>
    <x v="50"/>
    <n v="280.66666666666669"/>
    <d v="2022-02-20T00:00:00"/>
    <n v="461"/>
    <x v="4"/>
  </r>
  <r>
    <n v="547"/>
    <n v="444"/>
    <n v="59"/>
    <n v="2"/>
    <n v="118"/>
    <x v="340"/>
    <x v="19"/>
    <n v="381"/>
    <x v="9"/>
    <n v="263.25423728813558"/>
    <n v="-0.77588204996137011"/>
    <x v="33"/>
    <n v="248.5"/>
    <d v="2022-06-02T00:00:00"/>
    <n v="549"/>
    <x v="0"/>
  </r>
  <r>
    <n v="548"/>
    <n v="334"/>
    <n v="459"/>
    <n v="5"/>
    <n v="2295"/>
    <x v="341"/>
    <x v="0"/>
    <n v="167"/>
    <x v="15"/>
    <n v="294.95238095238096"/>
    <n v="0.55618340329350979"/>
    <x v="41"/>
    <n v="274.77777777777777"/>
    <d v="2022-01-02T00:00:00"/>
    <n v="583"/>
    <x v="0"/>
  </r>
  <r>
    <n v="549"/>
    <n v="431"/>
    <n v="149"/>
    <n v="5"/>
    <n v="745"/>
    <x v="305"/>
    <x v="15"/>
    <n v="12"/>
    <x v="4"/>
    <n v="250.48780487804879"/>
    <n v="-0.40516066212268742"/>
    <x v="56"/>
    <n v="247.66666666666666"/>
    <d v="2022-10-08T00:00:00"/>
    <n v="429"/>
    <x v="1"/>
  </r>
  <r>
    <n v="550"/>
    <n v="62"/>
    <n v="88"/>
    <n v="1"/>
    <n v="88"/>
    <x v="342"/>
    <x v="6"/>
    <n v="44"/>
    <x v="6"/>
    <n v="258.5128205128205"/>
    <n v="-0.65959135092243604"/>
    <x v="60"/>
    <n v="289.88888888888891"/>
    <d v="2022-05-20T00:00:00"/>
    <n v="249"/>
    <x v="1"/>
  </r>
  <r>
    <n v="551"/>
    <n v="458"/>
    <n v="79"/>
    <n v="2"/>
    <n v="158"/>
    <x v="343"/>
    <x v="14"/>
    <n v="133"/>
    <x v="3"/>
    <n v="265.47674418604652"/>
    <n v="-0.70242214532871972"/>
    <x v="3"/>
    <n v="236.27586206896552"/>
    <d v="2022-01-27T00:00:00"/>
    <n v="435"/>
    <x v="0"/>
  </r>
  <r>
    <n v="552"/>
    <n v="119"/>
    <n v="369"/>
    <n v="2"/>
    <n v="738"/>
    <x v="175"/>
    <x v="12"/>
    <n v="21"/>
    <x v="2"/>
    <n v="283.468085106383"/>
    <n v="0.30173384372888989"/>
    <x v="31"/>
    <n v="323.07692307692309"/>
    <d v="2022-11-16T00:00:00"/>
    <n v="224"/>
    <x v="1"/>
  </r>
  <r>
    <n v="553"/>
    <n v="388"/>
    <n v="107"/>
    <n v="1"/>
    <n v="107"/>
    <x v="344"/>
    <x v="4"/>
    <n v="179"/>
    <x v="6"/>
    <n v="258.5128205128205"/>
    <n v="-0.5860940289625074"/>
    <x v="6"/>
    <n v="260.64705882352939"/>
    <d v="2022-09-29T00:00:00"/>
    <n v="304"/>
    <x v="2"/>
  </r>
  <r>
    <n v="554"/>
    <n v="303"/>
    <n v="258"/>
    <n v="4"/>
    <n v="1032"/>
    <x v="185"/>
    <x v="10"/>
    <n v="300"/>
    <x v="12"/>
    <n v="274.16279069767444"/>
    <n v="-5.89532615149716E-2"/>
    <x v="65"/>
    <n v="258.30769230769232"/>
    <d v="2022-09-20T00:00:00"/>
    <n v="252"/>
    <x v="3"/>
  </r>
  <r>
    <n v="555"/>
    <n v="160"/>
    <n v="400"/>
    <n v="3"/>
    <n v="1200"/>
    <x v="345"/>
    <x v="19"/>
    <n v="134"/>
    <x v="18"/>
    <n v="255.11627906976744"/>
    <n v="0.56791248860528709"/>
    <x v="34"/>
    <n v="250.30769230769232"/>
    <d v="2022-07-11T00:00:00"/>
    <n v="428"/>
    <x v="2"/>
  </r>
  <r>
    <n v="556"/>
    <n v="66"/>
    <n v="230"/>
    <n v="2"/>
    <n v="460"/>
    <x v="289"/>
    <x v="13"/>
    <n v="391"/>
    <x v="7"/>
    <n v="249.02380952380952"/>
    <n v="-7.639353666698534E-2"/>
    <x v="39"/>
    <n v="222.2"/>
    <d v="2022-04-24T00:00:00"/>
    <n v="399"/>
    <x v="4"/>
  </r>
  <r>
    <n v="557"/>
    <n v="125"/>
    <n v="187"/>
    <n v="5"/>
    <n v="935"/>
    <x v="22"/>
    <x v="15"/>
    <n v="54"/>
    <x v="13"/>
    <n v="258.375"/>
    <n v="-0.27624576681180457"/>
    <x v="61"/>
    <n v="187"/>
    <d v="2022-10-13T00:00:00"/>
    <n v="180"/>
    <x v="1"/>
  </r>
  <r>
    <n v="558"/>
    <n v="280"/>
    <n v="234"/>
    <n v="2"/>
    <n v="468"/>
    <x v="346"/>
    <x v="4"/>
    <n v="19"/>
    <x v="11"/>
    <n v="262.63492063492066"/>
    <n v="-0.10902937265804435"/>
    <x v="21"/>
    <n v="238.72222222222223"/>
    <d v="2022-12-07T00:00:00"/>
    <n v="186"/>
    <x v="2"/>
  </r>
  <r>
    <n v="559"/>
    <n v="309"/>
    <n v="368"/>
    <n v="3"/>
    <n v="1104"/>
    <x v="111"/>
    <x v="7"/>
    <n v="340"/>
    <x v="17"/>
    <n v="267.85483870967744"/>
    <n v="0.37387848497621468"/>
    <x v="27"/>
    <n v="288.23809523809524"/>
    <d v="2022-12-01T00:00:00"/>
    <n v="64"/>
    <x v="2"/>
  </r>
  <r>
    <n v="560"/>
    <n v="317"/>
    <n v="267"/>
    <n v="3"/>
    <n v="801"/>
    <x v="193"/>
    <x v="18"/>
    <n v="71"/>
    <x v="5"/>
    <n v="268.60344827586209"/>
    <n v="-5.9695744271135442E-3"/>
    <x v="5"/>
    <n v="281.96875"/>
    <d v="2022-07-20T00:00:00"/>
    <n v="634"/>
    <x v="3"/>
  </r>
  <r>
    <n v="561"/>
    <n v="260"/>
    <n v="370"/>
    <n v="5"/>
    <n v="1850"/>
    <x v="347"/>
    <x v="10"/>
    <n v="102"/>
    <x v="1"/>
    <n v="264.8679245283019"/>
    <n v="0.39692263855250021"/>
    <x v="13"/>
    <n v="320.84615384615387"/>
    <d v="2022-06-11T00:00:00"/>
    <n v="235"/>
    <x v="0"/>
  </r>
  <r>
    <n v="562"/>
    <n v="448"/>
    <n v="170"/>
    <n v="1"/>
    <n v="170"/>
    <x v="263"/>
    <x v="18"/>
    <n v="43"/>
    <x v="9"/>
    <n v="263.25423728813558"/>
    <n v="-0.35423641514293069"/>
    <x v="9"/>
    <n v="257.78260869565219"/>
    <d v="2022-12-17T00:00:00"/>
    <n v="163"/>
    <x v="2"/>
  </r>
  <r>
    <n v="563"/>
    <n v="158"/>
    <n v="71"/>
    <n v="2"/>
    <n v="142"/>
    <x v="137"/>
    <x v="5"/>
    <n v="29"/>
    <x v="0"/>
    <n v="252.76271186440678"/>
    <n v="-0.71910413732984646"/>
    <x v="11"/>
    <n v="240.26666666666668"/>
    <d v="2022-05-23T00:00:00"/>
    <n v="347"/>
    <x v="2"/>
  </r>
  <r>
    <n v="564"/>
    <n v="274"/>
    <n v="472"/>
    <n v="3"/>
    <n v="1416"/>
    <x v="306"/>
    <x v="1"/>
    <n v="272"/>
    <x v="15"/>
    <n v="294.95238095238096"/>
    <n v="0.60025831449790124"/>
    <x v="23"/>
    <n v="318.81818181818181"/>
    <d v="2022-04-17T00:00:00"/>
    <n v="740"/>
    <x v="4"/>
  </r>
  <r>
    <n v="565"/>
    <n v="471"/>
    <n v="294"/>
    <n v="2"/>
    <n v="588"/>
    <x v="348"/>
    <x v="3"/>
    <n v="370"/>
    <x v="4"/>
    <n v="250.48780487804879"/>
    <n v="0.17370983446932819"/>
    <x v="4"/>
    <n v="159.19999999999999"/>
    <d v="2022-06-14T00:00:00"/>
    <n v="386"/>
    <x v="4"/>
  </r>
  <r>
    <n v="566"/>
    <n v="398"/>
    <n v="65"/>
    <n v="4"/>
    <n v="260"/>
    <x v="349"/>
    <x v="7"/>
    <n v="165"/>
    <x v="5"/>
    <n v="268.60344827586209"/>
    <n v="-0.75800757429873555"/>
    <x v="5"/>
    <n v="281.96875"/>
    <d v="2022-02-07T00:00:00"/>
    <n v="456"/>
    <x v="4"/>
  </r>
  <r>
    <n v="567"/>
    <n v="395"/>
    <n v="454"/>
    <n v="5"/>
    <n v="2270"/>
    <x v="350"/>
    <x v="4"/>
    <n v="147"/>
    <x v="1"/>
    <n v="264.8679245283019"/>
    <n v="0.71406183216982466"/>
    <x v="64"/>
    <n v="236.91666666666666"/>
    <d v="2022-09-23T00:00:00"/>
    <n v="451"/>
    <x v="2"/>
  </r>
  <r>
    <n v="568"/>
    <n v="424"/>
    <n v="472"/>
    <n v="3"/>
    <n v="1416"/>
    <x v="56"/>
    <x v="14"/>
    <n v="181"/>
    <x v="2"/>
    <n v="283.468085106383"/>
    <n v="0.66509044509494841"/>
    <x v="31"/>
    <n v="323.07692307692309"/>
    <d v="2022-01-07T00:00:00"/>
    <n v="855"/>
    <x v="3"/>
  </r>
  <r>
    <n v="569"/>
    <n v="474"/>
    <n v="261"/>
    <n v="2"/>
    <n v="522"/>
    <x v="320"/>
    <x v="19"/>
    <n v="88"/>
    <x v="15"/>
    <n v="294.95238095238096"/>
    <n v="-0.11511139812721993"/>
    <x v="23"/>
    <n v="318.81818181818181"/>
    <d v="2022-03-10T00:00:00"/>
    <n v="752"/>
    <x v="3"/>
  </r>
  <r>
    <n v="570"/>
    <n v="346"/>
    <n v="390"/>
    <n v="5"/>
    <n v="1950"/>
    <x v="351"/>
    <x v="12"/>
    <n v="10"/>
    <x v="8"/>
    <n v="271.18181818181819"/>
    <n v="0.43814951391216894"/>
    <x v="8"/>
    <n v="291.45454545454544"/>
    <d v="2022-11-16T00:00:00"/>
    <n v="521"/>
    <x v="3"/>
  </r>
  <r>
    <n v="571"/>
    <n v="132"/>
    <n v="497"/>
    <n v="4"/>
    <n v="1988"/>
    <x v="195"/>
    <x v="19"/>
    <n v="364"/>
    <x v="6"/>
    <n v="258.5128205128205"/>
    <n v="0.92253521126760574"/>
    <x v="6"/>
    <n v="260.64705882352939"/>
    <d v="2022-11-18T00:00:00"/>
    <n v="104"/>
    <x v="2"/>
  </r>
  <r>
    <n v="572"/>
    <n v="17"/>
    <n v="363"/>
    <n v="4"/>
    <n v="1452"/>
    <x v="352"/>
    <x v="12"/>
    <n v="277"/>
    <x v="7"/>
    <n v="249.02380952380952"/>
    <n v="0.45769193995601887"/>
    <x v="7"/>
    <n v="276.21052631578948"/>
    <d v="2022-07-08T00:00:00"/>
    <n v="441"/>
    <x v="2"/>
  </r>
  <r>
    <n v="573"/>
    <n v="63"/>
    <n v="251"/>
    <n v="1"/>
    <n v="251"/>
    <x v="242"/>
    <x v="11"/>
    <n v="214"/>
    <x v="6"/>
    <n v="258.5128205128205"/>
    <n v="-2.9061694108311831E-2"/>
    <x v="60"/>
    <n v="289.88888888888891"/>
    <d v="2022-02-09T00:00:00"/>
    <n v="486"/>
    <x v="2"/>
  </r>
  <r>
    <n v="574"/>
    <n v="89"/>
    <n v="492"/>
    <n v="2"/>
    <n v="984"/>
    <x v="296"/>
    <x v="9"/>
    <n v="402"/>
    <x v="17"/>
    <n v="267.85483870967744"/>
    <n v="0.83681580056602622"/>
    <x v="27"/>
    <n v="288.23809523809524"/>
    <d v="2022-06-30T00:00:00"/>
    <n v="193"/>
    <x v="0"/>
  </r>
  <r>
    <n v="575"/>
    <n v="260"/>
    <n v="449"/>
    <n v="1"/>
    <n v="449"/>
    <x v="115"/>
    <x v="16"/>
    <n v="490"/>
    <x v="1"/>
    <n v="264.8679245283019"/>
    <n v="0.69518449921641245"/>
    <x v="13"/>
    <n v="320.84615384615387"/>
    <d v="2022-02-11T00:00:00"/>
    <n v="422"/>
    <x v="2"/>
  </r>
  <r>
    <n v="576"/>
    <n v="27"/>
    <n v="193"/>
    <n v="1"/>
    <n v="193"/>
    <x v="353"/>
    <x v="7"/>
    <n v="151"/>
    <x v="3"/>
    <n v="265.47674418604652"/>
    <n v="-0.27300600061320135"/>
    <x v="16"/>
    <n v="276.67567567567568"/>
    <d v="2022-12-28T00:00:00"/>
    <n v="138"/>
    <x v="1"/>
  </r>
  <r>
    <n v="577"/>
    <n v="221"/>
    <n v="406"/>
    <n v="3"/>
    <n v="1218"/>
    <x v="354"/>
    <x v="19"/>
    <n v="409"/>
    <x v="14"/>
    <n v="273.72549019607845"/>
    <n v="0.48323782234957013"/>
    <x v="22"/>
    <n v="280.23809523809524"/>
    <d v="2022-11-04T00:00:00"/>
    <n v="130"/>
    <x v="3"/>
  </r>
  <r>
    <n v="578"/>
    <n v="127"/>
    <n v="384"/>
    <n v="2"/>
    <n v="768"/>
    <x v="168"/>
    <x v="11"/>
    <n v="348"/>
    <x v="4"/>
    <n v="250.48780487804879"/>
    <n v="0.53300876338851011"/>
    <x v="75"/>
    <n v="208"/>
    <d v="2022-01-08T00:00:00"/>
    <n v="441"/>
    <x v="3"/>
  </r>
  <r>
    <n v="579"/>
    <n v="464"/>
    <n v="356"/>
    <n v="4"/>
    <n v="1424"/>
    <x v="173"/>
    <x v="11"/>
    <n v="255"/>
    <x v="11"/>
    <n v="262.63492063492066"/>
    <n v="0.35549377493049672"/>
    <x v="47"/>
    <n v="271"/>
    <d v="2022-08-20T00:00:00"/>
    <n v="238"/>
    <x v="3"/>
  </r>
  <r>
    <n v="580"/>
    <n v="426"/>
    <n v="438"/>
    <n v="1"/>
    <n v="438"/>
    <x v="261"/>
    <x v="2"/>
    <n v="27"/>
    <x v="2"/>
    <n v="283.468085106383"/>
    <n v="0.54514748930421075"/>
    <x v="46"/>
    <n v="321.63636363636363"/>
    <d v="2022-01-25T00:00:00"/>
    <n v="346"/>
    <x v="3"/>
  </r>
  <r>
    <n v="581"/>
    <n v="224"/>
    <n v="232"/>
    <n v="5"/>
    <n v="1160"/>
    <x v="274"/>
    <x v="19"/>
    <n v="219"/>
    <x v="14"/>
    <n v="273.72549019607845"/>
    <n v="-0.15243553008596"/>
    <x v="22"/>
    <n v="280.23809523809524"/>
    <d v="2022-01-24T00:00:00"/>
    <n v="747"/>
    <x v="4"/>
  </r>
  <r>
    <n v="582"/>
    <n v="198"/>
    <n v="383"/>
    <n v="2"/>
    <n v="766"/>
    <x v="355"/>
    <x v="5"/>
    <n v="272"/>
    <x v="10"/>
    <n v="271.74545454545455"/>
    <n v="0.40940719925063562"/>
    <x v="15"/>
    <n v="316.58333333333331"/>
    <d v="2022-04-17T00:00:00"/>
    <n v="725"/>
    <x v="4"/>
  </r>
  <r>
    <n v="583"/>
    <n v="233"/>
    <n v="419"/>
    <n v="5"/>
    <n v="2095"/>
    <x v="310"/>
    <x v="17"/>
    <n v="388"/>
    <x v="9"/>
    <n v="263.25423728813558"/>
    <n v="0.59161730620654129"/>
    <x v="9"/>
    <n v="257.78260869565219"/>
    <d v="2022-01-20T00:00:00"/>
    <n v="723"/>
    <x v="2"/>
  </r>
  <r>
    <n v="584"/>
    <n v="355"/>
    <n v="210"/>
    <n v="1"/>
    <n v="210"/>
    <x v="302"/>
    <x v="6"/>
    <n v="446"/>
    <x v="7"/>
    <n v="249.02380952380952"/>
    <n v="-0.15670714217420401"/>
    <x v="7"/>
    <n v="276.21052631578948"/>
    <d v="2022-04-20T00:00:00"/>
    <n v="542"/>
    <x v="4"/>
  </r>
  <r>
    <n v="585"/>
    <n v="118"/>
    <n v="214"/>
    <n v="2"/>
    <n v="428"/>
    <x v="18"/>
    <x v="6"/>
    <n v="138"/>
    <x v="0"/>
    <n v="252.76271186440678"/>
    <n v="-0.15335613223362166"/>
    <x v="0"/>
    <n v="240.5"/>
    <d v="2022-06-11T00:00:00"/>
    <n v="335"/>
    <x v="3"/>
  </r>
  <r>
    <n v="586"/>
    <n v="414"/>
    <n v="115"/>
    <n v="2"/>
    <n v="230"/>
    <x v="309"/>
    <x v="4"/>
    <n v="402"/>
    <x v="12"/>
    <n v="274.16279069767444"/>
    <n v="-0.58054118245822384"/>
    <x v="18"/>
    <n v="253.6875"/>
    <d v="2022-06-30T00:00:00"/>
    <n v="352"/>
    <x v="0"/>
  </r>
  <r>
    <n v="587"/>
    <n v="405"/>
    <n v="340"/>
    <n v="1"/>
    <n v="340"/>
    <x v="302"/>
    <x v="3"/>
    <n v="351"/>
    <x v="16"/>
    <n v="300.31818181818181"/>
    <n v="0.1321325866505223"/>
    <x v="51"/>
    <n v="331.16666666666669"/>
    <d v="2022-10-29T00:00:00"/>
    <n v="350"/>
    <x v="2"/>
  </r>
  <r>
    <n v="588"/>
    <n v="313"/>
    <n v="392"/>
    <n v="5"/>
    <n v="1960"/>
    <x v="73"/>
    <x v="0"/>
    <n v="40"/>
    <x v="17"/>
    <n v="267.85483870967744"/>
    <n v="0.46347925573553317"/>
    <x v="35"/>
    <n v="250.25925925925927"/>
    <d v="2022-10-21T00:00:00"/>
    <n v="254"/>
    <x v="2"/>
  </r>
  <r>
    <n v="589"/>
    <n v="113"/>
    <n v="378"/>
    <n v="1"/>
    <n v="378"/>
    <x v="104"/>
    <x v="2"/>
    <n v="19"/>
    <x v="5"/>
    <n v="268.60344827586209"/>
    <n v="0.4072790294627382"/>
    <x v="28"/>
    <n v="242.81818181818181"/>
    <d v="2022-12-07T00:00:00"/>
    <n v="375"/>
    <x v="2"/>
  </r>
  <r>
    <n v="590"/>
    <n v="474"/>
    <n v="204"/>
    <n v="2"/>
    <n v="408"/>
    <x v="6"/>
    <x v="15"/>
    <n v="153"/>
    <x v="15"/>
    <n v="294.95238095238096"/>
    <n v="-0.30836293186955122"/>
    <x v="23"/>
    <n v="318.81818181818181"/>
    <d v="2022-08-29T00:00:00"/>
    <n v="547"/>
    <x v="2"/>
  </r>
  <r>
    <n v="591"/>
    <n v="361"/>
    <n v="69"/>
    <n v="1"/>
    <n v="69"/>
    <x v="304"/>
    <x v="19"/>
    <n v="355"/>
    <x v="10"/>
    <n v="271.74545454545455"/>
    <n v="-0.74608590927338425"/>
    <x v="12"/>
    <n v="212.8125"/>
    <d v="2022-03-11T00:00:00"/>
    <n v="390"/>
    <x v="2"/>
  </r>
  <r>
    <n v="592"/>
    <n v="291"/>
    <n v="455"/>
    <n v="5"/>
    <n v="2275"/>
    <x v="213"/>
    <x v="10"/>
    <n v="245"/>
    <x v="6"/>
    <n v="258.5128205128205"/>
    <n v="0.76006744693513206"/>
    <x v="60"/>
    <n v="289.88888888888891"/>
    <d v="2022-05-14T00:00:00"/>
    <n v="447"/>
    <x v="0"/>
  </r>
  <r>
    <n v="593"/>
    <n v="360"/>
    <n v="137"/>
    <n v="2"/>
    <n v="274"/>
    <x v="356"/>
    <x v="14"/>
    <n v="80"/>
    <x v="1"/>
    <n v="264.8679245283019"/>
    <n v="-0.48276107707650662"/>
    <x v="64"/>
    <n v="236.91666666666666"/>
    <d v="2022-03-03T00:00:00"/>
    <n v="695"/>
    <x v="1"/>
  </r>
  <r>
    <n v="594"/>
    <n v="182"/>
    <n v="152"/>
    <n v="3"/>
    <n v="456"/>
    <x v="357"/>
    <x v="14"/>
    <n v="466"/>
    <x v="1"/>
    <n v="264.8679245283019"/>
    <n v="-0.42612907821627011"/>
    <x v="13"/>
    <n v="320.84615384615387"/>
    <d v="2022-07-30T00:00:00"/>
    <n v="281"/>
    <x v="1"/>
  </r>
  <r>
    <n v="595"/>
    <n v="490"/>
    <n v="170"/>
    <n v="5"/>
    <n v="850"/>
    <x v="18"/>
    <x v="9"/>
    <n v="317"/>
    <x v="11"/>
    <n v="262.63492063492066"/>
    <n v="-0.35271364680285267"/>
    <x v="47"/>
    <n v="271"/>
    <d v="2022-07-28T00:00:00"/>
    <n v="288"/>
    <x v="2"/>
  </r>
  <r>
    <n v="596"/>
    <n v="215"/>
    <n v="496"/>
    <n v="2"/>
    <n v="992"/>
    <x v="358"/>
    <x v="4"/>
    <n v="342"/>
    <x v="5"/>
    <n v="268.60344827586209"/>
    <n v="0.84658835612041838"/>
    <x v="5"/>
    <n v="281.96875"/>
    <d v="2022-01-09T00:00:00"/>
    <n v="834"/>
    <x v="4"/>
  </r>
  <r>
    <n v="597"/>
    <n v="137"/>
    <n v="411"/>
    <n v="1"/>
    <n v="411"/>
    <x v="231"/>
    <x v="19"/>
    <n v="130"/>
    <x v="12"/>
    <n v="274.16279069767444"/>
    <n v="0.49910933921452183"/>
    <x v="18"/>
    <n v="253.6875"/>
    <d v="2022-10-29T00:00:00"/>
    <n v="329"/>
    <x v="4"/>
  </r>
  <r>
    <n v="598"/>
    <n v="75"/>
    <n v="240"/>
    <n v="4"/>
    <n v="960"/>
    <x v="359"/>
    <x v="14"/>
    <n v="53"/>
    <x v="2"/>
    <n v="283.468085106383"/>
    <n v="-0.15334384147714486"/>
    <x v="36"/>
    <n v="249.5"/>
    <d v="2022-02-01T00:00:00"/>
    <n v="555"/>
    <x v="2"/>
  </r>
  <r>
    <n v="599"/>
    <n v="359"/>
    <n v="302"/>
    <n v="4"/>
    <n v="1208"/>
    <x v="183"/>
    <x v="14"/>
    <n v="122"/>
    <x v="10"/>
    <n v="271.74545454545455"/>
    <n v="0.11133413622373878"/>
    <x v="15"/>
    <n v="316.58333333333331"/>
    <d v="2022-05-02T00:00:00"/>
    <n v="512"/>
    <x v="1"/>
  </r>
  <r>
    <n v="600"/>
    <n v="364"/>
    <n v="138"/>
    <n v="4"/>
    <n v="552"/>
    <x v="294"/>
    <x v="14"/>
    <n v="199"/>
    <x v="0"/>
    <n v="252.76271186440678"/>
    <n v="-0.45403339368336348"/>
    <x v="45"/>
    <n v="293.41176470588238"/>
    <d v="2022-06-03T00:00:00"/>
    <n v="541"/>
    <x v="0"/>
  </r>
  <r>
    <n v="601"/>
    <n v="197"/>
    <n v="309"/>
    <n v="4"/>
    <n v="1236"/>
    <x v="155"/>
    <x v="7"/>
    <n v="52"/>
    <x v="2"/>
    <n v="283.468085106383"/>
    <n v="9.0069804098175998E-2"/>
    <x v="2"/>
    <n v="232.44444444444446"/>
    <d v="2022-12-22T00:00:00"/>
    <n v="295"/>
    <x v="2"/>
  </r>
  <r>
    <n v="602"/>
    <n v="157"/>
    <n v="473"/>
    <n v="5"/>
    <n v="2365"/>
    <x v="139"/>
    <x v="14"/>
    <n v="477"/>
    <x v="11"/>
    <n v="262.63492063492066"/>
    <n v="0.80097908860147449"/>
    <x v="21"/>
    <n v="238.72222222222223"/>
    <d v="2022-06-26T00:00:00"/>
    <n v="274"/>
    <x v="0"/>
  </r>
  <r>
    <n v="603"/>
    <n v="105"/>
    <n v="187"/>
    <n v="1"/>
    <n v="187"/>
    <x v="123"/>
    <x v="11"/>
    <n v="24"/>
    <x v="12"/>
    <n v="274.16279069767444"/>
    <n v="-0.31792348799728565"/>
    <x v="50"/>
    <n v="280.66666666666669"/>
    <d v="2022-02-17T00:00:00"/>
    <n v="429"/>
    <x v="0"/>
  </r>
  <r>
    <n v="604"/>
    <n v="479"/>
    <n v="314"/>
    <n v="3"/>
    <n v="942"/>
    <x v="360"/>
    <x v="8"/>
    <n v="293"/>
    <x v="4"/>
    <n v="250.48780487804879"/>
    <n v="0.25355404089581302"/>
    <x v="56"/>
    <n v="247.66666666666666"/>
    <d v="2022-01-12T00:00:00"/>
    <n v="856"/>
    <x v="1"/>
  </r>
  <r>
    <n v="605"/>
    <n v="285"/>
    <n v="122"/>
    <n v="5"/>
    <n v="610"/>
    <x v="107"/>
    <x v="9"/>
    <n v="447"/>
    <x v="3"/>
    <n v="265.47674418604652"/>
    <n v="-0.5404493889886558"/>
    <x v="16"/>
    <n v="276.67567567567568"/>
    <d v="2022-12-03T00:00:00"/>
    <n v="61"/>
    <x v="4"/>
  </r>
  <r>
    <n v="606"/>
    <n v="93"/>
    <n v="184"/>
    <n v="2"/>
    <n v="368"/>
    <x v="0"/>
    <x v="11"/>
    <n v="163"/>
    <x v="8"/>
    <n v="271.18181818181819"/>
    <n v="-0.32148843446195108"/>
    <x v="8"/>
    <n v="291.45454545454544"/>
    <d v="2022-01-10T00:00:00"/>
    <n v="616"/>
    <x v="0"/>
  </r>
  <r>
    <n v="607"/>
    <n v="199"/>
    <n v="172"/>
    <n v="3"/>
    <n v="516"/>
    <x v="361"/>
    <x v="14"/>
    <n v="421"/>
    <x v="3"/>
    <n v="265.47674418604652"/>
    <n v="-0.35210897463974422"/>
    <x v="3"/>
    <n v="236.27586206896552"/>
    <d v="2022-02-28T00:00:00"/>
    <n v="603"/>
    <x v="2"/>
  </r>
  <r>
    <n v="608"/>
    <n v="122"/>
    <n v="482"/>
    <n v="4"/>
    <n v="1928"/>
    <x v="123"/>
    <x v="15"/>
    <n v="320"/>
    <x v="12"/>
    <n v="274.16279069767444"/>
    <n v="0.75807956569683599"/>
    <x v="50"/>
    <n v="280.66666666666669"/>
    <d v="2022-11-04T00:00:00"/>
    <n v="169"/>
    <x v="1"/>
  </r>
  <r>
    <n v="609"/>
    <n v="415"/>
    <n v="350"/>
    <n v="1"/>
    <n v="350"/>
    <x v="362"/>
    <x v="0"/>
    <n v="199"/>
    <x v="14"/>
    <n v="273.72549019607845"/>
    <n v="0.27865329512893977"/>
    <x v="22"/>
    <n v="280.23809523809524"/>
    <d v="2022-06-03T00:00:00"/>
    <n v="643"/>
    <x v="0"/>
  </r>
  <r>
    <n v="610"/>
    <n v="315"/>
    <n v="232"/>
    <n v="1"/>
    <n v="232"/>
    <x v="363"/>
    <x v="5"/>
    <n v="247"/>
    <x v="9"/>
    <n v="263.25423728813558"/>
    <n v="-0.11872263713623488"/>
    <x v="43"/>
    <n v="287.10000000000002"/>
    <d v="2022-07-20T00:00:00"/>
    <n v="167"/>
    <x v="0"/>
  </r>
  <r>
    <n v="611"/>
    <n v="25"/>
    <n v="222"/>
    <n v="1"/>
    <n v="222"/>
    <x v="58"/>
    <x v="3"/>
    <n v="364"/>
    <x v="14"/>
    <n v="273.72549019607845"/>
    <n v="-0.18896848137535827"/>
    <x v="58"/>
    <n v="241.83333333333334"/>
    <d v="2022-11-18T00:00:00"/>
    <n v="362"/>
    <x v="2"/>
  </r>
  <r>
    <n v="612"/>
    <n v="207"/>
    <n v="152"/>
    <n v="3"/>
    <n v="456"/>
    <x v="236"/>
    <x v="3"/>
    <n v="173"/>
    <x v="0"/>
    <n v="252.76271186440678"/>
    <n v="-0.39864547710051634"/>
    <x v="68"/>
    <n v="215.85714285714286"/>
    <d v="2022-04-22T00:00:00"/>
    <n v="549"/>
    <x v="2"/>
  </r>
  <r>
    <n v="613"/>
    <n v="180"/>
    <n v="284"/>
    <n v="1"/>
    <n v="284"/>
    <x v="33"/>
    <x v="1"/>
    <n v="485"/>
    <x v="14"/>
    <n v="273.72549019607845"/>
    <n v="3.7535816618911033E-2"/>
    <x v="58"/>
    <n v="241.83333333333334"/>
    <d v="2022-06-11T00:00:00"/>
    <n v="544"/>
    <x v="2"/>
  </r>
  <r>
    <n v="614"/>
    <n v="117"/>
    <n v="208"/>
    <n v="3"/>
    <n v="624"/>
    <x v="330"/>
    <x v="0"/>
    <n v="401"/>
    <x v="3"/>
    <n v="265.47674418604652"/>
    <n v="-0.21650387630852785"/>
    <x v="29"/>
    <n v="235.55555555555554"/>
    <d v="2022-10-22T00:00:00"/>
    <n v="541"/>
    <x v="2"/>
  </r>
  <r>
    <n v="615"/>
    <n v="211"/>
    <n v="338"/>
    <n v="4"/>
    <n v="1352"/>
    <x v="249"/>
    <x v="3"/>
    <n v="379"/>
    <x v="4"/>
    <n v="250.48780487804879"/>
    <n v="0.3493670886075948"/>
    <x v="25"/>
    <n v="303.8235294117647"/>
    <d v="2022-01-20T00:00:00"/>
    <n v="646"/>
    <x v="4"/>
  </r>
  <r>
    <n v="616"/>
    <n v="26"/>
    <n v="143"/>
    <n v="2"/>
    <n v="286"/>
    <x v="330"/>
    <x v="14"/>
    <n v="183"/>
    <x v="10"/>
    <n v="271.74545454545455"/>
    <n v="-0.47377224675498464"/>
    <x v="12"/>
    <n v="212.8125"/>
    <d v="2022-12-05T00:00:00"/>
    <n v="497"/>
    <x v="4"/>
  </r>
  <r>
    <n v="617"/>
    <n v="22"/>
    <n v="217"/>
    <n v="3"/>
    <n v="651"/>
    <x v="309"/>
    <x v="12"/>
    <n v="37"/>
    <x v="17"/>
    <n v="267.85483870967744"/>
    <n v="-0.18985969771782985"/>
    <x v="35"/>
    <n v="250.25925925925927"/>
    <d v="2022-06-16T00:00:00"/>
    <n v="366"/>
    <x v="3"/>
  </r>
  <r>
    <n v="618"/>
    <n v="150"/>
    <n v="347"/>
    <n v="3"/>
    <n v="1041"/>
    <x v="364"/>
    <x v="2"/>
    <n v="201"/>
    <x v="6"/>
    <n v="258.5128205128205"/>
    <n v="0.34229319579448525"/>
    <x v="6"/>
    <n v="260.64705882352939"/>
    <d v="2022-10-09T00:00:00"/>
    <n v="136"/>
    <x v="4"/>
  </r>
  <r>
    <n v="619"/>
    <n v="268"/>
    <n v="55"/>
    <n v="2"/>
    <n v="110"/>
    <x v="302"/>
    <x v="11"/>
    <n v="424"/>
    <x v="13"/>
    <n v="258.375"/>
    <n v="-0.78713110788582485"/>
    <x v="34"/>
    <n v="181.57142857142858"/>
    <d v="2022-01-24T00:00:00"/>
    <n v="628"/>
    <x v="2"/>
  </r>
  <r>
    <n v="620"/>
    <n v="67"/>
    <n v="142"/>
    <n v="4"/>
    <n v="568"/>
    <x v="294"/>
    <x v="0"/>
    <n v="69"/>
    <x v="9"/>
    <n v="263.25423728813558"/>
    <n v="-0.46059747617821267"/>
    <x v="43"/>
    <n v="287.10000000000002"/>
    <d v="2022-01-26T00:00:00"/>
    <n v="669"/>
    <x v="4"/>
  </r>
  <r>
    <n v="621"/>
    <n v="453"/>
    <n v="459"/>
    <n v="1"/>
    <n v="459"/>
    <x v="10"/>
    <x v="7"/>
    <n v="498"/>
    <x v="3"/>
    <n v="265.47674418604652"/>
    <n v="0.72896500372300821"/>
    <x v="19"/>
    <n v="329.27272727272725"/>
    <d v="2022-06-09T00:00:00"/>
    <n v="415"/>
    <x v="3"/>
  </r>
  <r>
    <n v="622"/>
    <n v="191"/>
    <n v="58"/>
    <n v="1"/>
    <n v="58"/>
    <x v="57"/>
    <x v="11"/>
    <n v="237"/>
    <x v="19"/>
    <n v="286.92307692307691"/>
    <n v="-0.79785522788203755"/>
    <x v="40"/>
    <n v="273.58333333333331"/>
    <d v="2022-11-21T00:00:00"/>
    <n v="95"/>
    <x v="2"/>
  </r>
  <r>
    <n v="623"/>
    <n v="49"/>
    <n v="465"/>
    <n v="2"/>
    <n v="930"/>
    <x v="365"/>
    <x v="2"/>
    <n v="365"/>
    <x v="13"/>
    <n v="258.375"/>
    <n v="0.79970972423802622"/>
    <x v="30"/>
    <n v="317.85714285714283"/>
    <d v="2022-10-07T00:00:00"/>
    <n v="309"/>
    <x v="1"/>
  </r>
  <r>
    <n v="624"/>
    <n v="313"/>
    <n v="152"/>
    <n v="1"/>
    <n v="152"/>
    <x v="366"/>
    <x v="8"/>
    <n v="127"/>
    <x v="17"/>
    <n v="267.85483870967744"/>
    <n v="-0.43252845185765043"/>
    <x v="35"/>
    <n v="250.25925925925927"/>
    <d v="2022-12-19T00:00:00"/>
    <n v="100"/>
    <x v="3"/>
  </r>
  <r>
    <n v="625"/>
    <n v="245"/>
    <n v="144"/>
    <n v="4"/>
    <n v="576"/>
    <x v="292"/>
    <x v="15"/>
    <n v="314"/>
    <x v="0"/>
    <n v="252.76271186440678"/>
    <n v="-0.43029571514785758"/>
    <x v="0"/>
    <n v="240.5"/>
    <d v="2022-12-04T00:00:00"/>
    <n v="307"/>
    <x v="2"/>
  </r>
  <r>
    <n v="626"/>
    <n v="194"/>
    <n v="478"/>
    <n v="3"/>
    <n v="1434"/>
    <x v="111"/>
    <x v="8"/>
    <n v="403"/>
    <x v="1"/>
    <n v="264.8679245283019"/>
    <n v="0.80467303034620308"/>
    <x v="69"/>
    <n v="273.7"/>
    <d v="2022-02-02T00:00:00"/>
    <n v="366"/>
    <x v="2"/>
  </r>
  <r>
    <n v="627"/>
    <n v="154"/>
    <n v="75"/>
    <n v="1"/>
    <n v="75"/>
    <x v="336"/>
    <x v="6"/>
    <n v="255"/>
    <x v="4"/>
    <n v="250.48780487804879"/>
    <n v="-0.70058422590068159"/>
    <x v="4"/>
    <n v="159.19999999999999"/>
    <d v="2022-08-20T00:00:00"/>
    <n v="585"/>
    <x v="3"/>
  </r>
  <r>
    <n v="628"/>
    <n v="462"/>
    <n v="147"/>
    <n v="5"/>
    <n v="735"/>
    <x v="367"/>
    <x v="15"/>
    <n v="229"/>
    <x v="13"/>
    <n v="258.375"/>
    <n v="-0.43105950653120462"/>
    <x v="20"/>
    <n v="269.70588235294116"/>
    <d v="2022-07-24T00:00:00"/>
    <n v="347"/>
    <x v="1"/>
  </r>
  <r>
    <n v="629"/>
    <n v="310"/>
    <n v="404"/>
    <n v="4"/>
    <n v="1616"/>
    <x v="173"/>
    <x v="3"/>
    <n v="179"/>
    <x v="3"/>
    <n v="265.47674418604652"/>
    <n v="0.52179054793920554"/>
    <x v="16"/>
    <n v="276.67567567567568"/>
    <d v="2022-09-29T00:00:00"/>
    <n v="198"/>
    <x v="2"/>
  </r>
  <r>
    <n v="630"/>
    <n v="422"/>
    <n v="361"/>
    <n v="1"/>
    <n v="361"/>
    <x v="114"/>
    <x v="7"/>
    <n v="277"/>
    <x v="7"/>
    <n v="249.02380952380952"/>
    <n v="0.4496605794052968"/>
    <x v="59"/>
    <n v="256.89999999999998"/>
    <d v="2022-07-08T00:00:00"/>
    <n v="611"/>
    <x v="2"/>
  </r>
  <r>
    <n v="631"/>
    <n v="453"/>
    <n v="404"/>
    <n v="5"/>
    <n v="2020"/>
    <x v="177"/>
    <x v="0"/>
    <n v="460"/>
    <x v="3"/>
    <n v="265.47674418604652"/>
    <n v="0.52179054793920554"/>
    <x v="19"/>
    <n v="329.27272727272725"/>
    <d v="2022-09-17T00:00:00"/>
    <n v="287"/>
    <x v="2"/>
  </r>
  <r>
    <n v="632"/>
    <n v="337"/>
    <n v="132"/>
    <n v="3"/>
    <n v="396"/>
    <x v="308"/>
    <x v="18"/>
    <n v="434"/>
    <x v="3"/>
    <n v="265.47674418604652"/>
    <n v="-0.50278130611887351"/>
    <x v="16"/>
    <n v="276.67567567567568"/>
    <d v="2022-06-18T00:00:00"/>
    <n v="273"/>
    <x v="3"/>
  </r>
  <r>
    <n v="633"/>
    <n v="258"/>
    <n v="333"/>
    <n v="4"/>
    <n v="1332"/>
    <x v="180"/>
    <x v="3"/>
    <n v="62"/>
    <x v="6"/>
    <n v="258.5128205128205"/>
    <n v="0.28813727435032743"/>
    <x v="26"/>
    <n v="216.4"/>
    <d v="2022-04-20T00:00:00"/>
    <n v="347"/>
    <x v="2"/>
  </r>
  <r>
    <n v="634"/>
    <n v="111"/>
    <n v="420"/>
    <n v="1"/>
    <n v="420"/>
    <x v="368"/>
    <x v="1"/>
    <n v="13"/>
    <x v="0"/>
    <n v="252.76271186440678"/>
    <n v="0.66163749748541534"/>
    <x v="11"/>
    <n v="240.26666666666668"/>
    <d v="2022-06-12T00:00:00"/>
    <n v="571"/>
    <x v="2"/>
  </r>
  <r>
    <n v="635"/>
    <n v="4"/>
    <n v="151"/>
    <n v="4"/>
    <n v="604"/>
    <x v="369"/>
    <x v="10"/>
    <n v="116"/>
    <x v="13"/>
    <n v="258.375"/>
    <n v="-0.41557813255926468"/>
    <x v="20"/>
    <n v="269.70588235294116"/>
    <d v="2022-03-23T00:00:00"/>
    <n v="643"/>
    <x v="2"/>
  </r>
  <r>
    <n v="636"/>
    <n v="266"/>
    <n v="141"/>
    <n v="5"/>
    <n v="705"/>
    <x v="25"/>
    <x v="3"/>
    <n v="50"/>
    <x v="6"/>
    <n v="258.5128205128205"/>
    <n v="-0.45457250545526673"/>
    <x v="6"/>
    <n v="260.64705882352939"/>
    <d v="2022-01-15T00:00:00"/>
    <n v="598"/>
    <x v="0"/>
  </r>
  <r>
    <n v="637"/>
    <n v="143"/>
    <n v="339"/>
    <n v="1"/>
    <n v="339"/>
    <x v="102"/>
    <x v="3"/>
    <n v="197"/>
    <x v="0"/>
    <n v="252.76271186440678"/>
    <n v="0.34117883725608533"/>
    <x v="68"/>
    <n v="215.85714285714286"/>
    <d v="2022-08-12T00:00:00"/>
    <n v="228"/>
    <x v="3"/>
  </r>
  <r>
    <n v="638"/>
    <n v="475"/>
    <n v="206"/>
    <n v="3"/>
    <n v="618"/>
    <x v="86"/>
    <x v="11"/>
    <n v="243"/>
    <x v="16"/>
    <n v="300.31818181818181"/>
    <n v="-0.31406084455880123"/>
    <x v="57"/>
    <n v="316.60000000000002"/>
    <d v="2022-04-30T00:00:00"/>
    <n v="743"/>
    <x v="2"/>
  </r>
  <r>
    <n v="639"/>
    <n v="52"/>
    <n v="105"/>
    <n v="2"/>
    <n v="210"/>
    <x v="250"/>
    <x v="0"/>
    <n v="275"/>
    <x v="1"/>
    <n v="264.8679245283019"/>
    <n v="-0.60357600797834454"/>
    <x v="1"/>
    <n v="238.16666666666666"/>
    <d v="2022-03-31T00:00:00"/>
    <n v="581"/>
    <x v="4"/>
  </r>
  <r>
    <n v="640"/>
    <n v="47"/>
    <n v="356"/>
    <n v="3"/>
    <n v="1068"/>
    <x v="370"/>
    <x v="7"/>
    <n v="45"/>
    <x v="10"/>
    <n v="271.74545454545455"/>
    <n v="0.31004951157500327"/>
    <x v="37"/>
    <n v="272.35294117647061"/>
    <d v="2022-04-11T00:00:00"/>
    <n v="626"/>
    <x v="0"/>
  </r>
  <r>
    <n v="641"/>
    <n v="122"/>
    <n v="240"/>
    <n v="1"/>
    <n v="240"/>
    <x v="205"/>
    <x v="1"/>
    <n v="419"/>
    <x v="12"/>
    <n v="274.16279069767444"/>
    <n v="-0.12460768513020615"/>
    <x v="50"/>
    <n v="280.66666666666669"/>
    <d v="2022-11-04T00:00:00"/>
    <n v="92"/>
    <x v="4"/>
  </r>
  <r>
    <n v="642"/>
    <n v="422"/>
    <n v="290"/>
    <n v="5"/>
    <n v="1450"/>
    <x v="257"/>
    <x v="4"/>
    <n v="125"/>
    <x v="7"/>
    <n v="249.02380952380952"/>
    <n v="0.16454727985467055"/>
    <x v="59"/>
    <n v="256.89999999999998"/>
    <d v="2022-05-20T00:00:00"/>
    <n v="591"/>
    <x v="2"/>
  </r>
  <r>
    <n v="643"/>
    <n v="479"/>
    <n v="405"/>
    <n v="4"/>
    <n v="1620"/>
    <x v="74"/>
    <x v="11"/>
    <n v="242"/>
    <x v="4"/>
    <n v="250.48780487804879"/>
    <n v="0.61684518013631928"/>
    <x v="56"/>
    <n v="247.66666666666666"/>
    <d v="2022-07-05T00:00:00"/>
    <n v="555"/>
    <x v="2"/>
  </r>
  <r>
    <n v="644"/>
    <n v="99"/>
    <n v="281"/>
    <n v="5"/>
    <n v="1405"/>
    <x v="184"/>
    <x v="7"/>
    <n v="329"/>
    <x v="4"/>
    <n v="250.48780487804879"/>
    <n v="0.12181110029211295"/>
    <x v="75"/>
    <n v="208"/>
    <d v="2022-04-02T00:00:00"/>
    <n v="486"/>
    <x v="1"/>
  </r>
  <r>
    <n v="645"/>
    <n v="272"/>
    <n v="207"/>
    <n v="5"/>
    <n v="1035"/>
    <x v="289"/>
    <x v="19"/>
    <n v="42"/>
    <x v="18"/>
    <n v="255.11627906976744"/>
    <n v="-0.18860528714676394"/>
    <x v="72"/>
    <n v="252.09090909090909"/>
    <d v="2022-08-10T00:00:00"/>
    <n v="291"/>
    <x v="4"/>
  </r>
  <r>
    <n v="646"/>
    <n v="493"/>
    <n v="378"/>
    <n v="2"/>
    <n v="756"/>
    <x v="371"/>
    <x v="14"/>
    <n v="229"/>
    <x v="4"/>
    <n v="250.48780487804879"/>
    <n v="0.50905550146056466"/>
    <x v="25"/>
    <n v="303.8235294117647"/>
    <d v="2022-07-24T00:00:00"/>
    <n v="558"/>
    <x v="1"/>
  </r>
  <r>
    <n v="647"/>
    <n v="360"/>
    <n v="120"/>
    <n v="2"/>
    <n v="240"/>
    <x v="111"/>
    <x v="19"/>
    <n v="306"/>
    <x v="1"/>
    <n v="264.8679245283019"/>
    <n v="-0.54694400911810803"/>
    <x v="64"/>
    <n v="236.91666666666666"/>
    <d v="2022-11-07T00:00:00"/>
    <n v="88"/>
    <x v="3"/>
  </r>
  <r>
    <n v="648"/>
    <n v="215"/>
    <n v="440"/>
    <n v="2"/>
    <n v="880"/>
    <x v="34"/>
    <x v="10"/>
    <n v="292"/>
    <x v="5"/>
    <n v="268.60344827586209"/>
    <n v="0.63810257397779058"/>
    <x v="5"/>
    <n v="281.96875"/>
    <d v="2022-02-16T00:00:00"/>
    <n v="773"/>
    <x v="2"/>
  </r>
  <r>
    <n v="649"/>
    <n v="292"/>
    <n v="327"/>
    <n v="5"/>
    <n v="1635"/>
    <x v="123"/>
    <x v="12"/>
    <n v="275"/>
    <x v="19"/>
    <n v="286.92307692307691"/>
    <n v="0.13967828418230566"/>
    <x v="42"/>
    <n v="312.66666666666669"/>
    <d v="2022-03-31T00:00:00"/>
    <n v="387"/>
    <x v="4"/>
  </r>
  <r>
    <n v="650"/>
    <n v="307"/>
    <n v="407"/>
    <n v="1"/>
    <n v="407"/>
    <x v="342"/>
    <x v="12"/>
    <n v="103"/>
    <x v="11"/>
    <n v="262.63492063492066"/>
    <n v="0.54967968088964092"/>
    <x v="17"/>
    <n v="311.33333333333331"/>
    <d v="2022-08-14T00:00:00"/>
    <n v="163"/>
    <x v="0"/>
  </r>
  <r>
    <n v="651"/>
    <n v="473"/>
    <n v="343"/>
    <n v="5"/>
    <n v="1715"/>
    <x v="372"/>
    <x v="3"/>
    <n v="460"/>
    <x v="16"/>
    <n v="300.31818181818181"/>
    <n v="0.14212199182685037"/>
    <x v="24"/>
    <n v="281.73333333333335"/>
    <d v="2022-09-17T00:00:00"/>
    <n v="265"/>
    <x v="2"/>
  </r>
  <r>
    <n v="652"/>
    <n v="112"/>
    <n v="237"/>
    <n v="3"/>
    <n v="711"/>
    <x v="82"/>
    <x v="17"/>
    <n v="342"/>
    <x v="15"/>
    <n v="294.95238095238096"/>
    <n v="-0.19648046496609628"/>
    <x v="53"/>
    <n v="322.54545454545456"/>
    <d v="2022-01-09T00:00:00"/>
    <n v="509"/>
    <x v="4"/>
  </r>
  <r>
    <n v="653"/>
    <n v="131"/>
    <n v="116"/>
    <n v="5"/>
    <n v="580"/>
    <x v="238"/>
    <x v="1"/>
    <n v="246"/>
    <x v="5"/>
    <n v="268.60344827586209"/>
    <n v="-0.568136594133128"/>
    <x v="32"/>
    <n v="254.18181818181819"/>
    <d v="2022-09-01T00:00:00"/>
    <n v="379"/>
    <x v="0"/>
  </r>
  <r>
    <n v="654"/>
    <n v="230"/>
    <n v="453"/>
    <n v="3"/>
    <n v="1359"/>
    <x v="371"/>
    <x v="19"/>
    <n v="175"/>
    <x v="5"/>
    <n v="268.60344827586209"/>
    <n v="0.68650105911804338"/>
    <x v="5"/>
    <n v="281.96875"/>
    <d v="2022-01-04T00:00:00"/>
    <n v="759"/>
    <x v="2"/>
  </r>
  <r>
    <n v="655"/>
    <n v="39"/>
    <n v="375"/>
    <n v="2"/>
    <n v="750"/>
    <x v="148"/>
    <x v="14"/>
    <n v="366"/>
    <x v="11"/>
    <n v="262.63492063492066"/>
    <n v="0.4278375438172366"/>
    <x v="47"/>
    <n v="271"/>
    <d v="2022-09-23T00:00:00"/>
    <n v="462"/>
    <x v="0"/>
  </r>
  <r>
    <n v="656"/>
    <n v="481"/>
    <n v="374"/>
    <n v="5"/>
    <n v="1870"/>
    <x v="26"/>
    <x v="14"/>
    <n v="254"/>
    <x v="14"/>
    <n v="273.72549019607845"/>
    <n v="0.36633237822349551"/>
    <x v="22"/>
    <n v="280.23809523809524"/>
    <d v="2022-10-28T00:00:00"/>
    <n v="237"/>
    <x v="1"/>
  </r>
  <r>
    <n v="657"/>
    <n v="438"/>
    <n v="81"/>
    <n v="4"/>
    <n v="324"/>
    <x v="79"/>
    <x v="16"/>
    <n v="79"/>
    <x v="7"/>
    <n v="249.02380952380952"/>
    <n v="-0.67472989769576441"/>
    <x v="59"/>
    <n v="256.89999999999998"/>
    <d v="2022-06-04T00:00:00"/>
    <n v="556"/>
    <x v="4"/>
  </r>
  <r>
    <n v="658"/>
    <n v="316"/>
    <n v="428"/>
    <n v="3"/>
    <n v="1284"/>
    <x v="44"/>
    <x v="4"/>
    <n v="70"/>
    <x v="3"/>
    <n v="265.47674418604652"/>
    <n v="0.61219394682668304"/>
    <x v="3"/>
    <n v="236.27586206896552"/>
    <d v="2022-01-30T00:00:00"/>
    <n v="796"/>
    <x v="3"/>
  </r>
  <r>
    <n v="659"/>
    <n v="174"/>
    <n v="456"/>
    <n v="3"/>
    <n v="1368"/>
    <x v="181"/>
    <x v="15"/>
    <n v="76"/>
    <x v="8"/>
    <n v="271.18181818181819"/>
    <n v="0.68152866242038224"/>
    <x v="52"/>
    <n v="243.3"/>
    <d v="2022-01-14T00:00:00"/>
    <n v="707"/>
    <x v="1"/>
  </r>
  <r>
    <n v="660"/>
    <n v="228"/>
    <n v="247"/>
    <n v="4"/>
    <n v="988"/>
    <x v="373"/>
    <x v="11"/>
    <n v="147"/>
    <x v="13"/>
    <n v="258.375"/>
    <n v="-4.4025157232704393E-2"/>
    <x v="34"/>
    <n v="181.57142857142858"/>
    <d v="2022-09-23T00:00:00"/>
    <n v="588"/>
    <x v="2"/>
  </r>
  <r>
    <n v="661"/>
    <n v="269"/>
    <n v="455"/>
    <n v="5"/>
    <n v="2275"/>
    <x v="42"/>
    <x v="3"/>
    <n v="345"/>
    <x v="0"/>
    <n v="252.76271186440678"/>
    <n v="0.80010728894253336"/>
    <x v="45"/>
    <n v="293.41176470588238"/>
    <d v="2022-05-24T00:00:00"/>
    <n v="399"/>
    <x v="1"/>
  </r>
  <r>
    <n v="662"/>
    <n v="461"/>
    <n v="388"/>
    <n v="4"/>
    <n v="1552"/>
    <x v="374"/>
    <x v="13"/>
    <n v="303"/>
    <x v="12"/>
    <n v="274.16279069767444"/>
    <n v="0.41521757570616669"/>
    <x v="76"/>
    <n v="369.2"/>
    <d v="2022-05-08T00:00:00"/>
    <n v="604"/>
    <x v="0"/>
  </r>
  <r>
    <n v="663"/>
    <n v="151"/>
    <n v="496"/>
    <n v="3"/>
    <n v="1488"/>
    <x v="345"/>
    <x v="14"/>
    <n v="436"/>
    <x v="15"/>
    <n v="294.95238095238096"/>
    <n v="0.68162738133677747"/>
    <x v="53"/>
    <n v="322.54545454545456"/>
    <d v="2022-05-02T00:00:00"/>
    <n v="498"/>
    <x v="2"/>
  </r>
  <r>
    <n v="664"/>
    <n v="386"/>
    <n v="295"/>
    <n v="3"/>
    <n v="885"/>
    <x v="40"/>
    <x v="11"/>
    <n v="25"/>
    <x v="18"/>
    <n v="255.11627906976744"/>
    <n v="0.15633546034639934"/>
    <x v="67"/>
    <n v="251.91666666666666"/>
    <d v="2022-01-21T00:00:00"/>
    <n v="612"/>
    <x v="4"/>
  </r>
  <r>
    <n v="665"/>
    <n v="452"/>
    <n v="226"/>
    <n v="4"/>
    <n v="904"/>
    <x v="135"/>
    <x v="19"/>
    <n v="33"/>
    <x v="12"/>
    <n v="274.16279069767444"/>
    <n v="-0.17567223683094413"/>
    <x v="18"/>
    <n v="253.6875"/>
    <d v="2022-06-18T00:00:00"/>
    <n v="423"/>
    <x v="2"/>
  </r>
  <r>
    <n v="666"/>
    <n v="37"/>
    <n v="411"/>
    <n v="5"/>
    <n v="2055"/>
    <x v="375"/>
    <x v="13"/>
    <n v="7"/>
    <x v="1"/>
    <n v="264.8679245283019"/>
    <n v="0.55171676877048004"/>
    <x v="1"/>
    <n v="238.16666666666666"/>
    <d v="2022-11-28T00:00:00"/>
    <n v="247"/>
    <x v="2"/>
  </r>
  <r>
    <n v="667"/>
    <n v="27"/>
    <n v="301"/>
    <n v="1"/>
    <n v="301"/>
    <x v="286"/>
    <x v="14"/>
    <n v="494"/>
    <x v="3"/>
    <n v="265.47674418604652"/>
    <n v="0.13380929438044764"/>
    <x v="16"/>
    <n v="276.67567567567568"/>
    <d v="2022-06-26T00:00:00"/>
    <n v="193"/>
    <x v="1"/>
  </r>
  <r>
    <n v="668"/>
    <n v="435"/>
    <n v="452"/>
    <n v="4"/>
    <n v="1808"/>
    <x v="83"/>
    <x v="5"/>
    <n v="420"/>
    <x v="10"/>
    <n v="271.74545454545455"/>
    <n v="0.66332128997725137"/>
    <x v="37"/>
    <n v="272.35294117647061"/>
    <d v="2022-05-17T00:00:00"/>
    <n v="229"/>
    <x v="3"/>
  </r>
  <r>
    <n v="669"/>
    <n v="101"/>
    <n v="293"/>
    <n v="1"/>
    <n v="293"/>
    <x v="153"/>
    <x v="14"/>
    <n v="75"/>
    <x v="8"/>
    <n v="271.18181818181819"/>
    <n v="8.0455916862219201E-2"/>
    <x v="52"/>
    <n v="243.3"/>
    <d v="2022-08-23T00:00:00"/>
    <n v="369"/>
    <x v="3"/>
  </r>
  <r>
    <n v="670"/>
    <n v="423"/>
    <n v="382"/>
    <n v="2"/>
    <n v="764"/>
    <x v="141"/>
    <x v="8"/>
    <n v="83"/>
    <x v="14"/>
    <n v="273.72549019607845"/>
    <n v="0.39555873925501417"/>
    <x v="22"/>
    <n v="280.23809523809524"/>
    <d v="2022-06-27T00:00:00"/>
    <n v="544"/>
    <x v="4"/>
  </r>
  <r>
    <n v="671"/>
    <n v="411"/>
    <n v="158"/>
    <n v="3"/>
    <n v="474"/>
    <x v="124"/>
    <x v="8"/>
    <n v="109"/>
    <x v="16"/>
    <n v="300.31818181818181"/>
    <n v="-0.47389132738005146"/>
    <x v="24"/>
    <n v="281.73333333333335"/>
    <d v="2022-06-20T00:00:00"/>
    <n v="338"/>
    <x v="3"/>
  </r>
  <r>
    <n v="672"/>
    <n v="381"/>
    <n v="296"/>
    <n v="4"/>
    <n v="1184"/>
    <x v="136"/>
    <x v="12"/>
    <n v="465"/>
    <x v="6"/>
    <n v="258.5128205128205"/>
    <n v="0.14501091053362436"/>
    <x v="54"/>
    <n v="292.66666666666669"/>
    <d v="2022-04-20T00:00:00"/>
    <n v="435"/>
    <x v="0"/>
  </r>
  <r>
    <n v="673"/>
    <n v="400"/>
    <n v="345"/>
    <n v="2"/>
    <n v="690"/>
    <x v="376"/>
    <x v="14"/>
    <n v="18"/>
    <x v="15"/>
    <n v="294.95238095238096"/>
    <n v="0.16968033580884723"/>
    <x v="53"/>
    <n v="322.54545454545456"/>
    <d v="2022-01-17T00:00:00"/>
    <n v="565"/>
    <x v="3"/>
  </r>
  <r>
    <n v="674"/>
    <n v="389"/>
    <n v="155"/>
    <n v="4"/>
    <n v="620"/>
    <x v="145"/>
    <x v="19"/>
    <n v="376"/>
    <x v="8"/>
    <n v="271.18181818181819"/>
    <n v="-0.42842775729131743"/>
    <x v="52"/>
    <n v="243.3"/>
    <d v="2022-06-18T00:00:00"/>
    <n v="682"/>
    <x v="1"/>
  </r>
  <r>
    <n v="675"/>
    <n v="227"/>
    <n v="300"/>
    <n v="4"/>
    <n v="1200"/>
    <x v="140"/>
    <x v="8"/>
    <n v="88"/>
    <x v="3"/>
    <n v="265.47674418604652"/>
    <n v="0.13004248609346947"/>
    <x v="19"/>
    <n v="329.27272727272725"/>
    <d v="2022-03-10T00:00:00"/>
    <n v="361"/>
    <x v="3"/>
  </r>
  <r>
    <n v="676"/>
    <n v="243"/>
    <n v="371"/>
    <n v="3"/>
    <n v="1113"/>
    <x v="138"/>
    <x v="1"/>
    <n v="352"/>
    <x v="13"/>
    <n v="258.375"/>
    <n v="0.4358974358974359"/>
    <x v="20"/>
    <n v="269.70588235294116"/>
    <d v="2022-01-12T00:00:00"/>
    <n v="508"/>
    <x v="2"/>
  </r>
  <r>
    <n v="677"/>
    <n v="187"/>
    <n v="273"/>
    <n v="3"/>
    <n v="819"/>
    <x v="15"/>
    <x v="16"/>
    <n v="452"/>
    <x v="3"/>
    <n v="265.47674418604652"/>
    <n v="2.8338662345057219E-2"/>
    <x v="16"/>
    <n v="276.67567567567568"/>
    <d v="2022-07-27T00:00:00"/>
    <n v="211"/>
    <x v="2"/>
  </r>
  <r>
    <n v="678"/>
    <n v="441"/>
    <n v="147"/>
    <n v="3"/>
    <n v="441"/>
    <x v="39"/>
    <x v="9"/>
    <n v="449"/>
    <x v="8"/>
    <n v="271.18181818181819"/>
    <n v="-0.4579282601407979"/>
    <x v="14"/>
    <n v="260.15789473684208"/>
    <d v="2022-03-25T00:00:00"/>
    <n v="472"/>
    <x v="4"/>
  </r>
  <r>
    <n v="679"/>
    <n v="446"/>
    <n v="440"/>
    <n v="5"/>
    <n v="2200"/>
    <x v="11"/>
    <x v="16"/>
    <n v="197"/>
    <x v="14"/>
    <n v="273.72549019607845"/>
    <n v="0.60744985673352425"/>
    <x v="44"/>
    <n v="320.57142857142856"/>
    <d v="2022-08-12T00:00:00"/>
    <n v="609"/>
    <x v="3"/>
  </r>
  <r>
    <n v="680"/>
    <n v="55"/>
    <n v="227"/>
    <n v="4"/>
    <n v="908"/>
    <x v="109"/>
    <x v="0"/>
    <n v="70"/>
    <x v="18"/>
    <n v="255.11627906976744"/>
    <n v="-0.11020966271649957"/>
    <x v="61"/>
    <n v="274.28571428571428"/>
    <d v="2022-01-30T00:00:00"/>
    <n v="747"/>
    <x v="3"/>
  </r>
  <r>
    <n v="681"/>
    <n v="27"/>
    <n v="415"/>
    <n v="4"/>
    <n v="1660"/>
    <x v="377"/>
    <x v="17"/>
    <n v="345"/>
    <x v="3"/>
    <n v="265.47674418604652"/>
    <n v="0.5632254390959659"/>
    <x v="16"/>
    <n v="276.67567567567568"/>
    <d v="2022-05-24T00:00:00"/>
    <n v="524"/>
    <x v="1"/>
  </r>
  <r>
    <n v="682"/>
    <n v="110"/>
    <n v="84"/>
    <n v="5"/>
    <n v="420"/>
    <x v="119"/>
    <x v="5"/>
    <n v="225"/>
    <x v="3"/>
    <n v="265.47674418604652"/>
    <n v="-0.68358810389382851"/>
    <x v="16"/>
    <n v="276.67567567567568"/>
    <d v="2022-09-23T00:00:00"/>
    <n v="202"/>
    <x v="1"/>
  </r>
  <r>
    <n v="683"/>
    <n v="196"/>
    <n v="196"/>
    <n v="4"/>
    <n v="784"/>
    <x v="378"/>
    <x v="13"/>
    <n v="8"/>
    <x v="17"/>
    <n v="267.85483870967744"/>
    <n v="-0.26826037213223342"/>
    <x v="27"/>
    <n v="288.23809523809524"/>
    <d v="2022-11-18T00:00:00"/>
    <n v="61"/>
    <x v="1"/>
  </r>
  <r>
    <n v="684"/>
    <n v="271"/>
    <n v="123"/>
    <n v="2"/>
    <n v="246"/>
    <x v="252"/>
    <x v="3"/>
    <n v="11"/>
    <x v="11"/>
    <n v="262.63492063492066"/>
    <n v="-0.53166928562794635"/>
    <x v="47"/>
    <n v="271"/>
    <d v="2022-05-09T00:00:00"/>
    <n v="660"/>
    <x v="4"/>
  </r>
  <r>
    <n v="685"/>
    <n v="189"/>
    <n v="356"/>
    <n v="1"/>
    <n v="356"/>
    <x v="137"/>
    <x v="16"/>
    <n v="388"/>
    <x v="16"/>
    <n v="300.31818181818181"/>
    <n v="0.18540941425760549"/>
    <x v="38"/>
    <n v="264"/>
    <d v="2022-01-20T00:00:00"/>
    <n v="470"/>
    <x v="2"/>
  </r>
  <r>
    <n v="686"/>
    <n v="372"/>
    <n v="166"/>
    <n v="5"/>
    <n v="830"/>
    <x v="379"/>
    <x v="15"/>
    <n v="40"/>
    <x v="7"/>
    <n v="249.02380952380952"/>
    <n v="-0.33339707429008503"/>
    <x v="39"/>
    <n v="222.2"/>
    <d v="2022-10-21T00:00:00"/>
    <n v="576"/>
    <x v="2"/>
  </r>
  <r>
    <n v="687"/>
    <n v="205"/>
    <n v="156"/>
    <n v="4"/>
    <n v="624"/>
    <x v="360"/>
    <x v="4"/>
    <n v="286"/>
    <x v="3"/>
    <n v="265.47674418604652"/>
    <n v="-0.41237790723139589"/>
    <x v="3"/>
    <n v="236.27586206896552"/>
    <d v="2022-01-02T00:00:00"/>
    <n v="866"/>
    <x v="4"/>
  </r>
  <r>
    <n v="688"/>
    <n v="187"/>
    <n v="496"/>
    <n v="4"/>
    <n v="1984"/>
    <x v="380"/>
    <x v="2"/>
    <n v="448"/>
    <x v="3"/>
    <n v="265.47674418604652"/>
    <n v="0.86833691034120264"/>
    <x v="16"/>
    <n v="276.67567567567568"/>
    <d v="2022-07-28T00:00:00"/>
    <n v="545"/>
    <x v="2"/>
  </r>
  <r>
    <n v="689"/>
    <n v="194"/>
    <n v="257"/>
    <n v="5"/>
    <n v="1285"/>
    <x v="381"/>
    <x v="1"/>
    <n v="291"/>
    <x v="1"/>
    <n v="264.8679245283019"/>
    <n v="-2.9705086194614649E-2"/>
    <x v="69"/>
    <n v="273.7"/>
    <d v="2022-05-29T00:00:00"/>
    <n v="412"/>
    <x v="4"/>
  </r>
  <r>
    <n v="690"/>
    <n v="51"/>
    <n v="476"/>
    <n v="2"/>
    <n v="952"/>
    <x v="382"/>
    <x v="18"/>
    <n v="480"/>
    <x v="19"/>
    <n v="286.92307692307691"/>
    <n v="0.65898123324396796"/>
    <x v="42"/>
    <n v="312.66666666666669"/>
    <d v="2022-01-07T00:00:00"/>
    <n v="452"/>
    <x v="0"/>
  </r>
  <r>
    <n v="691"/>
    <n v="80"/>
    <n v="232"/>
    <n v="2"/>
    <n v="464"/>
    <x v="17"/>
    <x v="8"/>
    <n v="418"/>
    <x v="17"/>
    <n v="267.85483870967744"/>
    <n v="-0.1338592159932559"/>
    <x v="66"/>
    <n v="273.625"/>
    <d v="2022-05-19T00:00:00"/>
    <n v="416"/>
    <x v="1"/>
  </r>
  <r>
    <n v="692"/>
    <n v="474"/>
    <n v="252"/>
    <n v="3"/>
    <n v="756"/>
    <x v="293"/>
    <x v="5"/>
    <n v="470"/>
    <x v="15"/>
    <n v="294.95238095238096"/>
    <n v="-0.14562479819179852"/>
    <x v="23"/>
    <n v="318.81818181818181"/>
    <d v="2022-05-09T00:00:00"/>
    <n v="735"/>
    <x v="4"/>
  </r>
  <r>
    <n v="693"/>
    <n v="215"/>
    <n v="485"/>
    <n v="4"/>
    <n v="1940"/>
    <x v="107"/>
    <x v="1"/>
    <n v="318"/>
    <x v="5"/>
    <n v="268.60344827586209"/>
    <n v="0.80563579177097355"/>
    <x v="5"/>
    <n v="281.96875"/>
    <d v="2022-11-27T00:00:00"/>
    <n v="67"/>
    <x v="0"/>
  </r>
  <r>
    <n v="694"/>
    <n v="36"/>
    <n v="150"/>
    <n v="2"/>
    <n v="300"/>
    <x v="211"/>
    <x v="12"/>
    <n v="283"/>
    <x v="3"/>
    <n v="265.47674418604652"/>
    <n v="-0.43497875695326527"/>
    <x v="29"/>
    <n v="235.55555555555554"/>
    <d v="2022-11-24T00:00:00"/>
    <n v="268"/>
    <x v="4"/>
  </r>
  <r>
    <n v="695"/>
    <n v="400"/>
    <n v="474"/>
    <n v="4"/>
    <n v="1896"/>
    <x v="383"/>
    <x v="9"/>
    <n v="191"/>
    <x v="15"/>
    <n v="294.95238095238096"/>
    <n v="0.60703907006780744"/>
    <x v="53"/>
    <n v="322.54545454545456"/>
    <d v="2022-11-01T00:00:00"/>
    <n v="126"/>
    <x v="3"/>
  </r>
  <r>
    <n v="696"/>
    <n v="80"/>
    <n v="135"/>
    <n v="2"/>
    <n v="270"/>
    <x v="384"/>
    <x v="9"/>
    <n v="123"/>
    <x v="17"/>
    <n v="267.85483870967744"/>
    <n v="-0.49599566447883425"/>
    <x v="66"/>
    <n v="273.625"/>
    <d v="2022-02-08T00:00:00"/>
    <n v="696"/>
    <x v="2"/>
  </r>
  <r>
    <n v="697"/>
    <n v="413"/>
    <n v="178"/>
    <n v="5"/>
    <n v="890"/>
    <x v="99"/>
    <x v="2"/>
    <n v="380"/>
    <x v="7"/>
    <n v="249.02380952380952"/>
    <n v="-0.28520891098575385"/>
    <x v="7"/>
    <n v="276.21052631578948"/>
    <d v="2022-01-02T00:00:00"/>
    <n v="532"/>
    <x v="2"/>
  </r>
  <r>
    <n v="698"/>
    <n v="10"/>
    <n v="112"/>
    <n v="3"/>
    <n v="336"/>
    <x v="252"/>
    <x v="2"/>
    <n v="442"/>
    <x v="5"/>
    <n v="268.60344827586209"/>
    <n v="-0.58302843571474416"/>
    <x v="5"/>
    <n v="281.96875"/>
    <d v="2022-07-04T00:00:00"/>
    <n v="604"/>
    <x v="4"/>
  </r>
  <r>
    <n v="699"/>
    <n v="14"/>
    <n v="338"/>
    <n v="4"/>
    <n v="1352"/>
    <x v="385"/>
    <x v="5"/>
    <n v="218"/>
    <x v="5"/>
    <n v="268.60344827586209"/>
    <n v="0.25836061364657548"/>
    <x v="49"/>
    <n v="272.25"/>
    <d v="2022-06-09T00:00:00"/>
    <n v="243"/>
    <x v="0"/>
  </r>
  <r>
    <n v="700"/>
    <n v="423"/>
    <n v="277"/>
    <n v="5"/>
    <n v="1385"/>
    <x v="376"/>
    <x v="4"/>
    <n v="331"/>
    <x v="14"/>
    <n v="273.72549019607845"/>
    <n v="1.1962750716332238E-2"/>
    <x v="22"/>
    <n v="280.23809523809524"/>
    <d v="2022-09-09T00:00:00"/>
    <n v="330"/>
    <x v="0"/>
  </r>
  <r>
    <n v="701"/>
    <n v="138"/>
    <n v="427"/>
    <n v="5"/>
    <n v="2135"/>
    <x v="279"/>
    <x v="4"/>
    <n v="196"/>
    <x v="11"/>
    <n v="262.63492063492066"/>
    <n v="0.62583101655989348"/>
    <x v="47"/>
    <n v="271"/>
    <d v="2022-10-01T00:00:00"/>
    <n v="310"/>
    <x v="2"/>
  </r>
  <r>
    <n v="702"/>
    <n v="498"/>
    <n v="169"/>
    <n v="4"/>
    <n v="676"/>
    <x v="37"/>
    <x v="17"/>
    <n v="36"/>
    <x v="15"/>
    <n v="294.95238095238096"/>
    <n v="-0.42702615434291247"/>
    <x v="41"/>
    <n v="274.77777777777777"/>
    <d v="2022-05-19T00:00:00"/>
    <n v="429"/>
    <x v="2"/>
  </r>
  <r>
    <n v="703"/>
    <n v="46"/>
    <n v="228"/>
    <n v="5"/>
    <n v="1140"/>
    <x v="386"/>
    <x v="3"/>
    <n v="272"/>
    <x v="9"/>
    <n v="263.25423728813558"/>
    <n v="-0.13391707442698941"/>
    <x v="55"/>
    <n v="293.66666666666669"/>
    <d v="2022-04-17T00:00:00"/>
    <n v="349"/>
    <x v="4"/>
  </r>
  <r>
    <n v="704"/>
    <n v="1"/>
    <n v="322"/>
    <n v="2"/>
    <n v="644"/>
    <x v="387"/>
    <x v="15"/>
    <n v="22"/>
    <x v="18"/>
    <n v="255.11627906976744"/>
    <n v="0.26216955332725611"/>
    <x v="72"/>
    <n v="252.09090909090909"/>
    <d v="2022-11-05T00:00:00"/>
    <n v="552"/>
    <x v="1"/>
  </r>
  <r>
    <n v="705"/>
    <n v="478"/>
    <n v="342"/>
    <n v="3"/>
    <n v="1026"/>
    <x v="214"/>
    <x v="6"/>
    <n v="360"/>
    <x v="17"/>
    <n v="267.85483870967744"/>
    <n v="0.27681098332028653"/>
    <x v="27"/>
    <n v="288.23809523809524"/>
    <d v="2022-06-16T00:00:00"/>
    <n v="309"/>
    <x v="1"/>
  </r>
  <r>
    <n v="706"/>
    <n v="444"/>
    <n v="315"/>
    <n v="4"/>
    <n v="1260"/>
    <x v="146"/>
    <x v="4"/>
    <n v="414"/>
    <x v="9"/>
    <n v="263.25423728813558"/>
    <n v="0.19656193664692245"/>
    <x v="33"/>
    <n v="248.5"/>
    <d v="2022-08-21T00:00:00"/>
    <n v="247"/>
    <x v="1"/>
  </r>
  <r>
    <n v="707"/>
    <n v="110"/>
    <n v="473"/>
    <n v="2"/>
    <n v="946"/>
    <x v="273"/>
    <x v="17"/>
    <n v="152"/>
    <x v="3"/>
    <n v="265.47674418604652"/>
    <n v="0.78170031974070331"/>
    <x v="16"/>
    <n v="276.67567567567568"/>
    <d v="2022-08-18T00:00:00"/>
    <n v="582"/>
    <x v="1"/>
  </r>
  <r>
    <n v="708"/>
    <n v="191"/>
    <n v="248"/>
    <n v="2"/>
    <n v="496"/>
    <x v="359"/>
    <x v="11"/>
    <n v="177"/>
    <x v="19"/>
    <n v="286.92307692307691"/>
    <n v="-0.13565683646112592"/>
    <x v="40"/>
    <n v="273.58333333333331"/>
    <d v="2022-10-23T00:00:00"/>
    <n v="291"/>
    <x v="4"/>
  </r>
  <r>
    <n v="709"/>
    <n v="198"/>
    <n v="335"/>
    <n v="3"/>
    <n v="1005"/>
    <x v="75"/>
    <x v="10"/>
    <n v="111"/>
    <x v="10"/>
    <n v="271.74545454545455"/>
    <n v="0.23277131004951146"/>
    <x v="15"/>
    <n v="316.58333333333331"/>
    <d v="2022-08-31T00:00:00"/>
    <n v="360"/>
    <x v="0"/>
  </r>
  <r>
    <n v="710"/>
    <n v="93"/>
    <n v="343"/>
    <n v="3"/>
    <n v="1029"/>
    <x v="71"/>
    <x v="18"/>
    <n v="281"/>
    <x v="8"/>
    <n v="271.18181818181819"/>
    <n v="0.26483405967147156"/>
    <x v="8"/>
    <n v="291.45454545454544"/>
    <d v="2022-05-30T00:00:00"/>
    <n v="219"/>
    <x v="0"/>
  </r>
  <r>
    <n v="711"/>
    <n v="385"/>
    <n v="309"/>
    <n v="1"/>
    <n v="309"/>
    <x v="388"/>
    <x v="6"/>
    <n v="177"/>
    <x v="3"/>
    <n v="265.47674418604652"/>
    <n v="0.16394376067627348"/>
    <x v="19"/>
    <n v="329.27272727272725"/>
    <d v="2022-10-23T00:00:00"/>
    <n v="243"/>
    <x v="4"/>
  </r>
  <r>
    <n v="712"/>
    <n v="456"/>
    <n v="196"/>
    <n v="4"/>
    <n v="784"/>
    <x v="201"/>
    <x v="4"/>
    <n v="446"/>
    <x v="19"/>
    <n v="286.92307692307691"/>
    <n v="-0.31689008042895439"/>
    <x v="40"/>
    <n v="273.58333333333331"/>
    <d v="2022-04-20T00:00:00"/>
    <n v="335"/>
    <x v="4"/>
  </r>
  <r>
    <n v="713"/>
    <n v="147"/>
    <n v="258"/>
    <n v="5"/>
    <n v="1290"/>
    <x v="53"/>
    <x v="3"/>
    <n v="202"/>
    <x v="17"/>
    <n v="267.85483870967744"/>
    <n v="-3.6791714337327752E-2"/>
    <x v="35"/>
    <n v="250.25925925925927"/>
    <d v="2022-07-24T00:00:00"/>
    <n v="590"/>
    <x v="1"/>
  </r>
  <r>
    <n v="714"/>
    <n v="47"/>
    <n v="496"/>
    <n v="2"/>
    <n v="992"/>
    <x v="41"/>
    <x v="2"/>
    <n v="140"/>
    <x v="10"/>
    <n v="271.74545454545455"/>
    <n v="0.82523752174494835"/>
    <x v="37"/>
    <n v="272.35294117647061"/>
    <d v="2022-03-07T00:00:00"/>
    <n v="569"/>
    <x v="2"/>
  </r>
  <r>
    <n v="715"/>
    <n v="369"/>
    <n v="202"/>
    <n v="5"/>
    <n v="1010"/>
    <x v="388"/>
    <x v="13"/>
    <n v="321"/>
    <x v="15"/>
    <n v="294.95238095238096"/>
    <n v="-0.31514368743945753"/>
    <x v="41"/>
    <n v="274.77777777777777"/>
    <d v="2022-07-14T00:00:00"/>
    <n v="344"/>
    <x v="4"/>
  </r>
  <r>
    <n v="716"/>
    <n v="296"/>
    <n v="155"/>
    <n v="1"/>
    <n v="155"/>
    <x v="6"/>
    <x v="18"/>
    <n v="188"/>
    <x v="18"/>
    <n v="255.11627906976744"/>
    <n v="-0.39243391066545119"/>
    <x v="34"/>
    <n v="250.30769230769232"/>
    <d v="2022-08-28T00:00:00"/>
    <n v="548"/>
    <x v="4"/>
  </r>
  <r>
    <n v="717"/>
    <n v="448"/>
    <n v="72"/>
    <n v="5"/>
    <n v="360"/>
    <x v="190"/>
    <x v="10"/>
    <n v="63"/>
    <x v="9"/>
    <n v="263.25423728813558"/>
    <n v="-0.72650012876641767"/>
    <x v="9"/>
    <n v="257.78260869565219"/>
    <d v="2022-05-03T00:00:00"/>
    <n v="725"/>
    <x v="3"/>
  </r>
  <r>
    <n v="718"/>
    <n v="38"/>
    <n v="191"/>
    <n v="5"/>
    <n v="955"/>
    <x v="383"/>
    <x v="14"/>
    <n v="25"/>
    <x v="17"/>
    <n v="267.85483870967744"/>
    <n v="-0.2869271993737581"/>
    <x v="27"/>
    <n v="288.23809523809524"/>
    <d v="2022-01-21T00:00:00"/>
    <n v="410"/>
    <x v="4"/>
  </r>
  <r>
    <n v="719"/>
    <n v="272"/>
    <n v="362"/>
    <n v="2"/>
    <n v="724"/>
    <x v="115"/>
    <x v="18"/>
    <n v="409"/>
    <x v="18"/>
    <n v="255.11627906976744"/>
    <n v="0.41896080218778486"/>
    <x v="72"/>
    <n v="252.09090909090909"/>
    <d v="2022-11-04T00:00:00"/>
    <n v="156"/>
    <x v="3"/>
  </r>
  <r>
    <n v="720"/>
    <n v="426"/>
    <n v="394"/>
    <n v="5"/>
    <n v="1970"/>
    <x v="6"/>
    <x v="15"/>
    <n v="386"/>
    <x v="2"/>
    <n v="283.468085106383"/>
    <n v="0.38992719357502059"/>
    <x v="46"/>
    <n v="321.63636363636363"/>
    <d v="2022-06-22T00:00:00"/>
    <n v="615"/>
    <x v="0"/>
  </r>
  <r>
    <n v="721"/>
    <n v="378"/>
    <n v="203"/>
    <n v="4"/>
    <n v="812"/>
    <x v="20"/>
    <x v="8"/>
    <n v="238"/>
    <x v="5"/>
    <n v="268.60344827586209"/>
    <n v="-0.24423903973297389"/>
    <x v="5"/>
    <n v="281.96875"/>
    <d v="2022-12-14T00:00:00"/>
    <n v="335"/>
    <x v="3"/>
  </r>
  <r>
    <n v="722"/>
    <n v="134"/>
    <n v="450"/>
    <n v="5"/>
    <n v="2250"/>
    <x v="353"/>
    <x v="0"/>
    <n v="480"/>
    <x v="6"/>
    <n v="258.5128205128205"/>
    <n v="0.74072604641936124"/>
    <x v="6"/>
    <n v="260.64705882352939"/>
    <d v="2022-01-07T00:00:00"/>
    <n v="493"/>
    <x v="0"/>
  </r>
  <r>
    <n v="723"/>
    <n v="485"/>
    <n v="323"/>
    <n v="1"/>
    <n v="323"/>
    <x v="389"/>
    <x v="17"/>
    <n v="157"/>
    <x v="3"/>
    <n v="265.47674418604652"/>
    <n v="0.2166790766939688"/>
    <x v="3"/>
    <n v="236.27586206896552"/>
    <d v="2022-08-10T00:00:00"/>
    <n v="361"/>
    <x v="2"/>
  </r>
  <r>
    <n v="724"/>
    <n v="400"/>
    <n v="358"/>
    <n v="4"/>
    <n v="1432"/>
    <x v="130"/>
    <x v="2"/>
    <n v="9"/>
    <x v="15"/>
    <n v="294.95238095238096"/>
    <n v="0.21375524701323867"/>
    <x v="53"/>
    <n v="322.54545454545456"/>
    <d v="2022-12-05T00:00:00"/>
    <n v="203"/>
    <x v="4"/>
  </r>
  <r>
    <n v="725"/>
    <n v="28"/>
    <n v="459"/>
    <n v="1"/>
    <n v="459"/>
    <x v="288"/>
    <x v="0"/>
    <n v="63"/>
    <x v="18"/>
    <n v="255.11627906976744"/>
    <n v="0.79917958067456696"/>
    <x v="61"/>
    <n v="274.28571428571428"/>
    <d v="2022-05-03T00:00:00"/>
    <n v="693"/>
    <x v="3"/>
  </r>
  <r>
    <n v="726"/>
    <n v="195"/>
    <n v="497"/>
    <n v="5"/>
    <n v="2485"/>
    <x v="10"/>
    <x v="16"/>
    <n v="105"/>
    <x v="16"/>
    <n v="300.31818181818181"/>
    <n v="0.65491145754502811"/>
    <x v="51"/>
    <n v="331.16666666666669"/>
    <d v="2022-12-23T00:00:00"/>
    <n v="218"/>
    <x v="0"/>
  </r>
  <r>
    <n v="727"/>
    <n v="398"/>
    <n v="361"/>
    <n v="1"/>
    <n v="361"/>
    <x v="127"/>
    <x v="7"/>
    <n v="40"/>
    <x v="5"/>
    <n v="268.60344827586209"/>
    <n v="0.34398870274086901"/>
    <x v="5"/>
    <n v="281.96875"/>
    <d v="2022-10-21T00:00:00"/>
    <n v="481"/>
    <x v="2"/>
  </r>
  <r>
    <n v="728"/>
    <n v="77"/>
    <n v="160"/>
    <n v="2"/>
    <n v="320"/>
    <x v="236"/>
    <x v="11"/>
    <n v="260"/>
    <x v="3"/>
    <n v="265.47674418604652"/>
    <n v="-0.39731067408348297"/>
    <x v="16"/>
    <n v="276.67567567567568"/>
    <d v="2022-06-17T00:00:00"/>
    <n v="493"/>
    <x v="3"/>
  </r>
  <r>
    <n v="729"/>
    <n v="128"/>
    <n v="419"/>
    <n v="5"/>
    <n v="2095"/>
    <x v="224"/>
    <x v="4"/>
    <n v="220"/>
    <x v="10"/>
    <n v="271.74545454545455"/>
    <n v="0.54188411615147869"/>
    <x v="15"/>
    <n v="316.58333333333331"/>
    <d v="2022-01-09T00:00:00"/>
    <n v="373"/>
    <x v="3"/>
  </r>
  <r>
    <n v="730"/>
    <n v="328"/>
    <n v="429"/>
    <n v="4"/>
    <n v="1716"/>
    <x v="58"/>
    <x v="7"/>
    <n v="88"/>
    <x v="14"/>
    <n v="273.72549019607845"/>
    <n v="0.56726361031518602"/>
    <x v="58"/>
    <n v="241.83333333333334"/>
    <d v="2022-03-10T00:00:00"/>
    <n v="615"/>
    <x v="3"/>
  </r>
  <r>
    <n v="731"/>
    <n v="455"/>
    <n v="72"/>
    <n v="2"/>
    <n v="144"/>
    <x v="246"/>
    <x v="5"/>
    <n v="66"/>
    <x v="1"/>
    <n v="264.8679245283019"/>
    <n v="-0.72816640547086475"/>
    <x v="64"/>
    <n v="236.91666666666666"/>
    <d v="2022-08-04T00:00:00"/>
    <n v="325"/>
    <x v="2"/>
  </r>
  <r>
    <n v="732"/>
    <n v="371"/>
    <n v="97"/>
    <n v="3"/>
    <n v="291"/>
    <x v="390"/>
    <x v="1"/>
    <n v="15"/>
    <x v="0"/>
    <n v="252.76271186440678"/>
    <n v="-0.6162408636759874"/>
    <x v="45"/>
    <n v="293.41176470588238"/>
    <d v="2022-05-30T00:00:00"/>
    <n v="423"/>
    <x v="3"/>
  </r>
  <r>
    <n v="733"/>
    <n v="486"/>
    <n v="57"/>
    <n v="2"/>
    <n v="114"/>
    <x v="287"/>
    <x v="0"/>
    <n v="485"/>
    <x v="1"/>
    <n v="264.8679245283019"/>
    <n v="-0.78479840433110137"/>
    <x v="1"/>
    <n v="238.16666666666666"/>
    <d v="2022-06-11T00:00:00"/>
    <n v="475"/>
    <x v="2"/>
  </r>
  <r>
    <n v="734"/>
    <n v="359"/>
    <n v="126"/>
    <n v="4"/>
    <n v="504"/>
    <x v="391"/>
    <x v="7"/>
    <n v="394"/>
    <x v="10"/>
    <n v="271.74545454545455"/>
    <n v="-0.53633079084704938"/>
    <x v="15"/>
    <n v="316.58333333333331"/>
    <d v="2022-05-27T00:00:00"/>
    <n v="357"/>
    <x v="2"/>
  </r>
  <r>
    <n v="735"/>
    <n v="267"/>
    <n v="54"/>
    <n v="2"/>
    <n v="108"/>
    <x v="170"/>
    <x v="15"/>
    <n v="290"/>
    <x v="4"/>
    <n v="250.48780487804879"/>
    <n v="-0.78442064264849076"/>
    <x v="75"/>
    <n v="208"/>
    <d v="2022-08-04T00:00:00"/>
    <n v="474"/>
    <x v="2"/>
  </r>
  <r>
    <n v="736"/>
    <n v="52"/>
    <n v="150"/>
    <n v="4"/>
    <n v="600"/>
    <x v="392"/>
    <x v="3"/>
    <n v="279"/>
    <x v="1"/>
    <n v="264.8679245283019"/>
    <n v="-0.43368001139763501"/>
    <x v="1"/>
    <n v="238.16666666666666"/>
    <d v="2022-08-13T00:00:00"/>
    <n v="517"/>
    <x v="0"/>
  </r>
  <r>
    <n v="737"/>
    <n v="187"/>
    <n v="233"/>
    <n v="4"/>
    <n v="932"/>
    <x v="372"/>
    <x v="9"/>
    <n v="245"/>
    <x v="3"/>
    <n v="265.47674418604652"/>
    <n v="-0.12233366913407206"/>
    <x v="16"/>
    <n v="276.67567567567568"/>
    <d v="2022-05-14T00:00:00"/>
    <n v="391"/>
    <x v="0"/>
  </r>
  <r>
    <n v="738"/>
    <n v="118"/>
    <n v="156"/>
    <n v="5"/>
    <n v="780"/>
    <x v="392"/>
    <x v="13"/>
    <n v="261"/>
    <x v="0"/>
    <n v="252.76271186440678"/>
    <n v="-0.38282035807684567"/>
    <x v="0"/>
    <n v="240.5"/>
    <d v="2022-10-14T00:00:00"/>
    <n v="455"/>
    <x v="2"/>
  </r>
  <r>
    <n v="739"/>
    <n v="218"/>
    <n v="383"/>
    <n v="2"/>
    <n v="766"/>
    <x v="109"/>
    <x v="1"/>
    <n v="9"/>
    <x v="19"/>
    <n v="286.92307692307691"/>
    <n v="0.33485254691689015"/>
    <x v="42"/>
    <n v="312.66666666666669"/>
    <d v="2022-12-05T00:00:00"/>
    <n v="438"/>
    <x v="4"/>
  </r>
  <r>
    <n v="740"/>
    <n v="46"/>
    <n v="370"/>
    <n v="5"/>
    <n v="1850"/>
    <x v="393"/>
    <x v="17"/>
    <n v="103"/>
    <x v="9"/>
    <n v="263.25423728813558"/>
    <n v="0.40548544939479791"/>
    <x v="55"/>
    <n v="293.66666666666669"/>
    <d v="2022-08-14T00:00:00"/>
    <n v="247"/>
    <x v="0"/>
  </r>
  <r>
    <n v="741"/>
    <n v="263"/>
    <n v="173"/>
    <n v="3"/>
    <n v="519"/>
    <x v="394"/>
    <x v="14"/>
    <n v="142"/>
    <x v="9"/>
    <n v="263.25423728813558"/>
    <n v="-0.34284058717486476"/>
    <x v="55"/>
    <n v="293.66666666666669"/>
    <d v="2022-05-02T00:00:00"/>
    <n v="707"/>
    <x v="2"/>
  </r>
  <r>
    <n v="742"/>
    <n v="201"/>
    <n v="113"/>
    <n v="5"/>
    <n v="565"/>
    <x v="107"/>
    <x v="13"/>
    <n v="470"/>
    <x v="2"/>
    <n v="283.468085106383"/>
    <n v="-0.60136605869548898"/>
    <x v="36"/>
    <n v="249.5"/>
    <d v="2022-05-09T00:00:00"/>
    <n v="269"/>
    <x v="4"/>
  </r>
  <r>
    <n v="743"/>
    <n v="434"/>
    <n v="366"/>
    <n v="4"/>
    <n v="1464"/>
    <x v="229"/>
    <x v="5"/>
    <n v="490"/>
    <x v="11"/>
    <n v="262.63492063492066"/>
    <n v="0.39356944276562289"/>
    <x v="47"/>
    <n v="271"/>
    <d v="2022-02-11T00:00:00"/>
    <n v="504"/>
    <x v="2"/>
  </r>
  <r>
    <n v="744"/>
    <n v="99"/>
    <n v="92"/>
    <n v="4"/>
    <n v="368"/>
    <x v="339"/>
    <x v="6"/>
    <n v="255"/>
    <x v="4"/>
    <n v="250.48780487804879"/>
    <n v="-0.63271665043816938"/>
    <x v="75"/>
    <n v="208"/>
    <d v="2022-08-20T00:00:00"/>
    <n v="280"/>
    <x v="3"/>
  </r>
  <r>
    <n v="745"/>
    <n v="357"/>
    <n v="290"/>
    <n v="4"/>
    <n v="1160"/>
    <x v="93"/>
    <x v="5"/>
    <n v="422"/>
    <x v="10"/>
    <n v="271.74545454545455"/>
    <n v="6.7175163923457681E-2"/>
    <x v="37"/>
    <n v="272.35294117647061"/>
    <d v="2022-08-11T00:00:00"/>
    <n v="293"/>
    <x v="3"/>
  </r>
  <r>
    <n v="746"/>
    <n v="337"/>
    <n v="453"/>
    <n v="4"/>
    <n v="1812"/>
    <x v="373"/>
    <x v="18"/>
    <n v="115"/>
    <x v="3"/>
    <n v="265.47674418604652"/>
    <n v="0.70636415400113872"/>
    <x v="16"/>
    <n v="276.67567567567568"/>
    <d v="2022-09-28T00:00:00"/>
    <n v="583"/>
    <x v="1"/>
  </r>
  <r>
    <n v="747"/>
    <n v="230"/>
    <n v="104"/>
    <n v="4"/>
    <n v="416"/>
    <x v="324"/>
    <x v="4"/>
    <n v="163"/>
    <x v="5"/>
    <n v="268.60344827586209"/>
    <n v="-0.61281211887797682"/>
    <x v="5"/>
    <n v="281.96875"/>
    <d v="2022-01-10T00:00:00"/>
    <n v="394"/>
    <x v="0"/>
  </r>
  <r>
    <n v="748"/>
    <n v="293"/>
    <n v="57"/>
    <n v="5"/>
    <n v="285"/>
    <x v="78"/>
    <x v="18"/>
    <n v="248"/>
    <x v="17"/>
    <n v="267.85483870967744"/>
    <n v="-0.78719816944661891"/>
    <x v="35"/>
    <n v="250.25925925925927"/>
    <d v="2022-05-13T00:00:00"/>
    <n v="310"/>
    <x v="2"/>
  </r>
  <r>
    <n v="749"/>
    <n v="254"/>
    <n v="326"/>
    <n v="1"/>
    <n v="326"/>
    <x v="126"/>
    <x v="2"/>
    <n v="201"/>
    <x v="1"/>
    <n v="264.8679245283019"/>
    <n v="0.23080210856247318"/>
    <x v="1"/>
    <n v="238.16666666666666"/>
    <d v="2022-10-09T00:00:00"/>
    <n v="529"/>
    <x v="4"/>
  </r>
  <r>
    <n v="750"/>
    <n v="248"/>
    <n v="176"/>
    <n v="5"/>
    <n v="880"/>
    <x v="76"/>
    <x v="8"/>
    <n v="434"/>
    <x v="17"/>
    <n v="267.85483870967744"/>
    <n v="-0.34292768109833205"/>
    <x v="66"/>
    <n v="273.625"/>
    <d v="2022-06-18T00:00:00"/>
    <n v="216"/>
    <x v="3"/>
  </r>
  <r>
    <n v="751"/>
    <n v="156"/>
    <n v="490"/>
    <n v="1"/>
    <n v="490"/>
    <x v="395"/>
    <x v="9"/>
    <n v="140"/>
    <x v="12"/>
    <n v="274.16279069767444"/>
    <n v="0.78725930952582912"/>
    <x v="50"/>
    <n v="280.66666666666669"/>
    <d v="2022-03-07T00:00:00"/>
    <n v="610"/>
    <x v="2"/>
  </r>
  <r>
    <n v="752"/>
    <n v="370"/>
    <n v="95"/>
    <n v="5"/>
    <n v="475"/>
    <x v="143"/>
    <x v="5"/>
    <n v="250"/>
    <x v="5"/>
    <n v="268.60344827586209"/>
    <n v="-0.64631876243661335"/>
    <x v="5"/>
    <n v="281.96875"/>
    <d v="2022-10-22T00:00:00"/>
    <n v="346"/>
    <x v="2"/>
  </r>
  <r>
    <n v="753"/>
    <n v="61"/>
    <n v="183"/>
    <n v="5"/>
    <n v="915"/>
    <x v="396"/>
    <x v="9"/>
    <n v="191"/>
    <x v="9"/>
    <n v="263.25423728813558"/>
    <n v="-0.30485449394797837"/>
    <x v="33"/>
    <n v="248.5"/>
    <d v="2022-11-01T00:00:00"/>
    <n v="196"/>
    <x v="3"/>
  </r>
  <r>
    <n v="754"/>
    <n v="246"/>
    <n v="302"/>
    <n v="5"/>
    <n v="1510"/>
    <x v="313"/>
    <x v="5"/>
    <n v="336"/>
    <x v="11"/>
    <n v="262.63492063492066"/>
    <n v="0.14988516862081469"/>
    <x v="21"/>
    <n v="238.72222222222223"/>
    <d v="2022-10-22T00:00:00"/>
    <n v="551"/>
    <x v="0"/>
  </r>
  <r>
    <n v="755"/>
    <n v="322"/>
    <n v="417"/>
    <n v="2"/>
    <n v="834"/>
    <x v="8"/>
    <x v="16"/>
    <n v="3"/>
    <x v="18"/>
    <n v="255.11627906976744"/>
    <n v="0.6345487693710119"/>
    <x v="67"/>
    <n v="251.91666666666666"/>
    <d v="2022-04-15T00:00:00"/>
    <n v="710"/>
    <x v="3"/>
  </r>
  <r>
    <n v="756"/>
    <n v="51"/>
    <n v="439"/>
    <n v="5"/>
    <n v="2195"/>
    <x v="151"/>
    <x v="9"/>
    <n v="435"/>
    <x v="19"/>
    <n v="286.92307692307691"/>
    <n v="0.53002680965147464"/>
    <x v="42"/>
    <n v="312.66666666666669"/>
    <d v="2022-02-26T00:00:00"/>
    <n v="735"/>
    <x v="0"/>
  </r>
  <r>
    <n v="757"/>
    <n v="189"/>
    <n v="136"/>
    <n v="5"/>
    <n v="680"/>
    <x v="250"/>
    <x v="18"/>
    <n v="80"/>
    <x v="16"/>
    <n v="300.31818181818181"/>
    <n v="-0.54714696533979112"/>
    <x v="38"/>
    <n v="264"/>
    <d v="2022-03-03T00:00:00"/>
    <n v="609"/>
    <x v="1"/>
  </r>
  <r>
    <n v="758"/>
    <n v="67"/>
    <n v="274"/>
    <n v="4"/>
    <n v="1096"/>
    <x v="397"/>
    <x v="2"/>
    <n v="262"/>
    <x v="9"/>
    <n v="263.25423728813558"/>
    <n v="4.0818954416688147E-2"/>
    <x v="43"/>
    <n v="287.10000000000002"/>
    <d v="2022-08-05T00:00:00"/>
    <n v="520"/>
    <x v="4"/>
  </r>
  <r>
    <n v="759"/>
    <n v="301"/>
    <n v="189"/>
    <n v="3"/>
    <n v="567"/>
    <x v="389"/>
    <x v="15"/>
    <n v="43"/>
    <x v="12"/>
    <n v="274.16279069767444"/>
    <n v="-0.31062855204003736"/>
    <x v="18"/>
    <n v="253.6875"/>
    <d v="2022-12-17T00:00:00"/>
    <n v="232"/>
    <x v="2"/>
  </r>
  <r>
    <n v="760"/>
    <n v="463"/>
    <n v="77"/>
    <n v="4"/>
    <n v="308"/>
    <x v="374"/>
    <x v="13"/>
    <n v="163"/>
    <x v="7"/>
    <n v="249.02380952380952"/>
    <n v="-0.69079261879720821"/>
    <x v="39"/>
    <n v="222.2"/>
    <d v="2022-01-10T00:00:00"/>
    <n v="722"/>
    <x v="0"/>
  </r>
  <r>
    <n v="761"/>
    <n v="151"/>
    <n v="239"/>
    <n v="2"/>
    <n v="478"/>
    <x v="398"/>
    <x v="6"/>
    <n v="386"/>
    <x v="15"/>
    <n v="294.95238095238096"/>
    <n v="-0.18969970939618985"/>
    <x v="53"/>
    <n v="322.54545454545456"/>
    <d v="2022-06-22T00:00:00"/>
    <n v="322"/>
    <x v="0"/>
  </r>
  <r>
    <n v="762"/>
    <n v="398"/>
    <n v="464"/>
    <n v="5"/>
    <n v="2320"/>
    <x v="28"/>
    <x v="3"/>
    <n v="342"/>
    <x v="5"/>
    <n v="268.60344827586209"/>
    <n v="0.72745362346748821"/>
    <x v="5"/>
    <n v="281.96875"/>
    <d v="2022-01-09T00:00:00"/>
    <n v="470"/>
    <x v="4"/>
  </r>
  <r>
    <n v="763"/>
    <n v="483"/>
    <n v="140"/>
    <n v="5"/>
    <n v="700"/>
    <x v="20"/>
    <x v="3"/>
    <n v="7"/>
    <x v="19"/>
    <n v="286.92307692307691"/>
    <n v="-0.51206434316353877"/>
    <x v="42"/>
    <n v="312.66666666666669"/>
    <d v="2022-11-28T00:00:00"/>
    <n v="351"/>
    <x v="2"/>
  </r>
  <r>
    <n v="764"/>
    <n v="86"/>
    <n v="353"/>
    <n v="2"/>
    <n v="706"/>
    <x v="399"/>
    <x v="19"/>
    <n v="264"/>
    <x v="0"/>
    <n v="252.76271186440678"/>
    <n v="0.39656675383893236"/>
    <x v="45"/>
    <n v="293.41176470588238"/>
    <d v="2022-12-12T00:00:00"/>
    <n v="426"/>
    <x v="1"/>
  </r>
  <r>
    <n v="765"/>
    <n v="158"/>
    <n v="318"/>
    <n v="5"/>
    <n v="1590"/>
    <x v="347"/>
    <x v="7"/>
    <n v="99"/>
    <x v="0"/>
    <n v="252.76271186440678"/>
    <n v="0.25809696238181457"/>
    <x v="11"/>
    <n v="240.26666666666668"/>
    <d v="2022-11-21T00:00:00"/>
    <n v="72"/>
    <x v="2"/>
  </r>
  <r>
    <n v="766"/>
    <n v="199"/>
    <n v="80"/>
    <n v="5"/>
    <n v="400"/>
    <x v="306"/>
    <x v="9"/>
    <n v="404"/>
    <x v="3"/>
    <n v="265.47674418604652"/>
    <n v="-0.69865533704174143"/>
    <x v="3"/>
    <n v="236.27586206896552"/>
    <d v="2022-12-18T00:00:00"/>
    <n v="495"/>
    <x v="3"/>
  </r>
  <r>
    <n v="767"/>
    <n v="259"/>
    <n v="90"/>
    <n v="4"/>
    <n v="360"/>
    <x v="18"/>
    <x v="4"/>
    <n v="79"/>
    <x v="9"/>
    <n v="263.25423728813558"/>
    <n v="-0.65812516095802209"/>
    <x v="9"/>
    <n v="257.78260869565219"/>
    <d v="2022-06-04T00:00:00"/>
    <n v="342"/>
    <x v="4"/>
  </r>
  <r>
    <n v="768"/>
    <n v="468"/>
    <n v="167"/>
    <n v="4"/>
    <n v="668"/>
    <x v="237"/>
    <x v="19"/>
    <n v="377"/>
    <x v="9"/>
    <n v="263.25423728813558"/>
    <n v="-0.36563224311099662"/>
    <x v="43"/>
    <n v="287.10000000000002"/>
    <d v="2022-08-21T00:00:00"/>
    <n v="417"/>
    <x v="0"/>
  </r>
  <r>
    <n v="769"/>
    <n v="4"/>
    <n v="478"/>
    <n v="4"/>
    <n v="1912"/>
    <x v="303"/>
    <x v="13"/>
    <n v="146"/>
    <x v="13"/>
    <n v="258.375"/>
    <n v="0.85002418964683124"/>
    <x v="20"/>
    <n v="269.70588235294116"/>
    <d v="2022-02-25T00:00:00"/>
    <n v="539"/>
    <x v="1"/>
  </r>
  <r>
    <n v="770"/>
    <n v="155"/>
    <n v="310"/>
    <n v="4"/>
    <n v="1240"/>
    <x v="71"/>
    <x v="11"/>
    <n v="346"/>
    <x v="9"/>
    <n v="263.25423728813558"/>
    <n v="0.17756889003347931"/>
    <x v="33"/>
    <n v="248.5"/>
    <d v="2022-03-16T00:00:00"/>
    <n v="294"/>
    <x v="2"/>
  </r>
  <r>
    <n v="771"/>
    <n v="413"/>
    <n v="210"/>
    <n v="5"/>
    <n v="1050"/>
    <x v="387"/>
    <x v="11"/>
    <n v="436"/>
    <x v="7"/>
    <n v="249.02380952380952"/>
    <n v="-0.15670714217420401"/>
    <x v="7"/>
    <n v="276.21052631578948"/>
    <d v="2022-05-02T00:00:00"/>
    <n v="739"/>
    <x v="2"/>
  </r>
  <r>
    <n v="772"/>
    <n v="200"/>
    <n v="67"/>
    <n v="1"/>
    <n v="67"/>
    <x v="400"/>
    <x v="6"/>
    <n v="103"/>
    <x v="14"/>
    <n v="273.72549019607845"/>
    <n v="-0.75522922636103151"/>
    <x v="63"/>
    <n v="266.27272727272725"/>
    <d v="2022-08-14T00:00:00"/>
    <n v="376"/>
    <x v="0"/>
  </r>
  <r>
    <n v="773"/>
    <n v="295"/>
    <n v="294"/>
    <n v="5"/>
    <n v="1470"/>
    <x v="191"/>
    <x v="18"/>
    <n v="493"/>
    <x v="2"/>
    <n v="283.468085106383"/>
    <n v="3.715379419049758E-2"/>
    <x v="36"/>
    <n v="249.5"/>
    <d v="2022-10-21T00:00:00"/>
    <n v="292"/>
    <x v="3"/>
  </r>
  <r>
    <n v="774"/>
    <n v="39"/>
    <n v="404"/>
    <n v="2"/>
    <n v="808"/>
    <x v="149"/>
    <x v="7"/>
    <n v="252"/>
    <x v="11"/>
    <n v="262.63492063492066"/>
    <n v="0.53825698053910287"/>
    <x v="47"/>
    <n v="271"/>
    <d v="2022-03-23T00:00:00"/>
    <n v="532"/>
    <x v="2"/>
  </r>
  <r>
    <n v="775"/>
    <n v="228"/>
    <n v="98"/>
    <n v="2"/>
    <n v="196"/>
    <x v="314"/>
    <x v="4"/>
    <n v="338"/>
    <x v="13"/>
    <n v="258.375"/>
    <n v="-0.62070633768746974"/>
    <x v="34"/>
    <n v="181.57142857142858"/>
    <d v="2022-01-16T00:00:00"/>
    <n v="767"/>
    <x v="4"/>
  </r>
  <r>
    <n v="776"/>
    <n v="37"/>
    <n v="139"/>
    <n v="3"/>
    <n v="417"/>
    <x v="366"/>
    <x v="9"/>
    <n v="397"/>
    <x v="1"/>
    <n v="264.8679245283019"/>
    <n v="-0.47521014389514182"/>
    <x v="1"/>
    <n v="238.16666666666666"/>
    <d v="2022-06-16T00:00:00"/>
    <n v="286"/>
    <x v="1"/>
  </r>
  <r>
    <n v="777"/>
    <n v="62"/>
    <n v="241"/>
    <n v="2"/>
    <n v="482"/>
    <x v="277"/>
    <x v="0"/>
    <n v="247"/>
    <x v="6"/>
    <n v="258.5128205128205"/>
    <n v="-6.7744495139853145E-2"/>
    <x v="60"/>
    <n v="289.88888888888891"/>
    <d v="2022-07-20T00:00:00"/>
    <n v="469"/>
    <x v="0"/>
  </r>
  <r>
    <n v="778"/>
    <n v="468"/>
    <n v="182"/>
    <n v="5"/>
    <n v="910"/>
    <x v="186"/>
    <x v="16"/>
    <n v="445"/>
    <x v="9"/>
    <n v="263.25423728813558"/>
    <n v="-0.30865310327066697"/>
    <x v="43"/>
    <n v="287.10000000000002"/>
    <d v="2022-04-25T00:00:00"/>
    <n v="329"/>
    <x v="2"/>
  </r>
  <r>
    <n v="779"/>
    <n v="497"/>
    <n v="275"/>
    <n v="4"/>
    <n v="1100"/>
    <x v="401"/>
    <x v="3"/>
    <n v="477"/>
    <x v="17"/>
    <n v="267.85483870967744"/>
    <n v="2.667549828385618E-2"/>
    <x v="35"/>
    <n v="250.25925925925927"/>
    <d v="2022-06-26T00:00:00"/>
    <n v="498"/>
    <x v="0"/>
  </r>
  <r>
    <n v="780"/>
    <n v="372"/>
    <n v="182"/>
    <n v="2"/>
    <n v="364"/>
    <x v="140"/>
    <x v="14"/>
    <n v="402"/>
    <x v="7"/>
    <n v="249.02380952380952"/>
    <n v="-0.26914618988431016"/>
    <x v="39"/>
    <n v="222.2"/>
    <d v="2022-06-30T00:00:00"/>
    <n v="249"/>
    <x v="0"/>
  </r>
  <r>
    <n v="781"/>
    <n v="354"/>
    <n v="203"/>
    <n v="5"/>
    <n v="1015"/>
    <x v="43"/>
    <x v="17"/>
    <n v="265"/>
    <x v="8"/>
    <n v="271.18181818181819"/>
    <n v="-0.25142474019443517"/>
    <x v="14"/>
    <n v="260.15789473684208"/>
    <d v="2022-07-14T00:00:00"/>
    <n v="478"/>
    <x v="0"/>
  </r>
  <r>
    <n v="782"/>
    <n v="460"/>
    <n v="103"/>
    <n v="5"/>
    <n v="515"/>
    <x v="158"/>
    <x v="12"/>
    <n v="124"/>
    <x v="7"/>
    <n v="249.02380952380952"/>
    <n v="-0.58638493163782379"/>
    <x v="77"/>
    <n v="140"/>
    <d v="2022-08-22T00:00:00"/>
    <n v="616"/>
    <x v="2"/>
  </r>
  <r>
    <n v="783"/>
    <n v="63"/>
    <n v="344"/>
    <n v="2"/>
    <n v="688"/>
    <x v="40"/>
    <x v="13"/>
    <n v="208"/>
    <x v="6"/>
    <n v="258.5128205128205"/>
    <n v="0.33068835548502284"/>
    <x v="60"/>
    <n v="289.88888888888891"/>
    <d v="2022-06-24T00:00:00"/>
    <n v="458"/>
    <x v="3"/>
  </r>
  <r>
    <n v="784"/>
    <n v="467"/>
    <n v="436"/>
    <n v="3"/>
    <n v="1308"/>
    <x v="148"/>
    <x v="5"/>
    <n v="343"/>
    <x v="3"/>
    <n v="265.47674418604652"/>
    <n v="0.64232841312250888"/>
    <x v="3"/>
    <n v="236.27586206896552"/>
    <d v="2022-11-09T00:00:00"/>
    <n v="415"/>
    <x v="3"/>
  </r>
  <r>
    <n v="785"/>
    <n v="184"/>
    <n v="79"/>
    <n v="4"/>
    <n v="316"/>
    <x v="313"/>
    <x v="1"/>
    <n v="394"/>
    <x v="17"/>
    <n v="267.85483870967744"/>
    <n v="-0.7050641295839104"/>
    <x v="70"/>
    <n v="268"/>
    <d v="2022-05-27T00:00:00"/>
    <n v="699"/>
    <x v="2"/>
  </r>
  <r>
    <n v="786"/>
    <n v="265"/>
    <n v="339"/>
    <n v="3"/>
    <n v="1017"/>
    <x v="378"/>
    <x v="1"/>
    <n v="242"/>
    <x v="10"/>
    <n v="271.74545454545455"/>
    <n v="0.24749096748293864"/>
    <x v="15"/>
    <n v="316.58333333333331"/>
    <d v="2022-07-05T00:00:00"/>
    <n v="197"/>
    <x v="2"/>
  </r>
  <r>
    <n v="787"/>
    <n v="130"/>
    <n v="319"/>
    <n v="3"/>
    <n v="957"/>
    <x v="279"/>
    <x v="19"/>
    <n v="56"/>
    <x v="1"/>
    <n v="264.8679245283019"/>
    <n v="0.20437384242769618"/>
    <x v="1"/>
    <n v="238.16666666666666"/>
    <d v="2022-04-11T00:00:00"/>
    <n v="483"/>
    <x v="4"/>
  </r>
  <r>
    <n v="788"/>
    <n v="443"/>
    <n v="348"/>
    <n v="3"/>
    <n v="1044"/>
    <x v="71"/>
    <x v="16"/>
    <n v="324"/>
    <x v="7"/>
    <n v="249.02380952380952"/>
    <n v="0.3974567358256047"/>
    <x v="7"/>
    <n v="276.21052631578948"/>
    <d v="2022-07-19T00:00:00"/>
    <n v="169"/>
    <x v="0"/>
  </r>
  <r>
    <n v="789"/>
    <n v="408"/>
    <n v="60"/>
    <n v="4"/>
    <n v="240"/>
    <x v="227"/>
    <x v="7"/>
    <n v="486"/>
    <x v="9"/>
    <n v="263.25423728813558"/>
    <n v="-0.7720834406386814"/>
    <x v="33"/>
    <n v="248.5"/>
    <d v="2022-06-11T00:00:00"/>
    <n v="576"/>
    <x v="2"/>
  </r>
  <r>
    <n v="790"/>
    <n v="249"/>
    <n v="125"/>
    <n v="5"/>
    <n v="625"/>
    <x v="197"/>
    <x v="3"/>
    <n v="71"/>
    <x v="8"/>
    <n v="271.18181818181819"/>
    <n v="-0.539054642976869"/>
    <x v="14"/>
    <n v="260.15789473684208"/>
    <d v="2022-07-20T00:00:00"/>
    <n v="560"/>
    <x v="3"/>
  </r>
  <r>
    <n v="791"/>
    <n v="241"/>
    <n v="490"/>
    <n v="1"/>
    <n v="490"/>
    <x v="305"/>
    <x v="7"/>
    <n v="299"/>
    <x v="19"/>
    <n v="286.92307692307691"/>
    <n v="0.70777479892761397"/>
    <x v="40"/>
    <n v="273.58333333333331"/>
    <d v="2022-04-15T00:00:00"/>
    <n v="605"/>
    <x v="3"/>
  </r>
  <r>
    <n v="792"/>
    <n v="202"/>
    <n v="298"/>
    <n v="4"/>
    <n v="1192"/>
    <x v="364"/>
    <x v="16"/>
    <n v="265"/>
    <x v="4"/>
    <n v="250.48780487804879"/>
    <n v="0.18967867575462516"/>
    <x v="25"/>
    <n v="303.8235294117647"/>
    <d v="2022-07-14T00:00:00"/>
    <n v="223"/>
    <x v="0"/>
  </r>
  <r>
    <n v="793"/>
    <n v="376"/>
    <n v="441"/>
    <n v="2"/>
    <n v="882"/>
    <x v="323"/>
    <x v="17"/>
    <n v="272"/>
    <x v="17"/>
    <n v="267.85483870967744"/>
    <n v="0.64641416270247465"/>
    <x v="66"/>
    <n v="273.625"/>
    <d v="2022-04-17T00:00:00"/>
    <n v="696"/>
    <x v="4"/>
  </r>
  <r>
    <n v="794"/>
    <n v="371"/>
    <n v="126"/>
    <n v="5"/>
    <n v="630"/>
    <x v="402"/>
    <x v="5"/>
    <n v="371"/>
    <x v="0"/>
    <n v="252.76271186440678"/>
    <n v="-0.5015087507543754"/>
    <x v="45"/>
    <n v="293.41176470588238"/>
    <d v="2022-10-10T00:00:00"/>
    <n v="386"/>
    <x v="3"/>
  </r>
  <r>
    <n v="795"/>
    <n v="308"/>
    <n v="416"/>
    <n v="4"/>
    <n v="1664"/>
    <x v="256"/>
    <x v="6"/>
    <n v="360"/>
    <x v="17"/>
    <n v="267.85483870967744"/>
    <n v="0.55308002649485144"/>
    <x v="35"/>
    <n v="250.25925925925927"/>
    <d v="2022-06-16T00:00:00"/>
    <n v="489"/>
    <x v="1"/>
  </r>
  <r>
    <n v="796"/>
    <n v="146"/>
    <n v="387"/>
    <n v="4"/>
    <n v="1548"/>
    <x v="22"/>
    <x v="2"/>
    <n v="368"/>
    <x v="5"/>
    <n v="268.60344827586209"/>
    <n v="0.44078567302137484"/>
    <x v="28"/>
    <n v="242.81818181818181"/>
    <d v="2022-11-07T00:00:00"/>
    <n v="155"/>
    <x v="0"/>
  </r>
  <r>
    <n v="797"/>
    <n v="77"/>
    <n v="151"/>
    <n v="2"/>
    <n v="302"/>
    <x v="228"/>
    <x v="19"/>
    <n v="481"/>
    <x v="3"/>
    <n v="265.47674418604652"/>
    <n v="-0.43121194866628709"/>
    <x v="16"/>
    <n v="276.67567567567568"/>
    <d v="2022-07-14T00:00:00"/>
    <n v="311"/>
    <x v="1"/>
  </r>
  <r>
    <n v="798"/>
    <n v="407"/>
    <n v="157"/>
    <n v="3"/>
    <n v="471"/>
    <x v="403"/>
    <x v="1"/>
    <n v="354"/>
    <x v="17"/>
    <n v="267.85483870967744"/>
    <n v="-0.41386162461612575"/>
    <x v="70"/>
    <n v="268"/>
    <d v="2022-09-07T00:00:00"/>
    <n v="464"/>
    <x v="0"/>
  </r>
  <r>
    <n v="799"/>
    <n v="357"/>
    <n v="55"/>
    <n v="5"/>
    <n v="275"/>
    <x v="74"/>
    <x v="16"/>
    <n v="8"/>
    <x v="10"/>
    <n v="271.74545454545455"/>
    <n v="-0.79760471029037872"/>
    <x v="37"/>
    <n v="272.35294117647061"/>
    <d v="2022-11-18T00:00:00"/>
    <n v="419"/>
    <x v="1"/>
  </r>
  <r>
    <n v="800"/>
    <n v="409"/>
    <n v="235"/>
    <n v="5"/>
    <n v="1175"/>
    <x v="111"/>
    <x v="8"/>
    <n v="1"/>
    <x v="12"/>
    <n v="274.16279069767444"/>
    <n v="-0.14284502502332685"/>
    <x v="65"/>
    <n v="258.30769230769232"/>
    <d v="2022-01-24T00:00:00"/>
    <n v="375"/>
    <x v="2"/>
  </r>
  <r>
    <n v="801"/>
    <n v="148"/>
    <n v="474"/>
    <n v="4"/>
    <n v="1896"/>
    <x v="289"/>
    <x v="11"/>
    <n v="333"/>
    <x v="5"/>
    <n v="268.60344827586209"/>
    <n v="0.76468322742152872"/>
    <x v="5"/>
    <n v="281.96875"/>
    <d v="2022-10-23T00:00:00"/>
    <n v="217"/>
    <x v="2"/>
  </r>
  <r>
    <n v="802"/>
    <n v="63"/>
    <n v="479"/>
    <n v="4"/>
    <n v="1916"/>
    <x v="90"/>
    <x v="3"/>
    <n v="396"/>
    <x v="6"/>
    <n v="258.5128205128205"/>
    <n v="0.85290616941083131"/>
    <x v="60"/>
    <n v="289.88888888888891"/>
    <d v="2022-11-06T00:00:00"/>
    <n v="364"/>
    <x v="3"/>
  </r>
  <r>
    <n v="803"/>
    <n v="410"/>
    <n v="320"/>
    <n v="4"/>
    <n v="1280"/>
    <x v="210"/>
    <x v="8"/>
    <n v="401"/>
    <x v="14"/>
    <n v="273.72549019607845"/>
    <n v="0.16905444126074487"/>
    <x v="44"/>
    <n v="320.57142857142856"/>
    <d v="2022-10-22T00:00:00"/>
    <n v="189"/>
    <x v="2"/>
  </r>
  <r>
    <n v="804"/>
    <n v="223"/>
    <n v="477"/>
    <n v="4"/>
    <n v="1908"/>
    <x v="239"/>
    <x v="7"/>
    <n v="121"/>
    <x v="8"/>
    <n v="271.18181818181819"/>
    <n v="0.75896748240026812"/>
    <x v="8"/>
    <n v="291.45454545454544"/>
    <d v="2022-07-21T00:00:00"/>
    <n v="301"/>
    <x v="2"/>
  </r>
  <r>
    <n v="805"/>
    <n v="35"/>
    <n v="277"/>
    <n v="4"/>
    <n v="1108"/>
    <x v="387"/>
    <x v="2"/>
    <n v="108"/>
    <x v="18"/>
    <n v="255.11627906976744"/>
    <n v="8.5779398359161263E-2"/>
    <x v="34"/>
    <n v="250.30769230769232"/>
    <d v="2022-10-01T00:00:00"/>
    <n v="587"/>
    <x v="0"/>
  </r>
  <r>
    <n v="806"/>
    <n v="398"/>
    <n v="127"/>
    <n v="5"/>
    <n v="635"/>
    <x v="156"/>
    <x v="7"/>
    <n v="191"/>
    <x v="5"/>
    <n v="268.60344827586209"/>
    <n v="-0.52718402978368317"/>
    <x v="5"/>
    <n v="281.96875"/>
    <d v="2022-11-01T00:00:00"/>
    <n v="387"/>
    <x v="3"/>
  </r>
  <r>
    <n v="807"/>
    <n v="132"/>
    <n v="154"/>
    <n v="3"/>
    <n v="462"/>
    <x v="404"/>
    <x v="11"/>
    <n v="443"/>
    <x v="6"/>
    <n v="258.5128205128205"/>
    <n v="-0.40428486411426301"/>
    <x v="6"/>
    <n v="260.64705882352939"/>
    <d v="2022-03-29T00:00:00"/>
    <n v="645"/>
    <x v="2"/>
  </r>
  <r>
    <n v="808"/>
    <n v="415"/>
    <n v="84"/>
    <n v="5"/>
    <n v="420"/>
    <x v="303"/>
    <x v="18"/>
    <n v="191"/>
    <x v="14"/>
    <n v="273.72549019607845"/>
    <n v="-0.69312320916905446"/>
    <x v="22"/>
    <n v="280.23809523809524"/>
    <d v="2022-11-01T00:00:00"/>
    <n v="290"/>
    <x v="3"/>
  </r>
  <r>
    <n v="809"/>
    <n v="384"/>
    <n v="423"/>
    <n v="5"/>
    <n v="2115"/>
    <x v="253"/>
    <x v="17"/>
    <n v="249"/>
    <x v="0"/>
    <n v="252.76271186440678"/>
    <n v="0.6735063367531684"/>
    <x v="11"/>
    <n v="240.26666666666668"/>
    <d v="2022-08-08T00:00:00"/>
    <n v="565"/>
    <x v="2"/>
  </r>
  <r>
    <n v="810"/>
    <n v="311"/>
    <n v="470"/>
    <n v="2"/>
    <n v="940"/>
    <x v="310"/>
    <x v="11"/>
    <n v="418"/>
    <x v="3"/>
    <n v="265.47674418604652"/>
    <n v="0.77039989487976879"/>
    <x v="16"/>
    <n v="276.67567567567568"/>
    <d v="2022-05-19T00:00:00"/>
    <n v="604"/>
    <x v="1"/>
  </r>
  <r>
    <n v="811"/>
    <n v="328"/>
    <n v="59"/>
    <n v="1"/>
    <n v="59"/>
    <x v="140"/>
    <x v="14"/>
    <n v="126"/>
    <x v="14"/>
    <n v="273.72549019607845"/>
    <n v="-0.78445558739255017"/>
    <x v="58"/>
    <n v="241.83333333333334"/>
    <d v="2022-09-18T00:00:00"/>
    <n v="169"/>
    <x v="0"/>
  </r>
  <r>
    <n v="812"/>
    <n v="74"/>
    <n v="332"/>
    <n v="3"/>
    <n v="996"/>
    <x v="67"/>
    <x v="16"/>
    <n v="497"/>
    <x v="19"/>
    <n v="286.92307692307691"/>
    <n v="0.15710455764075082"/>
    <x v="73"/>
    <n v="320.25"/>
    <d v="2022-09-22T00:00:00"/>
    <n v="174"/>
    <x v="0"/>
  </r>
  <r>
    <n v="813"/>
    <n v="152"/>
    <n v="94"/>
    <n v="5"/>
    <n v="470"/>
    <x v="92"/>
    <x v="16"/>
    <n v="332"/>
    <x v="2"/>
    <n v="283.468085106383"/>
    <n v="-0.66839300457854844"/>
    <x v="36"/>
    <n v="249.5"/>
    <d v="2022-10-24T00:00:00"/>
    <n v="84"/>
    <x v="0"/>
  </r>
  <r>
    <n v="814"/>
    <n v="319"/>
    <n v="148"/>
    <n v="1"/>
    <n v="148"/>
    <x v="376"/>
    <x v="6"/>
    <n v="445"/>
    <x v="9"/>
    <n v="263.25423728813558"/>
    <n v="-0.43780582024208081"/>
    <x v="33"/>
    <n v="248.5"/>
    <d v="2022-04-25T00:00:00"/>
    <n v="467"/>
    <x v="2"/>
  </r>
  <r>
    <n v="815"/>
    <n v="19"/>
    <n v="378"/>
    <n v="2"/>
    <n v="756"/>
    <x v="362"/>
    <x v="15"/>
    <n v="167"/>
    <x v="10"/>
    <n v="271.74545454545455"/>
    <n v="0.39100762745885187"/>
    <x v="37"/>
    <n v="272.35294117647061"/>
    <d v="2022-01-02T00:00:00"/>
    <n v="795"/>
    <x v="0"/>
  </r>
  <r>
    <n v="816"/>
    <n v="242"/>
    <n v="265"/>
    <n v="4"/>
    <n v="1060"/>
    <x v="286"/>
    <x v="19"/>
    <n v="415"/>
    <x v="4"/>
    <n v="250.48780487804879"/>
    <n v="5.7935735150924872E-2"/>
    <x v="25"/>
    <n v="303.8235294117647"/>
    <d v="2022-04-10T00:00:00"/>
    <n v="270"/>
    <x v="3"/>
  </r>
  <r>
    <n v="817"/>
    <n v="354"/>
    <n v="431"/>
    <n v="1"/>
    <n v="431"/>
    <x v="405"/>
    <x v="12"/>
    <n v="229"/>
    <x v="8"/>
    <n v="271.18181818181819"/>
    <n v="0.58933959101575595"/>
    <x v="14"/>
    <n v="260.15789473684208"/>
    <d v="2022-07-24T00:00:00"/>
    <n v="653"/>
    <x v="1"/>
  </r>
  <r>
    <n v="818"/>
    <n v="354"/>
    <n v="382"/>
    <n v="4"/>
    <n v="1528"/>
    <x v="80"/>
    <x v="8"/>
    <n v="119"/>
    <x v="8"/>
    <n v="271.18181818181819"/>
    <n v="0.40864901106268858"/>
    <x v="14"/>
    <n v="260.15789473684208"/>
    <d v="2022-05-09T00:00:00"/>
    <n v="249"/>
    <x v="2"/>
  </r>
  <r>
    <n v="819"/>
    <n v="245"/>
    <n v="281"/>
    <n v="1"/>
    <n v="281"/>
    <x v="255"/>
    <x v="3"/>
    <n v="341"/>
    <x v="0"/>
    <n v="252.76271186440678"/>
    <n v="0.11171461141286132"/>
    <x v="0"/>
    <n v="240.5"/>
    <d v="2022-06-12T00:00:00"/>
    <n v="312"/>
    <x v="2"/>
  </r>
  <r>
    <n v="820"/>
    <n v="386"/>
    <n v="149"/>
    <n v="5"/>
    <n v="745"/>
    <x v="130"/>
    <x v="0"/>
    <n v="407"/>
    <x v="18"/>
    <n v="255.11627906976744"/>
    <n v="-0.41595259799453055"/>
    <x v="67"/>
    <n v="251.91666666666666"/>
    <d v="2022-03-01T00:00:00"/>
    <n v="482"/>
    <x v="1"/>
  </r>
  <r>
    <n v="821"/>
    <n v="434"/>
    <n v="257"/>
    <n v="2"/>
    <n v="514"/>
    <x v="406"/>
    <x v="2"/>
    <n v="264"/>
    <x v="11"/>
    <n v="262.63492063492066"/>
    <n v="-2.1455336637253852E-2"/>
    <x v="47"/>
    <n v="271"/>
    <d v="2022-12-12T00:00:00"/>
    <n v="221"/>
    <x v="1"/>
  </r>
  <r>
    <n v="822"/>
    <n v="402"/>
    <n v="218"/>
    <n v="1"/>
    <n v="218"/>
    <x v="197"/>
    <x v="6"/>
    <n v="91"/>
    <x v="16"/>
    <n v="300.31818181818181"/>
    <n v="-0.27410322385348873"/>
    <x v="51"/>
    <n v="331.16666666666669"/>
    <d v="2022-05-06T00:00:00"/>
    <n v="635"/>
    <x v="2"/>
  </r>
  <r>
    <n v="823"/>
    <n v="326"/>
    <n v="198"/>
    <n v="2"/>
    <n v="396"/>
    <x v="193"/>
    <x v="2"/>
    <n v="362"/>
    <x v="18"/>
    <n v="255.11627906976744"/>
    <n v="-0.22388331814038287"/>
    <x v="67"/>
    <n v="251.91666666666666"/>
    <d v="2022-12-21T00:00:00"/>
    <n v="480"/>
    <x v="2"/>
  </r>
  <r>
    <n v="824"/>
    <n v="491"/>
    <n v="111"/>
    <n v="4"/>
    <n v="444"/>
    <x v="279"/>
    <x v="1"/>
    <n v="473"/>
    <x v="4"/>
    <n v="250.48780487804879"/>
    <n v="-0.5568646543330088"/>
    <x v="4"/>
    <n v="159.19999999999999"/>
    <d v="2022-08-26T00:00:00"/>
    <n v="346"/>
    <x v="2"/>
  </r>
  <r>
    <n v="825"/>
    <n v="240"/>
    <n v="306"/>
    <n v="5"/>
    <n v="1530"/>
    <x v="407"/>
    <x v="19"/>
    <n v="482"/>
    <x v="3"/>
    <n v="265.47674418604652"/>
    <n v="0.15264333581533873"/>
    <x v="3"/>
    <n v="236.27586206896552"/>
    <d v="2022-04-28T00:00:00"/>
    <n v="640"/>
    <x v="3"/>
  </r>
  <r>
    <n v="826"/>
    <n v="352"/>
    <n v="391"/>
    <n v="1"/>
    <n v="391"/>
    <x v="26"/>
    <x v="12"/>
    <n v="367"/>
    <x v="9"/>
    <n v="263.25423728813558"/>
    <n v="0.48525624517125943"/>
    <x v="33"/>
    <n v="248.5"/>
    <d v="2022-11-02T00:00:00"/>
    <n v="232"/>
    <x v="4"/>
  </r>
  <r>
    <n v="827"/>
    <n v="305"/>
    <n v="252"/>
    <n v="1"/>
    <n v="252"/>
    <x v="152"/>
    <x v="10"/>
    <n v="172"/>
    <x v="2"/>
    <n v="283.468085106383"/>
    <n v="-0.11101103355100206"/>
    <x v="46"/>
    <n v="321.63636363636363"/>
    <d v="2022-06-25T00:00:00"/>
    <n v="676"/>
    <x v="2"/>
  </r>
  <r>
    <n v="828"/>
    <n v="269"/>
    <n v="398"/>
    <n v="4"/>
    <n v="1592"/>
    <x v="137"/>
    <x v="15"/>
    <n v="466"/>
    <x v="0"/>
    <n v="252.76271186440678"/>
    <n v="0.57459934285522696"/>
    <x v="45"/>
    <n v="293.41176470588238"/>
    <d v="2022-07-30T00:00:00"/>
    <n v="279"/>
    <x v="1"/>
  </r>
  <r>
    <n v="829"/>
    <n v="380"/>
    <n v="100"/>
    <n v="2"/>
    <n v="200"/>
    <x v="96"/>
    <x v="9"/>
    <n v="57"/>
    <x v="17"/>
    <n v="267.85483870967744"/>
    <n v="-0.62666345516950683"/>
    <x v="35"/>
    <n v="250.25925925925927"/>
    <d v="2022-04-18T00:00:00"/>
    <n v="413"/>
    <x v="2"/>
  </r>
  <r>
    <n v="830"/>
    <n v="44"/>
    <n v="310"/>
    <n v="3"/>
    <n v="930"/>
    <x v="35"/>
    <x v="7"/>
    <n v="48"/>
    <x v="15"/>
    <n v="294.95238095238096"/>
    <n v="5.1017113335485975E-2"/>
    <x v="53"/>
    <n v="322.54545454545456"/>
    <d v="2022-10-22T00:00:00"/>
    <n v="115"/>
    <x v="0"/>
  </r>
  <r>
    <n v="831"/>
    <n v="183"/>
    <n v="286"/>
    <n v="2"/>
    <n v="572"/>
    <x v="172"/>
    <x v="14"/>
    <n v="11"/>
    <x v="17"/>
    <n v="267.85483870967744"/>
    <n v="6.774251821521049E-2"/>
    <x v="35"/>
    <n v="250.25925925925927"/>
    <d v="2022-05-09T00:00:00"/>
    <n v="293"/>
    <x v="4"/>
  </r>
  <r>
    <n v="832"/>
    <n v="65"/>
    <n v="201"/>
    <n v="2"/>
    <n v="402"/>
    <x v="384"/>
    <x v="1"/>
    <n v="125"/>
    <x v="16"/>
    <n v="300.31818181818181"/>
    <n v="-0.33070985318601487"/>
    <x v="24"/>
    <n v="281.73333333333335"/>
    <d v="2022-05-20T00:00:00"/>
    <n v="595"/>
    <x v="2"/>
  </r>
  <r>
    <n v="833"/>
    <n v="425"/>
    <n v="258"/>
    <n v="4"/>
    <n v="1032"/>
    <x v="406"/>
    <x v="15"/>
    <n v="72"/>
    <x v="1"/>
    <n v="264.8679245283019"/>
    <n v="-2.5929619603932252E-2"/>
    <x v="13"/>
    <n v="320.84615384615387"/>
    <d v="2022-12-11T00:00:00"/>
    <n v="222"/>
    <x v="4"/>
  </r>
  <r>
    <n v="834"/>
    <n v="230"/>
    <n v="179"/>
    <n v="4"/>
    <n v="716"/>
    <x v="408"/>
    <x v="19"/>
    <n v="68"/>
    <x v="5"/>
    <n v="268.60344827586209"/>
    <n v="-0.33359008922267164"/>
    <x v="5"/>
    <n v="281.96875"/>
    <d v="2022-11-17T00:00:00"/>
    <n v="513"/>
    <x v="0"/>
  </r>
  <r>
    <n v="835"/>
    <n v="497"/>
    <n v="113"/>
    <n v="2"/>
    <n v="226"/>
    <x v="244"/>
    <x v="17"/>
    <n v="219"/>
    <x v="17"/>
    <n v="267.85483870967744"/>
    <n v="-0.57812970434154276"/>
    <x v="35"/>
    <n v="250.25925925925927"/>
    <d v="2022-01-24T00:00:00"/>
    <n v="658"/>
    <x v="4"/>
  </r>
  <r>
    <n v="836"/>
    <n v="82"/>
    <n v="73"/>
    <n v="1"/>
    <n v="73"/>
    <x v="409"/>
    <x v="8"/>
    <n v="218"/>
    <x v="11"/>
    <n v="262.63492063492066"/>
    <n v="-0.72204762480357787"/>
    <x v="62"/>
    <n v="168"/>
    <d v="2022-06-09T00:00:00"/>
    <n v="438"/>
    <x v="0"/>
  </r>
  <r>
    <n v="837"/>
    <n v="104"/>
    <n v="420"/>
    <n v="2"/>
    <n v="840"/>
    <x v="189"/>
    <x v="2"/>
    <n v="26"/>
    <x v="9"/>
    <n v="263.25423728813558"/>
    <n v="0.59541591552923001"/>
    <x v="9"/>
    <n v="257.78260869565219"/>
    <d v="2022-09-15T00:00:00"/>
    <n v="608"/>
    <x v="4"/>
  </r>
  <r>
    <n v="838"/>
    <n v="364"/>
    <n v="496"/>
    <n v="1"/>
    <n v="496"/>
    <x v="410"/>
    <x v="2"/>
    <n v="417"/>
    <x v="0"/>
    <n v="252.76271186440678"/>
    <n v="0.96231475893515728"/>
    <x v="45"/>
    <n v="293.41176470588238"/>
    <d v="2022-02-16T00:00:00"/>
    <n v="452"/>
    <x v="4"/>
  </r>
  <r>
    <n v="839"/>
    <n v="334"/>
    <n v="223"/>
    <n v="2"/>
    <n v="446"/>
    <x v="43"/>
    <x v="4"/>
    <n v="216"/>
    <x v="15"/>
    <n v="294.95238095238096"/>
    <n v="-0.24394575395544082"/>
    <x v="41"/>
    <n v="274.77777777777777"/>
    <d v="2022-04-04T00:00:00"/>
    <n v="579"/>
    <x v="4"/>
  </r>
  <r>
    <n v="840"/>
    <n v="356"/>
    <n v="97"/>
    <n v="2"/>
    <n v="194"/>
    <x v="9"/>
    <x v="3"/>
    <n v="491"/>
    <x v="2"/>
    <n v="283.468085106383"/>
    <n v="-0.65780980259701272"/>
    <x v="46"/>
    <n v="321.63636363636363"/>
    <d v="2022-07-10T00:00:00"/>
    <n v="280"/>
    <x v="2"/>
  </r>
  <r>
    <n v="841"/>
    <n v="446"/>
    <n v="445"/>
    <n v="5"/>
    <n v="2225"/>
    <x v="69"/>
    <x v="15"/>
    <n v="307"/>
    <x v="14"/>
    <n v="273.72549019607845"/>
    <n v="0.62571633237822333"/>
    <x v="44"/>
    <n v="320.57142857142856"/>
    <d v="2022-07-22T00:00:00"/>
    <n v="229"/>
    <x v="1"/>
  </r>
  <r>
    <n v="842"/>
    <n v="88"/>
    <n v="206"/>
    <n v="4"/>
    <n v="824"/>
    <x v="395"/>
    <x v="15"/>
    <n v="492"/>
    <x v="18"/>
    <n v="255.11627906976744"/>
    <n v="-0.1925250683682771"/>
    <x v="34"/>
    <n v="250.30769230769232"/>
    <d v="2022-05-07T00:00:00"/>
    <n v="549"/>
    <x v="3"/>
  </r>
  <r>
    <n v="843"/>
    <n v="347"/>
    <n v="265"/>
    <n v="1"/>
    <n v="265"/>
    <x v="394"/>
    <x v="11"/>
    <n v="264"/>
    <x v="3"/>
    <n v="265.47674418604652"/>
    <n v="-1.7958039507687262E-3"/>
    <x v="16"/>
    <n v="276.67567567567568"/>
    <d v="2022-12-12T00:00:00"/>
    <n v="483"/>
    <x v="1"/>
  </r>
  <r>
    <n v="844"/>
    <n v="342"/>
    <n v="269"/>
    <n v="4"/>
    <n v="1076"/>
    <x v="411"/>
    <x v="13"/>
    <n v="190"/>
    <x v="4"/>
    <n v="250.48780487804879"/>
    <n v="7.3904576436222058E-2"/>
    <x v="25"/>
    <n v="303.8235294117647"/>
    <d v="2022-05-08T00:00:00"/>
    <n v="404"/>
    <x v="1"/>
  </r>
  <r>
    <n v="845"/>
    <n v="474"/>
    <n v="405"/>
    <n v="2"/>
    <n v="810"/>
    <x v="394"/>
    <x v="8"/>
    <n v="18"/>
    <x v="15"/>
    <n v="294.95238095238096"/>
    <n v="0.37310300290603804"/>
    <x v="23"/>
    <n v="318.81818181818181"/>
    <d v="2022-01-17T00:00:00"/>
    <n v="812"/>
    <x v="3"/>
  </r>
  <r>
    <n v="846"/>
    <n v="69"/>
    <n v="197"/>
    <n v="2"/>
    <n v="394"/>
    <x v="183"/>
    <x v="13"/>
    <n v="125"/>
    <x v="14"/>
    <n v="273.72549019607845"/>
    <n v="-0.28030085959885398"/>
    <x v="63"/>
    <n v="266.27272727272725"/>
    <d v="2022-05-20T00:00:00"/>
    <n v="494"/>
    <x v="2"/>
  </r>
  <r>
    <n v="847"/>
    <n v="206"/>
    <n v="93"/>
    <n v="2"/>
    <n v="186"/>
    <x v="412"/>
    <x v="9"/>
    <n v="155"/>
    <x v="15"/>
    <n v="294.95238095238096"/>
    <n v="-0.68469486599935425"/>
    <x v="41"/>
    <n v="274.77777777777777"/>
    <d v="2022-01-03T00:00:00"/>
    <n v="590"/>
    <x v="3"/>
  </r>
  <r>
    <n v="848"/>
    <n v="319"/>
    <n v="193"/>
    <n v="1"/>
    <n v="193"/>
    <x v="193"/>
    <x v="7"/>
    <n v="43"/>
    <x v="9"/>
    <n v="263.25423728813558"/>
    <n v="-0.26686840072109197"/>
    <x v="33"/>
    <n v="248.5"/>
    <d v="2022-12-17T00:00:00"/>
    <n v="484"/>
    <x v="2"/>
  </r>
  <r>
    <n v="849"/>
    <n v="59"/>
    <n v="150"/>
    <n v="4"/>
    <n v="600"/>
    <x v="390"/>
    <x v="9"/>
    <n v="343"/>
    <x v="0"/>
    <n v="252.76271186440678"/>
    <n v="-0.40655803661235168"/>
    <x v="0"/>
    <n v="240.5"/>
    <d v="2022-11-09T00:00:00"/>
    <n v="260"/>
    <x v="3"/>
  </r>
  <r>
    <n v="850"/>
    <n v="16"/>
    <n v="207"/>
    <n v="2"/>
    <n v="414"/>
    <x v="170"/>
    <x v="3"/>
    <n v="26"/>
    <x v="11"/>
    <n v="262.63492063492066"/>
    <n v="-0.21183367581288537"/>
    <x v="47"/>
    <n v="271"/>
    <d v="2022-09-15T00:00:00"/>
    <n v="432"/>
    <x v="4"/>
  </r>
  <r>
    <n v="851"/>
    <n v="220"/>
    <n v="305"/>
    <n v="4"/>
    <n v="1220"/>
    <x v="398"/>
    <x v="6"/>
    <n v="306"/>
    <x v="8"/>
    <n v="271.18181818181819"/>
    <n v="0.12470667113643974"/>
    <x v="48"/>
    <n v="281.75"/>
    <d v="2022-11-07T00:00:00"/>
    <n v="184"/>
    <x v="3"/>
  </r>
  <r>
    <n v="852"/>
    <n v="474"/>
    <n v="171"/>
    <n v="3"/>
    <n v="513"/>
    <x v="225"/>
    <x v="3"/>
    <n v="260"/>
    <x v="15"/>
    <n v="294.95238095238096"/>
    <n v="-0.42024539877300615"/>
    <x v="23"/>
    <n v="318.81818181818181"/>
    <d v="2022-06-17T00:00:00"/>
    <n v="256"/>
    <x v="3"/>
  </r>
  <r>
    <n v="853"/>
    <n v="118"/>
    <n v="466"/>
    <n v="3"/>
    <n v="1398"/>
    <x v="15"/>
    <x v="14"/>
    <n v="188"/>
    <x v="0"/>
    <n v="252.76271186440678"/>
    <n v="0.84362636625762755"/>
    <x v="0"/>
    <n v="240.5"/>
    <d v="2022-08-28T00:00:00"/>
    <n v="179"/>
    <x v="4"/>
  </r>
  <r>
    <n v="854"/>
    <n v="207"/>
    <n v="57"/>
    <n v="2"/>
    <n v="114"/>
    <x v="314"/>
    <x v="13"/>
    <n v="152"/>
    <x v="0"/>
    <n v="252.76271186440678"/>
    <n v="-0.7744920539126936"/>
    <x v="68"/>
    <n v="215.85714285714286"/>
    <d v="2022-08-18T00:00:00"/>
    <n v="553"/>
    <x v="1"/>
  </r>
  <r>
    <n v="855"/>
    <n v="239"/>
    <n v="397"/>
    <n v="2"/>
    <n v="794"/>
    <x v="48"/>
    <x v="6"/>
    <n v="65"/>
    <x v="9"/>
    <n v="263.25423728813558"/>
    <n v="0.50804790110739129"/>
    <x v="33"/>
    <n v="248.5"/>
    <d v="2022-03-03T00:00:00"/>
    <n v="775"/>
    <x v="3"/>
  </r>
  <r>
    <n v="856"/>
    <n v="367"/>
    <n v="289"/>
    <n v="1"/>
    <n v="289"/>
    <x v="146"/>
    <x v="1"/>
    <n v="281"/>
    <x v="19"/>
    <n v="286.92307692307691"/>
    <n v="7.238605898123307E-3"/>
    <x v="40"/>
    <n v="273.58333333333331"/>
    <d v="2022-05-30T00:00:00"/>
    <n v="330"/>
    <x v="0"/>
  </r>
  <r>
    <n v="857"/>
    <n v="87"/>
    <n v="191"/>
    <n v="3"/>
    <n v="573"/>
    <x v="30"/>
    <x v="18"/>
    <n v="430"/>
    <x v="7"/>
    <n v="249.02380952380952"/>
    <n v="-0.23300506740606175"/>
    <x v="7"/>
    <n v="276.21052631578948"/>
    <d v="2022-08-26T00:00:00"/>
    <n v="326"/>
    <x v="4"/>
  </r>
  <r>
    <n v="858"/>
    <n v="309"/>
    <n v="244"/>
    <n v="3"/>
    <n v="732"/>
    <x v="262"/>
    <x v="19"/>
    <n v="299"/>
    <x v="17"/>
    <n v="267.85483870967744"/>
    <n v="-8.9058830613596762E-2"/>
    <x v="27"/>
    <n v="288.23809523809524"/>
    <d v="2022-04-15T00:00:00"/>
    <n v="708"/>
    <x v="3"/>
  </r>
  <r>
    <n v="859"/>
    <n v="271"/>
    <n v="392"/>
    <n v="3"/>
    <n v="1176"/>
    <x v="130"/>
    <x v="11"/>
    <n v="132"/>
    <x v="11"/>
    <n v="262.63492063492066"/>
    <n v="0.49256617913695133"/>
    <x v="47"/>
    <n v="271"/>
    <d v="2022-02-09T00:00:00"/>
    <n v="502"/>
    <x v="3"/>
  </r>
  <r>
    <n v="860"/>
    <n v="354"/>
    <n v="493"/>
    <n v="2"/>
    <n v="986"/>
    <x v="413"/>
    <x v="16"/>
    <n v="68"/>
    <x v="8"/>
    <n v="271.18181818181819"/>
    <n v="0.81796848809922884"/>
    <x v="14"/>
    <n v="260.15789473684208"/>
    <d v="2022-11-17T00:00:00"/>
    <n v="438"/>
    <x v="0"/>
  </r>
  <r>
    <n v="861"/>
    <n v="266"/>
    <n v="339"/>
    <n v="5"/>
    <n v="1695"/>
    <x v="362"/>
    <x v="1"/>
    <n v="42"/>
    <x v="6"/>
    <n v="258.5128205128205"/>
    <n v="0.31134695496925224"/>
    <x v="6"/>
    <n v="260.64705882352939"/>
    <d v="2022-08-10T00:00:00"/>
    <n v="575"/>
    <x v="4"/>
  </r>
  <r>
    <n v="862"/>
    <n v="441"/>
    <n v="316"/>
    <n v="4"/>
    <n v="1264"/>
    <x v="300"/>
    <x v="14"/>
    <n v="488"/>
    <x v="8"/>
    <n v="271.18181818181819"/>
    <n v="0.16526986255447529"/>
    <x v="14"/>
    <n v="260.15789473684208"/>
    <d v="2022-06-26T00:00:00"/>
    <n v="672"/>
    <x v="1"/>
  </r>
  <r>
    <n v="863"/>
    <n v="245"/>
    <n v="284"/>
    <n v="4"/>
    <n v="1136"/>
    <x v="204"/>
    <x v="7"/>
    <n v="324"/>
    <x v="0"/>
    <n v="252.76271186440678"/>
    <n v="0.12358345068061416"/>
    <x v="0"/>
    <n v="240.5"/>
    <d v="2022-07-19T00:00:00"/>
    <n v="644"/>
    <x v="0"/>
  </r>
  <r>
    <n v="864"/>
    <n v="369"/>
    <n v="206"/>
    <n v="4"/>
    <n v="824"/>
    <x v="265"/>
    <x v="9"/>
    <n v="346"/>
    <x v="15"/>
    <n v="294.95238095238096"/>
    <n v="-0.30158217629964479"/>
    <x v="41"/>
    <n v="274.77777777777777"/>
    <d v="2022-03-16T00:00:00"/>
    <n v="496"/>
    <x v="2"/>
  </r>
  <r>
    <n v="865"/>
    <n v="176"/>
    <n v="217"/>
    <n v="4"/>
    <n v="868"/>
    <x v="414"/>
    <x v="4"/>
    <n v="313"/>
    <x v="0"/>
    <n v="252.76271186440678"/>
    <n v="-0.14148729296586871"/>
    <x v="0"/>
    <n v="240.5"/>
    <d v="2022-12-01T00:00:00"/>
    <n v="239"/>
    <x v="0"/>
  </r>
  <r>
    <n v="866"/>
    <n v="467"/>
    <n v="72"/>
    <n v="2"/>
    <n v="144"/>
    <x v="415"/>
    <x v="5"/>
    <n v="233"/>
    <x v="3"/>
    <n v="265.47674418604652"/>
    <n v="-0.72878980333756727"/>
    <x v="3"/>
    <n v="236.27586206896552"/>
    <d v="2022-02-24T00:00:00"/>
    <n v="434"/>
    <x v="4"/>
  </r>
  <r>
    <n v="867"/>
    <n v="237"/>
    <n v="121"/>
    <n v="3"/>
    <n v="363"/>
    <x v="416"/>
    <x v="18"/>
    <n v="77"/>
    <x v="17"/>
    <n v="267.85483870967744"/>
    <n v="-0.54826278075510326"/>
    <x v="27"/>
    <n v="288.23809523809524"/>
    <d v="2022-03-24T00:00:00"/>
    <n v="596"/>
    <x v="2"/>
  </r>
  <r>
    <n v="868"/>
    <n v="300"/>
    <n v="140"/>
    <n v="4"/>
    <n v="560"/>
    <x v="321"/>
    <x v="9"/>
    <n v="107"/>
    <x v="0"/>
    <n v="252.76271186440678"/>
    <n v="-0.44612083417152815"/>
    <x v="0"/>
    <n v="240.5"/>
    <d v="2022-07-02T00:00:00"/>
    <n v="573"/>
    <x v="4"/>
  </r>
  <r>
    <n v="869"/>
    <n v="137"/>
    <n v="295"/>
    <n v="2"/>
    <n v="590"/>
    <x v="417"/>
    <x v="13"/>
    <n v="375"/>
    <x v="12"/>
    <n v="274.16279069767444"/>
    <n v="7.6003053694121636E-2"/>
    <x v="18"/>
    <n v="253.6875"/>
    <d v="2022-04-23T00:00:00"/>
    <n v="437"/>
    <x v="2"/>
  </r>
  <r>
    <n v="870"/>
    <n v="194"/>
    <n v="325"/>
    <n v="4"/>
    <n v="1300"/>
    <x v="407"/>
    <x v="12"/>
    <n v="62"/>
    <x v="1"/>
    <n v="264.8679245283019"/>
    <n v="0.22702664197179079"/>
    <x v="69"/>
    <n v="273.7"/>
    <d v="2022-04-20T00:00:00"/>
    <n v="648"/>
    <x v="2"/>
  </r>
  <r>
    <n v="871"/>
    <n v="215"/>
    <n v="147"/>
    <n v="3"/>
    <n v="441"/>
    <x v="77"/>
    <x v="5"/>
    <n v="368"/>
    <x v="5"/>
    <n v="268.60344827586209"/>
    <n v="-0.45272482187560181"/>
    <x v="5"/>
    <n v="281.96875"/>
    <d v="2022-11-07T00:00:00"/>
    <n v="301"/>
    <x v="0"/>
  </r>
  <r>
    <n v="872"/>
    <n v="307"/>
    <n v="419"/>
    <n v="1"/>
    <n v="419"/>
    <x v="81"/>
    <x v="17"/>
    <n v="64"/>
    <x v="11"/>
    <n v="262.63492063492066"/>
    <n v="0.59537048229179246"/>
    <x v="17"/>
    <n v="311.33333333333331"/>
    <d v="2022-05-26T00:00:00"/>
    <n v="482"/>
    <x v="0"/>
  </r>
  <r>
    <n v="873"/>
    <n v="424"/>
    <n v="457"/>
    <n v="1"/>
    <n v="457"/>
    <x v="26"/>
    <x v="10"/>
    <n v="286"/>
    <x v="2"/>
    <n v="283.468085106383"/>
    <n v="0.61217443518726999"/>
    <x v="31"/>
    <n v="323.07692307692309"/>
    <d v="2022-01-02T00:00:00"/>
    <n v="536"/>
    <x v="4"/>
  </r>
  <r>
    <n v="874"/>
    <n v="439"/>
    <n v="392"/>
    <n v="2"/>
    <n v="784"/>
    <x v="414"/>
    <x v="7"/>
    <n v="74"/>
    <x v="5"/>
    <n v="268.60344827586209"/>
    <n v="0.45940047499839509"/>
    <x v="28"/>
    <n v="242.81818181818181"/>
    <d v="2022-10-23T00:00:00"/>
    <n v="278"/>
    <x v="2"/>
  </r>
  <r>
    <n v="875"/>
    <n v="83"/>
    <n v="282"/>
    <n v="5"/>
    <n v="1410"/>
    <x v="418"/>
    <x v="4"/>
    <n v="6"/>
    <x v="5"/>
    <n v="268.60344827586209"/>
    <n v="4.9874831503947448E-2"/>
    <x v="32"/>
    <n v="254.18181818181819"/>
    <d v="2022-05-29T00:00:00"/>
    <n v="260"/>
    <x v="3"/>
  </r>
  <r>
    <n v="876"/>
    <n v="329"/>
    <n v="265"/>
    <n v="2"/>
    <n v="530"/>
    <x v="152"/>
    <x v="14"/>
    <n v="258"/>
    <x v="1"/>
    <n v="264.8679245283019"/>
    <n v="4.9864653084474853E-4"/>
    <x v="64"/>
    <n v="236.91666666666666"/>
    <d v="2022-06-05T00:00:00"/>
    <n v="696"/>
    <x v="3"/>
  </r>
  <r>
    <n v="877"/>
    <n v="91"/>
    <n v="146"/>
    <n v="1"/>
    <n v="146"/>
    <x v="179"/>
    <x v="16"/>
    <n v="138"/>
    <x v="11"/>
    <n v="262.63492063492066"/>
    <n v="-0.44409524960715585"/>
    <x v="47"/>
    <n v="271"/>
    <d v="2022-06-11T00:00:00"/>
    <n v="299"/>
    <x v="3"/>
  </r>
  <r>
    <n v="878"/>
    <n v="296"/>
    <n v="58"/>
    <n v="2"/>
    <n v="116"/>
    <x v="419"/>
    <x v="0"/>
    <n v="419"/>
    <x v="18"/>
    <n v="255.11627906976744"/>
    <n v="-0.7726526891522334"/>
    <x v="34"/>
    <n v="250.30769230769232"/>
    <d v="2022-11-04T00:00:00"/>
    <n v="532"/>
    <x v="4"/>
  </r>
  <r>
    <n v="879"/>
    <n v="437"/>
    <n v="379"/>
    <n v="2"/>
    <n v="758"/>
    <x v="34"/>
    <x v="17"/>
    <n v="148"/>
    <x v="8"/>
    <n v="271.18181818181819"/>
    <n v="0.39758632249413339"/>
    <x v="48"/>
    <n v="281.75"/>
    <d v="2022-05-19T00:00:00"/>
    <n v="681"/>
    <x v="2"/>
  </r>
  <r>
    <n v="880"/>
    <n v="193"/>
    <n v="201"/>
    <n v="4"/>
    <n v="804"/>
    <x v="334"/>
    <x v="6"/>
    <n v="105"/>
    <x v="1"/>
    <n v="264.8679245283019"/>
    <n v="-0.24113121527283088"/>
    <x v="69"/>
    <n v="273.7"/>
    <d v="2022-12-23T00:00:00"/>
    <n v="285"/>
    <x v="0"/>
  </r>
  <r>
    <n v="881"/>
    <n v="144"/>
    <n v="337"/>
    <n v="3"/>
    <n v="1011"/>
    <x v="103"/>
    <x v="16"/>
    <n v="365"/>
    <x v="3"/>
    <n v="265.47674418604652"/>
    <n v="0.2694143927116639"/>
    <x v="29"/>
    <n v="235.55555555555554"/>
    <d v="2022-10-07T00:00:00"/>
    <n v="198"/>
    <x v="1"/>
  </r>
  <r>
    <n v="882"/>
    <n v="27"/>
    <n v="160"/>
    <n v="1"/>
    <n v="160"/>
    <x v="162"/>
    <x v="8"/>
    <n v="416"/>
    <x v="3"/>
    <n v="265.47674418604652"/>
    <n v="-0.39731067408348297"/>
    <x v="16"/>
    <n v="276.67567567567568"/>
    <d v="2022-05-22T00:00:00"/>
    <n v="573"/>
    <x v="4"/>
  </r>
  <r>
    <n v="883"/>
    <n v="375"/>
    <n v="197"/>
    <n v="5"/>
    <n v="985"/>
    <x v="27"/>
    <x v="7"/>
    <n v="315"/>
    <x v="3"/>
    <n v="265.47674418604652"/>
    <n v="-0.25793876746528843"/>
    <x v="3"/>
    <n v="236.27586206896552"/>
    <d v="2022-07-05T00:00:00"/>
    <n v="621"/>
    <x v="0"/>
  </r>
  <r>
    <n v="884"/>
    <n v="453"/>
    <n v="437"/>
    <n v="2"/>
    <n v="874"/>
    <x v="11"/>
    <x v="17"/>
    <n v="81"/>
    <x v="3"/>
    <n v="265.47674418604652"/>
    <n v="0.64609522140948705"/>
    <x v="19"/>
    <n v="329.27272727272725"/>
    <d v="2022-09-21T00:00:00"/>
    <n v="569"/>
    <x v="2"/>
  </r>
  <r>
    <n v="885"/>
    <n v="388"/>
    <n v="205"/>
    <n v="2"/>
    <n v="410"/>
    <x v="358"/>
    <x v="13"/>
    <n v="262"/>
    <x v="6"/>
    <n v="258.5128205128205"/>
    <n v="-0.20700257885340201"/>
    <x v="6"/>
    <n v="260.64705882352939"/>
    <d v="2022-08-05T00:00:00"/>
    <n v="626"/>
    <x v="4"/>
  </r>
  <r>
    <n v="886"/>
    <n v="312"/>
    <n v="476"/>
    <n v="2"/>
    <n v="952"/>
    <x v="367"/>
    <x v="16"/>
    <n v="239"/>
    <x v="16"/>
    <n v="300.31818181818181"/>
    <n v="0.58498562131073117"/>
    <x v="51"/>
    <n v="331.16666666666669"/>
    <d v="2022-07-25T00:00:00"/>
    <n v="346"/>
    <x v="0"/>
  </r>
  <r>
    <n v="887"/>
    <n v="486"/>
    <n v="230"/>
    <n v="2"/>
    <n v="460"/>
    <x v="267"/>
    <x v="1"/>
    <n v="358"/>
    <x v="1"/>
    <n v="264.8679245283019"/>
    <n v="-0.13164268414304037"/>
    <x v="1"/>
    <n v="238.16666666666666"/>
    <d v="2022-07-29T00:00:00"/>
    <n v="436"/>
    <x v="3"/>
  </r>
  <r>
    <n v="888"/>
    <n v="295"/>
    <n v="219"/>
    <n v="5"/>
    <n v="1095"/>
    <x v="153"/>
    <x v="11"/>
    <n v="331"/>
    <x v="2"/>
    <n v="283.468085106383"/>
    <n v="-0.22742625534789462"/>
    <x v="36"/>
    <n v="249.5"/>
    <d v="2022-09-09T00:00:00"/>
    <n v="352"/>
    <x v="0"/>
  </r>
  <r>
    <n v="889"/>
    <n v="1"/>
    <n v="206"/>
    <n v="3"/>
    <n v="618"/>
    <x v="285"/>
    <x v="5"/>
    <n v="31"/>
    <x v="18"/>
    <n v="255.11627906976744"/>
    <n v="-0.1925250683682771"/>
    <x v="72"/>
    <n v="252.09090909090909"/>
    <d v="2022-01-19T00:00:00"/>
    <n v="406"/>
    <x v="3"/>
  </r>
  <r>
    <n v="890"/>
    <n v="347"/>
    <n v="343"/>
    <n v="3"/>
    <n v="1029"/>
    <x v="420"/>
    <x v="2"/>
    <n v="74"/>
    <x v="3"/>
    <n v="265.47674418604652"/>
    <n v="0.29201524243353338"/>
    <x v="16"/>
    <n v="276.67567567567568"/>
    <d v="2022-10-23T00:00:00"/>
    <n v="80"/>
    <x v="2"/>
  </r>
  <r>
    <n v="891"/>
    <n v="308"/>
    <n v="147"/>
    <n v="2"/>
    <n v="294"/>
    <x v="207"/>
    <x v="11"/>
    <n v="80"/>
    <x v="17"/>
    <n v="267.85483870967744"/>
    <n v="-0.45119527909917512"/>
    <x v="35"/>
    <n v="250.25925925925927"/>
    <d v="2022-03-03T00:00:00"/>
    <n v="638"/>
    <x v="1"/>
  </r>
  <r>
    <n v="892"/>
    <n v="52"/>
    <n v="423"/>
    <n v="3"/>
    <n v="1269"/>
    <x v="336"/>
    <x v="6"/>
    <n v="496"/>
    <x v="1"/>
    <n v="264.8679245283019"/>
    <n v="0.59702236785866925"/>
    <x v="1"/>
    <n v="238.16666666666666"/>
    <d v="2022-11-02T00:00:00"/>
    <n v="511"/>
    <x v="3"/>
  </r>
  <r>
    <n v="893"/>
    <n v="75"/>
    <n v="494"/>
    <n v="4"/>
    <n v="1976"/>
    <x v="421"/>
    <x v="3"/>
    <n v="477"/>
    <x v="2"/>
    <n v="283.468085106383"/>
    <n v="0.7427005929595436"/>
    <x v="36"/>
    <n v="249.5"/>
    <d v="2022-06-26T00:00:00"/>
    <n v="292"/>
    <x v="0"/>
  </r>
  <r>
    <n v="894"/>
    <n v="148"/>
    <n v="270"/>
    <n v="2"/>
    <n v="540"/>
    <x v="292"/>
    <x v="5"/>
    <n v="196"/>
    <x v="5"/>
    <n v="268.60344827586209"/>
    <n v="5.199306759098743E-3"/>
    <x v="5"/>
    <n v="281.96875"/>
    <d v="2022-10-01T00:00:00"/>
    <n v="371"/>
    <x v="2"/>
  </r>
  <r>
    <n v="895"/>
    <n v="481"/>
    <n v="470"/>
    <n v="2"/>
    <n v="940"/>
    <x v="422"/>
    <x v="1"/>
    <n v="400"/>
    <x v="14"/>
    <n v="273.72549019607845"/>
    <n v="0.71704871060171915"/>
    <x v="22"/>
    <n v="280.23809523809524"/>
    <d v="2022-07-23T00:00:00"/>
    <n v="336"/>
    <x v="1"/>
  </r>
  <r>
    <n v="896"/>
    <n v="194"/>
    <n v="278"/>
    <n v="4"/>
    <n v="1112"/>
    <x v="369"/>
    <x v="9"/>
    <n v="271"/>
    <x v="1"/>
    <n v="264.8679245283019"/>
    <n v="4.9579712209716353E-2"/>
    <x v="69"/>
    <n v="273.7"/>
    <d v="2022-11-27T00:00:00"/>
    <n v="394"/>
    <x v="1"/>
  </r>
  <r>
    <n v="897"/>
    <n v="422"/>
    <n v="244"/>
    <n v="3"/>
    <n v="732"/>
    <x v="243"/>
    <x v="5"/>
    <n v="265"/>
    <x v="7"/>
    <n v="249.02380952380952"/>
    <n v="-2.0174012811932318E-2"/>
    <x v="59"/>
    <n v="256.89999999999998"/>
    <d v="2022-07-14T00:00:00"/>
    <n v="614"/>
    <x v="0"/>
  </r>
  <r>
    <n v="898"/>
    <n v="52"/>
    <n v="142"/>
    <n v="3"/>
    <n v="426"/>
    <x v="363"/>
    <x v="10"/>
    <n v="366"/>
    <x v="1"/>
    <n v="264.8679245283019"/>
    <n v="-0.46388374412309452"/>
    <x v="1"/>
    <n v="238.16666666666666"/>
    <d v="2022-09-23T00:00:00"/>
    <n v="102"/>
    <x v="0"/>
  </r>
  <r>
    <n v="899"/>
    <n v="73"/>
    <n v="160"/>
    <n v="4"/>
    <n v="640"/>
    <x v="400"/>
    <x v="4"/>
    <n v="302"/>
    <x v="16"/>
    <n v="300.31818181818181"/>
    <n v="-0.46723172392916601"/>
    <x v="38"/>
    <n v="264"/>
    <d v="2022-10-25T00:00:00"/>
    <n v="304"/>
    <x v="2"/>
  </r>
  <r>
    <n v="900"/>
    <n v="208"/>
    <n v="476"/>
    <n v="5"/>
    <n v="2380"/>
    <x v="3"/>
    <x v="18"/>
    <n v="326"/>
    <x v="17"/>
    <n v="267.85483870967744"/>
    <n v="0.77708195339314745"/>
    <x v="70"/>
    <n v="268"/>
    <d v="2022-04-04T00:00:00"/>
    <n v="607"/>
    <x v="2"/>
  </r>
  <r>
    <n v="901"/>
    <n v="458"/>
    <n v="343"/>
    <n v="3"/>
    <n v="1029"/>
    <x v="186"/>
    <x v="12"/>
    <n v="282"/>
    <x v="3"/>
    <n v="265.47674418604652"/>
    <n v="0.29201524243353338"/>
    <x v="3"/>
    <n v="236.27586206896552"/>
    <d v="2022-06-23T00:00:00"/>
    <n v="270"/>
    <x v="0"/>
  </r>
  <r>
    <n v="902"/>
    <n v="444"/>
    <n v="328"/>
    <n v="3"/>
    <n v="984"/>
    <x v="246"/>
    <x v="19"/>
    <n v="292"/>
    <x v="9"/>
    <n v="263.25423728813558"/>
    <n v="0.24594385784187489"/>
    <x v="33"/>
    <n v="248.5"/>
    <d v="2022-02-16T00:00:00"/>
    <n v="494"/>
    <x v="2"/>
  </r>
  <r>
    <n v="903"/>
    <n v="369"/>
    <n v="379"/>
    <n v="5"/>
    <n v="1895"/>
    <x v="81"/>
    <x v="16"/>
    <n v="267"/>
    <x v="15"/>
    <n v="294.95238095238096"/>
    <n v="0.28495318049725538"/>
    <x v="41"/>
    <n v="274.77777777777777"/>
    <d v="2022-12-15T00:00:00"/>
    <n v="279"/>
    <x v="2"/>
  </r>
  <r>
    <n v="904"/>
    <n v="6"/>
    <n v="70"/>
    <n v="5"/>
    <n v="350"/>
    <x v="323"/>
    <x v="4"/>
    <n v="433"/>
    <x v="12"/>
    <n v="274.16279069767444"/>
    <n v="-0.74467724149631009"/>
    <x v="50"/>
    <n v="280.66666666666669"/>
    <d v="2022-09-28T00:00:00"/>
    <n v="532"/>
    <x v="4"/>
  </r>
  <r>
    <n v="905"/>
    <n v="318"/>
    <n v="280"/>
    <n v="1"/>
    <n v="280"/>
    <x v="302"/>
    <x v="1"/>
    <n v="382"/>
    <x v="15"/>
    <n v="294.95238095238096"/>
    <n v="-5.0694220213109542E-2"/>
    <x v="41"/>
    <n v="274.77777777777777"/>
    <d v="2022-10-16T00:00:00"/>
    <n v="363"/>
    <x v="1"/>
  </r>
  <r>
    <n v="906"/>
    <n v="269"/>
    <n v="315"/>
    <n v="1"/>
    <n v="315"/>
    <x v="335"/>
    <x v="2"/>
    <n v="41"/>
    <x v="0"/>
    <n v="252.76271186440678"/>
    <n v="0.2462281231140615"/>
    <x v="45"/>
    <n v="293.41176470588238"/>
    <d v="2022-10-08T00:00:00"/>
    <n v="513"/>
    <x v="2"/>
  </r>
  <r>
    <n v="907"/>
    <n v="55"/>
    <n v="353"/>
    <n v="1"/>
    <n v="353"/>
    <x v="152"/>
    <x v="19"/>
    <n v="129"/>
    <x v="18"/>
    <n v="255.11627906976744"/>
    <n v="0.38368277119416594"/>
    <x v="61"/>
    <n v="274.28571428571428"/>
    <d v="2022-11-03T00:00:00"/>
    <n v="545"/>
    <x v="1"/>
  </r>
  <r>
    <n v="908"/>
    <n v="327"/>
    <n v="342"/>
    <n v="2"/>
    <n v="684"/>
    <x v="328"/>
    <x v="1"/>
    <n v="335"/>
    <x v="19"/>
    <n v="286.92307692307691"/>
    <n v="0.19195710455764092"/>
    <x v="73"/>
    <n v="320.25"/>
    <d v="2022-02-27T00:00:00"/>
    <n v="665"/>
    <x v="0"/>
  </r>
  <r>
    <n v="909"/>
    <n v="364"/>
    <n v="299"/>
    <n v="3"/>
    <n v="897"/>
    <x v="261"/>
    <x v="14"/>
    <n v="194"/>
    <x v="0"/>
    <n v="252.76271186440678"/>
    <n v="0.18292764701937902"/>
    <x v="45"/>
    <n v="293.41176470588238"/>
    <d v="2022-12-29T00:00:00"/>
    <n v="8"/>
    <x v="2"/>
  </r>
  <r>
    <n v="910"/>
    <n v="378"/>
    <n v="397"/>
    <n v="1"/>
    <n v="397"/>
    <x v="67"/>
    <x v="5"/>
    <n v="56"/>
    <x v="5"/>
    <n v="268.60344827586209"/>
    <n v="0.47801527697541557"/>
    <x v="5"/>
    <n v="281.96875"/>
    <d v="2022-04-11T00:00:00"/>
    <n v="338"/>
    <x v="4"/>
  </r>
  <r>
    <n v="911"/>
    <n v="462"/>
    <n v="231"/>
    <n v="2"/>
    <n v="462"/>
    <x v="342"/>
    <x v="18"/>
    <n v="493"/>
    <x v="13"/>
    <n v="258.375"/>
    <n v="-0.10595065312046448"/>
    <x v="20"/>
    <n v="269.70588235294116"/>
    <d v="2022-10-21T00:00:00"/>
    <n v="95"/>
    <x v="3"/>
  </r>
  <r>
    <n v="912"/>
    <n v="89"/>
    <n v="120"/>
    <n v="5"/>
    <n v="600"/>
    <x v="423"/>
    <x v="19"/>
    <n v="222"/>
    <x v="17"/>
    <n v="267.85483870967744"/>
    <n v="-0.5519961462034082"/>
    <x v="27"/>
    <n v="288.23809523809524"/>
    <d v="2022-05-13T00:00:00"/>
    <n v="268"/>
    <x v="3"/>
  </r>
  <r>
    <n v="913"/>
    <n v="465"/>
    <n v="177"/>
    <n v="1"/>
    <n v="177"/>
    <x v="381"/>
    <x v="8"/>
    <n v="167"/>
    <x v="9"/>
    <n v="263.25423728813558"/>
    <n v="-0.32764614988411023"/>
    <x v="9"/>
    <n v="257.78260869565219"/>
    <d v="2022-01-02T00:00:00"/>
    <n v="559"/>
    <x v="0"/>
  </r>
  <r>
    <n v="914"/>
    <n v="208"/>
    <n v="412"/>
    <n v="4"/>
    <n v="1648"/>
    <x v="407"/>
    <x v="6"/>
    <n v="212"/>
    <x v="17"/>
    <n v="267.85483870967744"/>
    <n v="0.53814656470163169"/>
    <x v="70"/>
    <n v="268"/>
    <d v="2022-09-11T00:00:00"/>
    <n v="504"/>
    <x v="0"/>
  </r>
  <r>
    <n v="915"/>
    <n v="357"/>
    <n v="279"/>
    <n v="2"/>
    <n v="558"/>
    <x v="12"/>
    <x v="15"/>
    <n v="499"/>
    <x v="10"/>
    <n v="271.74545454545455"/>
    <n v="2.6696105981533602E-2"/>
    <x v="37"/>
    <n v="272.35294117647061"/>
    <d v="2022-08-25T00:00:00"/>
    <n v="468"/>
    <x v="1"/>
  </r>
  <r>
    <n v="916"/>
    <n v="416"/>
    <n v="472"/>
    <n v="1"/>
    <n v="472"/>
    <x v="424"/>
    <x v="19"/>
    <n v="401"/>
    <x v="6"/>
    <n v="258.5128205128205"/>
    <n v="0.82582820868875229"/>
    <x v="6"/>
    <n v="260.64705882352939"/>
    <d v="2022-10-22T00:00:00"/>
    <n v="483"/>
    <x v="2"/>
  </r>
  <r>
    <n v="917"/>
    <n v="374"/>
    <n v="52"/>
    <n v="3"/>
    <n v="156"/>
    <x v="425"/>
    <x v="18"/>
    <n v="463"/>
    <x v="7"/>
    <n v="249.02380952380952"/>
    <n v="-0.79118462568123149"/>
    <x v="77"/>
    <n v="140"/>
    <d v="2022-11-04T00:00:00"/>
    <n v="157"/>
    <x v="3"/>
  </r>
  <r>
    <n v="918"/>
    <n v="145"/>
    <n v="144"/>
    <n v="5"/>
    <n v="720"/>
    <x v="299"/>
    <x v="0"/>
    <n v="347"/>
    <x v="4"/>
    <n v="250.48780487804879"/>
    <n v="-0.42512171372930874"/>
    <x v="75"/>
    <n v="208"/>
    <d v="2022-01-27T00:00:00"/>
    <n v="724"/>
    <x v="4"/>
  </r>
  <r>
    <n v="919"/>
    <n v="289"/>
    <n v="258"/>
    <n v="2"/>
    <n v="516"/>
    <x v="221"/>
    <x v="1"/>
    <n v="54"/>
    <x v="5"/>
    <n v="268.60344827586209"/>
    <n v="-3.9476217985750184E-2"/>
    <x v="28"/>
    <n v="242.81818181818181"/>
    <d v="2022-10-13T00:00:00"/>
    <n v="545"/>
    <x v="1"/>
  </r>
  <r>
    <n v="920"/>
    <n v="173"/>
    <n v="173"/>
    <n v="2"/>
    <n v="346"/>
    <x v="426"/>
    <x v="18"/>
    <n v="246"/>
    <x v="5"/>
    <n v="268.60344827586209"/>
    <n v="-0.35592785159509599"/>
    <x v="5"/>
    <n v="281.96875"/>
    <d v="2022-09-01T00:00:00"/>
    <n v="292"/>
    <x v="0"/>
  </r>
  <r>
    <n v="921"/>
    <n v="390"/>
    <n v="494"/>
    <n v="3"/>
    <n v="1482"/>
    <x v="41"/>
    <x v="11"/>
    <n v="65"/>
    <x v="5"/>
    <n v="268.60344827586209"/>
    <n v="0.83914243532961019"/>
    <x v="32"/>
    <n v="254.18181818181819"/>
    <d v="2022-03-03T00:00:00"/>
    <n v="573"/>
    <x v="3"/>
  </r>
  <r>
    <n v="922"/>
    <n v="482"/>
    <n v="198"/>
    <n v="2"/>
    <n v="396"/>
    <x v="91"/>
    <x v="18"/>
    <n v="44"/>
    <x v="18"/>
    <n v="255.11627906976744"/>
    <n v="-0.22388331814038287"/>
    <x v="34"/>
    <n v="250.30769230769232"/>
    <d v="2022-05-20T00:00:00"/>
    <n v="496"/>
    <x v="1"/>
  </r>
  <r>
    <n v="923"/>
    <n v="465"/>
    <n v="71"/>
    <n v="5"/>
    <n v="355"/>
    <x v="156"/>
    <x v="8"/>
    <n v="321"/>
    <x v="9"/>
    <n v="263.25423728813558"/>
    <n v="-0.73029873808910639"/>
    <x v="9"/>
    <n v="257.78260869565219"/>
    <d v="2022-07-14T00:00:00"/>
    <n v="497"/>
    <x v="4"/>
  </r>
  <r>
    <n v="924"/>
    <n v="114"/>
    <n v="228"/>
    <n v="2"/>
    <n v="456"/>
    <x v="149"/>
    <x v="14"/>
    <n v="50"/>
    <x v="11"/>
    <n v="262.63492063492066"/>
    <n v="-0.13187477335912012"/>
    <x v="47"/>
    <n v="271"/>
    <d v="2022-01-15T00:00:00"/>
    <n v="599"/>
    <x v="0"/>
  </r>
  <r>
    <n v="925"/>
    <n v="46"/>
    <n v="290"/>
    <n v="3"/>
    <n v="870"/>
    <x v="194"/>
    <x v="5"/>
    <n v="460"/>
    <x v="9"/>
    <n v="263.25423728813558"/>
    <n v="0.10159670357970652"/>
    <x v="55"/>
    <n v="293.66666666666669"/>
    <d v="2022-09-17T00:00:00"/>
    <n v="238"/>
    <x v="2"/>
  </r>
  <r>
    <n v="926"/>
    <n v="222"/>
    <n v="168"/>
    <n v="3"/>
    <n v="504"/>
    <x v="113"/>
    <x v="13"/>
    <n v="79"/>
    <x v="15"/>
    <n v="294.95238095238096"/>
    <n v="-0.43041653212786568"/>
    <x v="23"/>
    <n v="318.81818181818181"/>
    <d v="2022-06-04T00:00:00"/>
    <n v="597"/>
    <x v="4"/>
  </r>
  <r>
    <n v="927"/>
    <n v="210"/>
    <n v="374"/>
    <n v="2"/>
    <n v="748"/>
    <x v="268"/>
    <x v="8"/>
    <n v="209"/>
    <x v="19"/>
    <n v="286.92307692307691"/>
    <n v="0.30348525469168908"/>
    <x v="40"/>
    <n v="273.58333333333331"/>
    <d v="2022-03-08T00:00:00"/>
    <n v="424"/>
    <x v="2"/>
  </r>
  <r>
    <n v="928"/>
    <n v="399"/>
    <n v="67"/>
    <n v="2"/>
    <n v="134"/>
    <x v="203"/>
    <x v="18"/>
    <n v="451"/>
    <x v="16"/>
    <n v="300.31818181818181"/>
    <n v="-0.77690328439533829"/>
    <x v="24"/>
    <n v="281.73333333333335"/>
    <d v="2022-01-23T00:00:00"/>
    <n v="367"/>
    <x v="2"/>
  </r>
  <r>
    <n v="929"/>
    <n v="498"/>
    <n v="244"/>
    <n v="2"/>
    <n v="488"/>
    <x v="427"/>
    <x v="3"/>
    <n v="49"/>
    <x v="15"/>
    <n v="294.95238095238096"/>
    <n v="-0.17274782047142401"/>
    <x v="41"/>
    <n v="274.77777777777777"/>
    <d v="2022-04-21T00:00:00"/>
    <n v="566"/>
    <x v="4"/>
  </r>
  <r>
    <n v="930"/>
    <n v="170"/>
    <n v="312"/>
    <n v="1"/>
    <n v="312"/>
    <x v="428"/>
    <x v="11"/>
    <n v="162"/>
    <x v="17"/>
    <n v="267.85483870967744"/>
    <n v="0.16481001987113864"/>
    <x v="70"/>
    <n v="268"/>
    <d v="2022-03-19T00:00:00"/>
    <n v="433"/>
    <x v="4"/>
  </r>
  <r>
    <n v="931"/>
    <n v="205"/>
    <n v="212"/>
    <n v="4"/>
    <n v="848"/>
    <x v="382"/>
    <x v="9"/>
    <n v="414"/>
    <x v="3"/>
    <n v="265.47674418604652"/>
    <n v="-0.20143664316061494"/>
    <x v="3"/>
    <n v="236.27586206896552"/>
    <d v="2022-08-21T00:00:00"/>
    <n v="226"/>
    <x v="1"/>
  </r>
  <r>
    <n v="932"/>
    <n v="188"/>
    <n v="233"/>
    <n v="2"/>
    <n v="466"/>
    <x v="55"/>
    <x v="10"/>
    <n v="445"/>
    <x v="15"/>
    <n v="294.95238095238096"/>
    <n v="-0.21004197610590902"/>
    <x v="74"/>
    <n v="193.5"/>
    <d v="2022-04-25T00:00:00"/>
    <n v="538"/>
    <x v="2"/>
  </r>
  <r>
    <n v="933"/>
    <n v="246"/>
    <n v="400"/>
    <n v="4"/>
    <n v="1600"/>
    <x v="8"/>
    <x v="15"/>
    <n v="191"/>
    <x v="11"/>
    <n v="262.63492063492066"/>
    <n v="0.52302671340505236"/>
    <x v="21"/>
    <n v="238.72222222222223"/>
    <d v="2022-11-01T00:00:00"/>
    <n v="510"/>
    <x v="3"/>
  </r>
  <r>
    <n v="934"/>
    <n v="187"/>
    <n v="168"/>
    <n v="3"/>
    <n v="504"/>
    <x v="76"/>
    <x v="14"/>
    <n v="126"/>
    <x v="3"/>
    <n v="265.47674418604652"/>
    <n v="-0.36717620778765714"/>
    <x v="16"/>
    <n v="276.67567567567568"/>
    <d v="2022-09-18T00:00:00"/>
    <n v="124"/>
    <x v="0"/>
  </r>
  <r>
    <n v="935"/>
    <n v="9"/>
    <n v="321"/>
    <n v="1"/>
    <n v="321"/>
    <x v="77"/>
    <x v="15"/>
    <n v="217"/>
    <x v="9"/>
    <n v="263.25423728813558"/>
    <n v="0.21935359258305431"/>
    <x v="43"/>
    <n v="287.10000000000002"/>
    <d v="2022-09-22T00:00:00"/>
    <n v="347"/>
    <x v="2"/>
  </r>
  <r>
    <n v="936"/>
    <n v="302"/>
    <n v="229"/>
    <n v="5"/>
    <n v="1145"/>
    <x v="126"/>
    <x v="4"/>
    <n v="42"/>
    <x v="15"/>
    <n v="294.95238095238096"/>
    <n v="-0.22360348724572165"/>
    <x v="41"/>
    <n v="274.77777777777777"/>
    <d v="2022-08-10T00:00:00"/>
    <n v="589"/>
    <x v="4"/>
  </r>
  <r>
    <n v="937"/>
    <n v="166"/>
    <n v="166"/>
    <n v="5"/>
    <n v="830"/>
    <x v="429"/>
    <x v="4"/>
    <n v="407"/>
    <x v="5"/>
    <n v="268.60344827586209"/>
    <n v="-0.38198857436292455"/>
    <x v="28"/>
    <n v="242.81818181818181"/>
    <d v="2022-03-01T00:00:00"/>
    <n v="631"/>
    <x v="1"/>
  </r>
  <r>
    <n v="938"/>
    <n v="329"/>
    <n v="71"/>
    <n v="2"/>
    <n v="142"/>
    <x v="430"/>
    <x v="4"/>
    <n v="117"/>
    <x v="1"/>
    <n v="264.8679245283019"/>
    <n v="-0.73194187206154726"/>
    <x v="64"/>
    <n v="236.91666666666666"/>
    <d v="2022-05-25T00:00:00"/>
    <n v="432"/>
    <x v="3"/>
  </r>
  <r>
    <n v="939"/>
    <n v="35"/>
    <n v="345"/>
    <n v="2"/>
    <n v="690"/>
    <x v="312"/>
    <x v="11"/>
    <n v="91"/>
    <x v="18"/>
    <n v="255.11627906976744"/>
    <n v="0.35232452142206006"/>
    <x v="34"/>
    <n v="250.30769230769232"/>
    <d v="2022-05-06T00:00:00"/>
    <n v="391"/>
    <x v="2"/>
  </r>
  <r>
    <n v="940"/>
    <n v="342"/>
    <n v="259"/>
    <n v="5"/>
    <n v="1295"/>
    <x v="6"/>
    <x v="9"/>
    <n v="380"/>
    <x v="4"/>
    <n v="250.48780487804879"/>
    <n v="3.3982473222979426E-2"/>
    <x v="25"/>
    <n v="303.8235294117647"/>
    <d v="2022-01-02T00:00:00"/>
    <n v="786"/>
    <x v="2"/>
  </r>
  <r>
    <n v="941"/>
    <n v="44"/>
    <n v="439"/>
    <n v="5"/>
    <n v="2195"/>
    <x v="297"/>
    <x v="6"/>
    <n v="469"/>
    <x v="15"/>
    <n v="294.95238095238096"/>
    <n v="0.48837584759444619"/>
    <x v="53"/>
    <n v="322.54545454545456"/>
    <d v="2022-04-08T00:00:00"/>
    <n v="349"/>
    <x v="2"/>
  </r>
  <r>
    <n v="942"/>
    <n v="128"/>
    <n v="246"/>
    <n v="4"/>
    <n v="984"/>
    <x v="132"/>
    <x v="2"/>
    <n v="479"/>
    <x v="10"/>
    <n v="271.74545454545455"/>
    <n v="-9.4741067844239302E-2"/>
    <x v="15"/>
    <n v="316.58333333333331"/>
    <d v="2022-08-20T00:00:00"/>
    <n v="517"/>
    <x v="2"/>
  </r>
  <r>
    <n v="943"/>
    <n v="447"/>
    <n v="118"/>
    <n v="3"/>
    <n v="354"/>
    <x v="209"/>
    <x v="8"/>
    <n v="9"/>
    <x v="9"/>
    <n v="263.25423728813558"/>
    <n v="-0.55176409992274011"/>
    <x v="33"/>
    <n v="248.5"/>
    <d v="2022-12-05T00:00:00"/>
    <n v="437"/>
    <x v="4"/>
  </r>
  <r>
    <n v="944"/>
    <n v="48"/>
    <n v="116"/>
    <n v="5"/>
    <n v="580"/>
    <x v="393"/>
    <x v="17"/>
    <n v="477"/>
    <x v="12"/>
    <n v="274.16279069767444"/>
    <n v="-0.57689371447959958"/>
    <x v="65"/>
    <n v="258.30769230769232"/>
    <d v="2022-06-26T00:00:00"/>
    <n v="296"/>
    <x v="0"/>
  </r>
  <r>
    <n v="945"/>
    <n v="415"/>
    <n v="307"/>
    <n v="3"/>
    <n v="921"/>
    <x v="89"/>
    <x v="18"/>
    <n v="498"/>
    <x v="14"/>
    <n v="273.72549019607845"/>
    <n v="0.12156160458452714"/>
    <x v="22"/>
    <n v="280.23809523809524"/>
    <d v="2022-06-09T00:00:00"/>
    <n v="569"/>
    <x v="3"/>
  </r>
  <r>
    <n v="946"/>
    <n v="298"/>
    <n v="84"/>
    <n v="5"/>
    <n v="420"/>
    <x v="165"/>
    <x v="2"/>
    <n v="93"/>
    <x v="18"/>
    <n v="255.11627906976744"/>
    <n v="-0.67073837739288966"/>
    <x v="67"/>
    <n v="251.91666666666666"/>
    <d v="2022-12-10T00:00:00"/>
    <n v="430"/>
    <x v="3"/>
  </r>
  <r>
    <n v="947"/>
    <n v="3"/>
    <n v="180"/>
    <n v="3"/>
    <n v="540"/>
    <x v="431"/>
    <x v="10"/>
    <n v="200"/>
    <x v="18"/>
    <n v="255.11627906976744"/>
    <n v="-0.29443938012762083"/>
    <x v="72"/>
    <n v="252.09090909090909"/>
    <d v="2022-08-10T00:00:00"/>
    <n v="157"/>
    <x v="0"/>
  </r>
  <r>
    <n v="948"/>
    <n v="60"/>
    <n v="334"/>
    <n v="1"/>
    <n v="334"/>
    <x v="41"/>
    <x v="17"/>
    <n v="381"/>
    <x v="7"/>
    <n v="249.02380952380952"/>
    <n v="0.34123721197055179"/>
    <x v="7"/>
    <n v="276.21052631578948"/>
    <d v="2022-06-02T00:00:00"/>
    <n v="482"/>
    <x v="0"/>
  </r>
  <r>
    <n v="949"/>
    <n v="59"/>
    <n v="234"/>
    <n v="2"/>
    <n v="468"/>
    <x v="422"/>
    <x v="6"/>
    <n v="18"/>
    <x v="0"/>
    <n v="252.76271186440678"/>
    <n v="-7.4230537115268613E-2"/>
    <x v="0"/>
    <n v="240.5"/>
    <d v="2022-01-17T00:00:00"/>
    <n v="523"/>
    <x v="3"/>
  </r>
  <r>
    <n v="950"/>
    <n v="119"/>
    <n v="426"/>
    <n v="1"/>
    <n v="426"/>
    <x v="309"/>
    <x v="7"/>
    <n v="327"/>
    <x v="2"/>
    <n v="283.468085106383"/>
    <n v="0.50281468137806784"/>
    <x v="31"/>
    <n v="323.07692307692309"/>
    <d v="2022-01-04T00:00:00"/>
    <n v="529"/>
    <x v="4"/>
  </r>
  <r>
    <n v="951"/>
    <n v="199"/>
    <n v="494"/>
    <n v="1"/>
    <n v="494"/>
    <x v="429"/>
    <x v="2"/>
    <n v="340"/>
    <x v="3"/>
    <n v="265.47674418604652"/>
    <n v="0.86080329376724629"/>
    <x v="3"/>
    <n v="236.27586206896552"/>
    <d v="2022-12-01T00:00:00"/>
    <n v="356"/>
    <x v="2"/>
  </r>
  <r>
    <n v="952"/>
    <n v="272"/>
    <n v="353"/>
    <n v="3"/>
    <n v="1059"/>
    <x v="63"/>
    <x v="15"/>
    <n v="490"/>
    <x v="18"/>
    <n v="255.11627906976744"/>
    <n v="0.38368277119416594"/>
    <x v="72"/>
    <n v="252.09090909090909"/>
    <d v="2022-02-11T00:00:00"/>
    <n v="386"/>
    <x v="2"/>
  </r>
  <r>
    <n v="953"/>
    <n v="386"/>
    <n v="288"/>
    <n v="2"/>
    <n v="576"/>
    <x v="101"/>
    <x v="14"/>
    <n v="67"/>
    <x v="18"/>
    <n v="255.11627906976744"/>
    <n v="0.12889699179580671"/>
    <x v="67"/>
    <n v="251.91666666666666"/>
    <d v="2022-06-19T00:00:00"/>
    <n v="554"/>
    <x v="0"/>
  </r>
  <r>
    <n v="954"/>
    <n v="464"/>
    <n v="430"/>
    <n v="2"/>
    <n v="860"/>
    <x v="359"/>
    <x v="18"/>
    <n v="132"/>
    <x v="11"/>
    <n v="262.63492063492066"/>
    <n v="0.63725371691043131"/>
    <x v="47"/>
    <n v="271"/>
    <d v="2022-02-09T00:00:00"/>
    <n v="547"/>
    <x v="3"/>
  </r>
  <r>
    <n v="955"/>
    <n v="494"/>
    <n v="471"/>
    <n v="5"/>
    <n v="2355"/>
    <x v="148"/>
    <x v="0"/>
    <n v="95"/>
    <x v="11"/>
    <n v="262.63492063492066"/>
    <n v="0.79336395503444934"/>
    <x v="47"/>
    <n v="271"/>
    <d v="2022-05-23T00:00:00"/>
    <n v="585"/>
    <x v="0"/>
  </r>
  <r>
    <n v="956"/>
    <n v="242"/>
    <n v="313"/>
    <n v="3"/>
    <n v="939"/>
    <x v="432"/>
    <x v="17"/>
    <n v="75"/>
    <x v="4"/>
    <n v="250.48780487804879"/>
    <n v="0.24956183057448866"/>
    <x v="25"/>
    <n v="303.8235294117647"/>
    <d v="2022-08-23T00:00:00"/>
    <n v="453"/>
    <x v="3"/>
  </r>
  <r>
    <n v="957"/>
    <n v="434"/>
    <n v="340"/>
    <n v="4"/>
    <n v="1360"/>
    <x v="420"/>
    <x v="9"/>
    <n v="419"/>
    <x v="11"/>
    <n v="262.63492063492066"/>
    <n v="0.29457270639429467"/>
    <x v="47"/>
    <n v="271"/>
    <d v="2022-11-04T00:00:00"/>
    <n v="68"/>
    <x v="4"/>
  </r>
  <r>
    <n v="958"/>
    <n v="110"/>
    <n v="148"/>
    <n v="2"/>
    <n v="296"/>
    <x v="433"/>
    <x v="2"/>
    <n v="42"/>
    <x v="3"/>
    <n v="265.47674418604652"/>
    <n v="-0.44251237352722173"/>
    <x v="16"/>
    <n v="276.67567567567568"/>
    <d v="2022-08-10T00:00:00"/>
    <n v="212"/>
    <x v="4"/>
  </r>
  <r>
    <n v="959"/>
    <n v="168"/>
    <n v="391"/>
    <n v="2"/>
    <n v="782"/>
    <x v="376"/>
    <x v="18"/>
    <n v="316"/>
    <x v="18"/>
    <n v="255.11627906976744"/>
    <n v="0.53263445761166817"/>
    <x v="72"/>
    <n v="252.09090909090909"/>
    <d v="2022-08-14T00:00:00"/>
    <n v="356"/>
    <x v="4"/>
  </r>
  <r>
    <n v="960"/>
    <n v="13"/>
    <n v="181"/>
    <n v="4"/>
    <n v="724"/>
    <x v="48"/>
    <x v="15"/>
    <n v="117"/>
    <x v="3"/>
    <n v="265.47674418604652"/>
    <n v="-0.3182077000569401"/>
    <x v="16"/>
    <n v="276.67567567567568"/>
    <d v="2022-05-25T00:00:00"/>
    <n v="692"/>
    <x v="3"/>
  </r>
  <r>
    <n v="961"/>
    <n v="141"/>
    <n v="279"/>
    <n v="1"/>
    <n v="279"/>
    <x v="371"/>
    <x v="2"/>
    <n v="243"/>
    <x v="12"/>
    <n v="274.16279069767444"/>
    <n v="1.7643566036135372E-2"/>
    <x v="65"/>
    <n v="258.30769230769232"/>
    <d v="2022-04-30T00:00:00"/>
    <n v="643"/>
    <x v="2"/>
  </r>
  <r>
    <n v="962"/>
    <n v="120"/>
    <n v="229"/>
    <n v="5"/>
    <n v="1145"/>
    <x v="71"/>
    <x v="17"/>
    <n v="6"/>
    <x v="16"/>
    <n v="300.31818181818181"/>
    <n v="-0.23747540487361884"/>
    <x v="38"/>
    <n v="264"/>
    <d v="2022-05-29T00:00:00"/>
    <n v="220"/>
    <x v="3"/>
  </r>
  <r>
    <n v="963"/>
    <n v="316"/>
    <n v="97"/>
    <n v="4"/>
    <n v="388"/>
    <x v="261"/>
    <x v="9"/>
    <n v="283"/>
    <x v="3"/>
    <n v="265.47674418604652"/>
    <n v="-0.63461959616311159"/>
    <x v="3"/>
    <n v="236.27586206896552"/>
    <d v="2022-11-24T00:00:00"/>
    <n v="43"/>
    <x v="4"/>
  </r>
  <r>
    <n v="964"/>
    <n v="448"/>
    <n v="484"/>
    <n v="1"/>
    <n v="484"/>
    <x v="316"/>
    <x v="2"/>
    <n v="404"/>
    <x v="9"/>
    <n v="263.25423728813558"/>
    <n v="0.83852691218130326"/>
    <x v="9"/>
    <n v="257.78260869565219"/>
    <d v="2022-12-18T00:00:00"/>
    <n v="388"/>
    <x v="3"/>
  </r>
  <r>
    <n v="965"/>
    <n v="143"/>
    <n v="200"/>
    <n v="4"/>
    <n v="800"/>
    <x v="68"/>
    <x v="0"/>
    <n v="379"/>
    <x v="0"/>
    <n v="252.76271186440678"/>
    <n v="-0.20874404881646891"/>
    <x v="68"/>
    <n v="215.85714285714286"/>
    <d v="2022-01-20T00:00:00"/>
    <n v="725"/>
    <x v="4"/>
  </r>
  <r>
    <n v="966"/>
    <n v="168"/>
    <n v="206"/>
    <n v="4"/>
    <n v="824"/>
    <x v="244"/>
    <x v="14"/>
    <n v="136"/>
    <x v="18"/>
    <n v="255.11627906976744"/>
    <n v="-0.1925250683682771"/>
    <x v="72"/>
    <n v="252.09090909090909"/>
    <d v="2022-10-26T00:00:00"/>
    <n v="383"/>
    <x v="3"/>
  </r>
  <r>
    <n v="967"/>
    <n v="435"/>
    <n v="116"/>
    <n v="4"/>
    <n v="464"/>
    <x v="214"/>
    <x v="14"/>
    <n v="20"/>
    <x v="10"/>
    <n v="271.74545454545455"/>
    <n v="-0.57312993443061688"/>
    <x v="37"/>
    <n v="272.35294117647061"/>
    <d v="2022-05-10T00:00:00"/>
    <n v="346"/>
    <x v="0"/>
  </r>
  <r>
    <n v="968"/>
    <n v="375"/>
    <n v="212"/>
    <n v="3"/>
    <n v="636"/>
    <x v="118"/>
    <x v="19"/>
    <n v="369"/>
    <x v="3"/>
    <n v="265.47674418604652"/>
    <n v="-0.20143664316061494"/>
    <x v="3"/>
    <n v="236.27586206896552"/>
    <d v="2022-04-27T00:00:00"/>
    <n v="331"/>
    <x v="2"/>
  </r>
  <r>
    <n v="969"/>
    <n v="416"/>
    <n v="202"/>
    <n v="4"/>
    <n v="808"/>
    <x v="101"/>
    <x v="3"/>
    <n v="499"/>
    <x v="6"/>
    <n v="258.5128205128205"/>
    <n v="-0.21860741916286441"/>
    <x v="6"/>
    <n v="260.64705882352939"/>
    <d v="2022-08-25T00:00:00"/>
    <n v="487"/>
    <x v="1"/>
  </r>
  <r>
    <n v="970"/>
    <n v="25"/>
    <n v="332"/>
    <n v="3"/>
    <n v="996"/>
    <x v="75"/>
    <x v="9"/>
    <n v="153"/>
    <x v="14"/>
    <n v="273.72549019607845"/>
    <n v="0.21289398280802274"/>
    <x v="58"/>
    <n v="241.83333333333334"/>
    <d v="2022-08-29T00:00:00"/>
    <n v="362"/>
    <x v="2"/>
  </r>
  <r>
    <n v="971"/>
    <n v="236"/>
    <n v="420"/>
    <n v="5"/>
    <n v="2100"/>
    <x v="117"/>
    <x v="10"/>
    <n v="34"/>
    <x v="2"/>
    <n v="283.468085106383"/>
    <n v="0.48164827741499661"/>
    <x v="46"/>
    <n v="321.63636363636363"/>
    <d v="2022-04-03T00:00:00"/>
    <n v="606"/>
    <x v="4"/>
  </r>
  <r>
    <n v="972"/>
    <n v="418"/>
    <n v="139"/>
    <n v="2"/>
    <n v="278"/>
    <x v="408"/>
    <x v="17"/>
    <n v="337"/>
    <x v="12"/>
    <n v="274.16279069767444"/>
    <n v="-0.49300195097124444"/>
    <x v="76"/>
    <n v="369.2"/>
    <d v="2022-11-10T00:00:00"/>
    <n v="520"/>
    <x v="2"/>
  </r>
  <r>
    <n v="973"/>
    <n v="141"/>
    <n v="112"/>
    <n v="4"/>
    <n v="448"/>
    <x v="9"/>
    <x v="13"/>
    <n v="200"/>
    <x v="12"/>
    <n v="274.16279069767444"/>
    <n v="-0.59148358639409615"/>
    <x v="65"/>
    <n v="258.30769230769232"/>
    <d v="2022-08-10T00:00:00"/>
    <n v="249"/>
    <x v="0"/>
  </r>
  <r>
    <n v="974"/>
    <n v="294"/>
    <n v="485"/>
    <n v="3"/>
    <n v="1455"/>
    <x v="333"/>
    <x v="18"/>
    <n v="8"/>
    <x v="5"/>
    <n v="268.60344827586209"/>
    <n v="0.80563579177097355"/>
    <x v="5"/>
    <n v="281.96875"/>
    <d v="2022-11-18T00:00:00"/>
    <n v="447"/>
    <x v="1"/>
  </r>
  <r>
    <n v="975"/>
    <n v="497"/>
    <n v="120"/>
    <n v="1"/>
    <n v="120"/>
    <x v="328"/>
    <x v="14"/>
    <n v="280"/>
    <x v="17"/>
    <n v="267.85483870967744"/>
    <n v="-0.5519961462034082"/>
    <x v="35"/>
    <n v="250.25925925925927"/>
    <d v="2022-01-02T00:00:00"/>
    <n v="721"/>
    <x v="2"/>
  </r>
  <r>
    <n v="976"/>
    <n v="359"/>
    <n v="359"/>
    <n v="4"/>
    <n v="1436"/>
    <x v="320"/>
    <x v="5"/>
    <n v="94"/>
    <x v="10"/>
    <n v="271.74545454545455"/>
    <n v="0.32108925465007365"/>
    <x v="15"/>
    <n v="316.58333333333331"/>
    <d v="2022-06-11T00:00:00"/>
    <n v="659"/>
    <x v="3"/>
  </r>
  <r>
    <n v="977"/>
    <n v="175"/>
    <n v="198"/>
    <n v="3"/>
    <n v="594"/>
    <x v="279"/>
    <x v="3"/>
    <n v="331"/>
    <x v="4"/>
    <n v="250.48780487804879"/>
    <n v="-0.2095423563777995"/>
    <x v="75"/>
    <n v="208"/>
    <d v="2022-09-09T00:00:00"/>
    <n v="332"/>
    <x v="0"/>
  </r>
  <r>
    <n v="978"/>
    <n v="236"/>
    <n v="363"/>
    <n v="4"/>
    <n v="1452"/>
    <x v="233"/>
    <x v="1"/>
    <n v="405"/>
    <x v="2"/>
    <n v="283.468085106383"/>
    <n v="0.28056743976581844"/>
    <x v="46"/>
    <n v="321.63636363636363"/>
    <d v="2022-08-25T00:00:00"/>
    <n v="370"/>
    <x v="3"/>
  </r>
  <r>
    <n v="979"/>
    <n v="195"/>
    <n v="103"/>
    <n v="1"/>
    <n v="103"/>
    <x v="32"/>
    <x v="7"/>
    <n v="42"/>
    <x v="16"/>
    <n v="300.31818181818181"/>
    <n v="-0.65703042227940056"/>
    <x v="51"/>
    <n v="331.16666666666669"/>
    <d v="2022-08-10T00:00:00"/>
    <n v="214"/>
    <x v="4"/>
  </r>
  <r>
    <n v="980"/>
    <n v="364"/>
    <n v="401"/>
    <n v="2"/>
    <n v="802"/>
    <x v="138"/>
    <x v="17"/>
    <n v="271"/>
    <x v="0"/>
    <n v="252.76271186440678"/>
    <n v="0.58646818212298002"/>
    <x v="45"/>
    <n v="293.41176470588238"/>
    <d v="2022-11-27T00:00:00"/>
    <n v="189"/>
    <x v="1"/>
  </r>
  <r>
    <n v="981"/>
    <n v="347"/>
    <n v="139"/>
    <n v="1"/>
    <n v="139"/>
    <x v="356"/>
    <x v="13"/>
    <n v="56"/>
    <x v="3"/>
    <n v="265.47674418604652"/>
    <n v="-0.47641364811002584"/>
    <x v="16"/>
    <n v="276.67567567567568"/>
    <d v="2022-04-11T00:00:00"/>
    <n v="656"/>
    <x v="4"/>
  </r>
  <r>
    <n v="982"/>
    <n v="149"/>
    <n v="468"/>
    <n v="1"/>
    <n v="468"/>
    <x v="288"/>
    <x v="2"/>
    <n v="427"/>
    <x v="17"/>
    <n v="267.85483870967744"/>
    <n v="0.74721502980670795"/>
    <x v="35"/>
    <n v="250.25925925925927"/>
    <d v="2022-09-30T00:00:00"/>
    <n v="543"/>
    <x v="2"/>
  </r>
  <r>
    <n v="983"/>
    <n v="384"/>
    <n v="100"/>
    <n v="4"/>
    <n v="400"/>
    <x v="356"/>
    <x v="3"/>
    <n v="323"/>
    <x v="0"/>
    <n v="252.76271186440678"/>
    <n v="-0.60437202440823445"/>
    <x v="11"/>
    <n v="240.26666666666668"/>
    <d v="2022-09-17T00:00:00"/>
    <n v="497"/>
    <x v="4"/>
  </r>
  <r>
    <n v="984"/>
    <n v="404"/>
    <n v="304"/>
    <n v="5"/>
    <n v="1520"/>
    <x v="370"/>
    <x v="3"/>
    <n v="17"/>
    <x v="9"/>
    <n v="263.25423728813558"/>
    <n v="0.15477723409734745"/>
    <x v="9"/>
    <n v="257.78260869565219"/>
    <d v="2022-11-12T00:00:00"/>
    <n v="411"/>
    <x v="4"/>
  </r>
  <r>
    <n v="985"/>
    <n v="469"/>
    <n v="357"/>
    <n v="4"/>
    <n v="1428"/>
    <x v="288"/>
    <x v="16"/>
    <n v="165"/>
    <x v="0"/>
    <n v="252.76271186440678"/>
    <n v="0.41239187286260304"/>
    <x v="11"/>
    <n v="240.26666666666668"/>
    <d v="2022-02-07T00:00:00"/>
    <n v="778"/>
    <x v="4"/>
  </r>
  <r>
    <n v="986"/>
    <n v="134"/>
    <n v="89"/>
    <n v="5"/>
    <n v="445"/>
    <x v="172"/>
    <x v="19"/>
    <n v="403"/>
    <x v="6"/>
    <n v="258.5128205128205"/>
    <n v="-0.65572307081928183"/>
    <x v="6"/>
    <n v="260.64705882352939"/>
    <d v="2022-02-02T00:00:00"/>
    <n v="389"/>
    <x v="2"/>
  </r>
  <r>
    <n v="987"/>
    <n v="361"/>
    <n v="283"/>
    <n v="5"/>
    <n v="1415"/>
    <x v="13"/>
    <x v="0"/>
    <n v="274"/>
    <x v="10"/>
    <n v="271.74545454545455"/>
    <n v="4.141576341496056E-2"/>
    <x v="12"/>
    <n v="212.8125"/>
    <d v="2022-02-15T00:00:00"/>
    <n v="526"/>
    <x v="2"/>
  </r>
  <r>
    <n v="988"/>
    <n v="110"/>
    <n v="280"/>
    <n v="3"/>
    <n v="840"/>
    <x v="329"/>
    <x v="9"/>
    <n v="61"/>
    <x v="3"/>
    <n v="265.47674418604652"/>
    <n v="5.4706320353904658E-2"/>
    <x v="16"/>
    <n v="276.67567567567568"/>
    <d v="2022-07-27T00:00:00"/>
    <n v="352"/>
    <x v="4"/>
  </r>
  <r>
    <n v="989"/>
    <n v="280"/>
    <n v="459"/>
    <n v="4"/>
    <n v="1836"/>
    <x v="434"/>
    <x v="11"/>
    <n v="262"/>
    <x v="11"/>
    <n v="262.63492063492066"/>
    <n v="0.74767315363229758"/>
    <x v="21"/>
    <n v="238.72222222222223"/>
    <d v="2022-08-05T00:00:00"/>
    <n v="495"/>
    <x v="4"/>
  </r>
  <r>
    <n v="990"/>
    <n v="43"/>
    <n v="244"/>
    <n v="4"/>
    <n v="976"/>
    <x v="221"/>
    <x v="14"/>
    <n v="323"/>
    <x v="2"/>
    <n v="283.468085106383"/>
    <n v="-0.13923290550176393"/>
    <x v="31"/>
    <n v="323.07692307692309"/>
    <d v="2022-09-17T00:00:00"/>
    <n v="571"/>
    <x v="4"/>
  </r>
  <r>
    <n v="991"/>
    <n v="434"/>
    <n v="299"/>
    <n v="2"/>
    <n v="598"/>
    <x v="389"/>
    <x v="15"/>
    <n v="481"/>
    <x v="11"/>
    <n v="262.63492063492066"/>
    <n v="0.13846246827027664"/>
    <x v="47"/>
    <n v="271"/>
    <d v="2022-07-14T00:00:00"/>
    <n v="388"/>
    <x v="1"/>
  </r>
  <r>
    <n v="992"/>
    <n v="183"/>
    <n v="73"/>
    <n v="5"/>
    <n v="365"/>
    <x v="321"/>
    <x v="13"/>
    <n v="478"/>
    <x v="17"/>
    <n v="267.85483870967744"/>
    <n v="-0.72746432227374003"/>
    <x v="35"/>
    <n v="250.25925925925927"/>
    <d v="2022-06-14T00:00:00"/>
    <n v="591"/>
    <x v="3"/>
  </r>
  <r>
    <n v="993"/>
    <n v="224"/>
    <n v="421"/>
    <n v="3"/>
    <n v="1263"/>
    <x v="411"/>
    <x v="11"/>
    <n v="497"/>
    <x v="14"/>
    <n v="273.72549019607845"/>
    <n v="0.53803724928366758"/>
    <x v="22"/>
    <n v="280.23809523809524"/>
    <d v="2022-09-22T00:00:00"/>
    <n v="267"/>
    <x v="0"/>
  </r>
  <r>
    <n v="994"/>
    <n v="235"/>
    <n v="345"/>
    <n v="3"/>
    <n v="1035"/>
    <x v="316"/>
    <x v="0"/>
    <n v="406"/>
    <x v="16"/>
    <n v="300.31818181818181"/>
    <n v="0.14878159527773582"/>
    <x v="57"/>
    <n v="316.60000000000002"/>
    <d v="2022-11-30T00:00:00"/>
    <n v="406"/>
    <x v="3"/>
  </r>
  <r>
    <n v="995"/>
    <n v="477"/>
    <n v="50"/>
    <n v="1"/>
    <n v="50"/>
    <x v="279"/>
    <x v="7"/>
    <n v="58"/>
    <x v="3"/>
    <n v="265.47674418604652"/>
    <n v="-0.81165958565108842"/>
    <x v="3"/>
    <n v="236.27586206896552"/>
    <d v="2022-03-08T00:00:00"/>
    <n v="517"/>
    <x v="1"/>
  </r>
  <r>
    <n v="996"/>
    <n v="242"/>
    <n v="441"/>
    <n v="1"/>
    <n v="441"/>
    <x v="59"/>
    <x v="17"/>
    <n v="312"/>
    <x v="4"/>
    <n v="250.48780487804879"/>
    <n v="0.76056475170399218"/>
    <x v="25"/>
    <n v="303.8235294117647"/>
    <d v="2022-11-21T00:00:00"/>
    <n v="48"/>
    <x v="2"/>
  </r>
  <r>
    <n v="997"/>
    <n v="423"/>
    <n v="187"/>
    <n v="5"/>
    <n v="935"/>
    <x v="319"/>
    <x v="0"/>
    <n v="136"/>
    <x v="14"/>
    <n v="273.72549019607845"/>
    <n v="-0.31683381088825224"/>
    <x v="22"/>
    <n v="280.23809523809524"/>
    <d v="2022-10-26T00:00:00"/>
    <n v="387"/>
    <x v="3"/>
  </r>
  <r>
    <n v="998"/>
    <n v="414"/>
    <n v="170"/>
    <n v="1"/>
    <n v="170"/>
    <x v="435"/>
    <x v="4"/>
    <n v="328"/>
    <x v="12"/>
    <n v="274.16279069767444"/>
    <n v="-0.37993044363389605"/>
    <x v="18"/>
    <n v="253.6875"/>
    <d v="2022-01-07T00:00:00"/>
    <n v="680"/>
    <x v="2"/>
  </r>
  <r>
    <n v="999"/>
    <n v="110"/>
    <n v="114"/>
    <n v="3"/>
    <n v="342"/>
    <x v="133"/>
    <x v="14"/>
    <n v="172"/>
    <x v="3"/>
    <n v="265.47674418604652"/>
    <n v="-0.57058385528448163"/>
    <x v="16"/>
    <n v="276.67567567567568"/>
    <d v="2022-06-25T00:00:00"/>
    <n v="253"/>
    <x v="2"/>
  </r>
  <r>
    <n v="1000"/>
    <n v="296"/>
    <n v="453"/>
    <n v="1"/>
    <n v="453"/>
    <x v="176"/>
    <x v="7"/>
    <n v="167"/>
    <x v="18"/>
    <n v="255.11627906976744"/>
    <n v="0.7756608933454876"/>
    <x v="34"/>
    <n v="250.30769230769232"/>
    <d v="2022-01-02T00:00:00"/>
    <n v="7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85B37-3543-4BEC-9BBB-FE50BA96768D}" name="Сводная таблица2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8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numFmtId="165" showAll="0"/>
    <pivotField numFmtId="9" showAll="0"/>
    <pivotField showAll="0"/>
    <pivotField numFmtId="165" showAll="0"/>
    <pivotField numFmtId="1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</pivotFields>
  <rowFields count="1">
    <field x="15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Сумма по полю сумма чека" fld="4" baseField="0" baseItem="0" numFmtId="175"/>
  </dataFields>
  <formats count="1">
    <format dxfId="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A1868-FBA3-40BA-8C0F-CC5AFC0490B5}" name="Сводная таблица2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6">
  <location ref="A3:B21" firstHeaderRow="1" firstDataRow="1" firstDataCol="1" rowPageCount="1" colPageCount="1"/>
  <pivotFields count="18">
    <pivotField showAll="0"/>
    <pivotField showAll="0"/>
    <pivotField showAll="0"/>
    <pivotField showAll="0"/>
    <pivotField dataField="1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21">
        <item h="1" x="19"/>
        <item h="1" x="15"/>
        <item h="1" x="18"/>
        <item h="1" x="12"/>
        <item h="1" x="0"/>
        <item h="1" x="3"/>
        <item h="1" x="9"/>
        <item h="1" x="2"/>
        <item h="1" x="1"/>
        <item h="1" x="5"/>
        <item h="1" x="10"/>
        <item h="1" x="16"/>
        <item h="1" x="11"/>
        <item h="1" x="6"/>
        <item h="1" x="7"/>
        <item h="1" x="14"/>
        <item h="1" x="8"/>
        <item h="1" x="13"/>
        <item x="17"/>
        <item h="1" x="4"/>
        <item t="default"/>
      </items>
    </pivotField>
    <pivotField showAll="0"/>
    <pivotField showAll="0"/>
    <pivotField numFmtId="165" showAll="0"/>
    <pivotField numFmtId="9" showAll="0"/>
    <pivotField showAll="0"/>
    <pivotField numFmtId="165" showAll="0"/>
    <pivotField numFmtId="14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7"/>
    <field x="5"/>
  </rowFields>
  <rowItems count="18"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6" hier="-1"/>
  </pageFields>
  <dataFields count="1">
    <dataField name="Сумма по полю сумма чека" fld="4" baseField="0" baseItem="0" numFmtId="166"/>
  </dataFields>
  <formats count="1">
    <format dxfId="50">
      <pivotArea outline="0" collapsedLevelsAreSubtotals="1" fieldPosition="0"/>
    </format>
  </formats>
  <chartFormats count="2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F4552-3101-46A7-99B4-5FCA7CF68B44}" name="Сводная таблица3" cacheId="38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6">
  <location ref="A3:B23" firstHeaderRow="1" firstDataRow="1" firstDataCol="1"/>
  <pivotFields count="18">
    <pivotField showAll="0"/>
    <pivotField showAll="0"/>
    <pivotField showAll="0"/>
    <pivotField showAll="0"/>
    <pivotField showAll="0"/>
    <pivotField numFmtId="164" showAll="0"/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dataField="1" numFmtId="9" showAll="0"/>
    <pivotField showAll="0"/>
    <pivotField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ов" fld="10" subtotal="average" baseField="6" baseItem="5" numFmtId="9"/>
  </dataFields>
  <formats count="1">
    <format dxfId="49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B37CE-F08F-414C-B1CF-C1EEA2C14DE1}" name="Сводная таблица4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 rowHeaderCaption="Продуктовая сеть">
  <location ref="A3:B24" firstHeaderRow="1" firstDataRow="1" firstDataCol="1"/>
  <pivotFields count="18">
    <pivotField showAll="0"/>
    <pivotField showAll="0"/>
    <pivotField showAll="0"/>
    <pivotField showAll="0"/>
    <pivotField dataField="1" showAll="0"/>
    <pivotField numFmtId="164" showAll="0"/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9" showAll="0"/>
    <pivotField showAll="0"/>
    <pivotField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0" baseItem="0" numFmtId="166"/>
  </dataFields>
  <formats count="3">
    <format dxfId="48">
      <pivotArea collapsedLevelsAreSubtotals="1" fieldPosition="0">
        <references count="1">
          <reference field="6" count="0"/>
        </references>
      </pivotArea>
    </format>
    <format dxfId="47">
      <pivotArea grandRow="1" outline="0" collapsedLevelsAreSubtotals="1" fieldPosition="0"/>
    </format>
    <format dxfId="46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8A1AE-CC03-4A4E-998D-DCC46B919C01}" name="Сводная таблица1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9">
  <location ref="A3:B82" firstHeaderRow="1" firstDataRow="1" firstDataCol="1"/>
  <pivotFields count="18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5" showAll="0"/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11"/>
  </rowFields>
  <rowItems count="79">
    <i>
      <x v="1"/>
    </i>
    <i>
      <x v="31"/>
    </i>
    <i>
      <x v="35"/>
    </i>
    <i>
      <x v="33"/>
    </i>
    <i>
      <x v="19"/>
    </i>
    <i>
      <x v="44"/>
    </i>
    <i>
      <x v="74"/>
    </i>
    <i>
      <x v="5"/>
    </i>
    <i>
      <x v="70"/>
    </i>
    <i>
      <x v="46"/>
    </i>
    <i>
      <x v="12"/>
    </i>
    <i>
      <x v="52"/>
    </i>
    <i>
      <x v="38"/>
    </i>
    <i>
      <x v="28"/>
    </i>
    <i>
      <x v="32"/>
    </i>
    <i>
      <x v="13"/>
    </i>
    <i>
      <x v="41"/>
    </i>
    <i>
      <x v="15"/>
    </i>
    <i>
      <x v="51"/>
    </i>
    <i>
      <x v="53"/>
    </i>
    <i>
      <x v="2"/>
    </i>
    <i>
      <x v="18"/>
    </i>
    <i>
      <x v="49"/>
    </i>
    <i>
      <x v="72"/>
    </i>
    <i>
      <x v="67"/>
    </i>
    <i>
      <x v="64"/>
    </i>
    <i>
      <x v="69"/>
    </i>
    <i>
      <x v="68"/>
    </i>
    <i>
      <x v="9"/>
    </i>
    <i>
      <x v="43"/>
    </i>
    <i>
      <x v="4"/>
    </i>
    <i>
      <x v="27"/>
    </i>
    <i>
      <x v="56"/>
    </i>
    <i>
      <x v="34"/>
    </i>
    <i>
      <x v="42"/>
    </i>
    <i>
      <x v="62"/>
    </i>
    <i>
      <x v="10"/>
    </i>
    <i>
      <x v="63"/>
    </i>
    <i>
      <x v="21"/>
    </i>
    <i>
      <x v="59"/>
    </i>
    <i>
      <x/>
    </i>
    <i>
      <x v="25"/>
    </i>
    <i>
      <x v="40"/>
    </i>
    <i>
      <x v="36"/>
    </i>
    <i>
      <x v="6"/>
    </i>
    <i>
      <x v="66"/>
    </i>
    <i>
      <x v="48"/>
    </i>
    <i>
      <x v="7"/>
    </i>
    <i>
      <x v="55"/>
    </i>
    <i>
      <x v="73"/>
    </i>
    <i>
      <x v="77"/>
    </i>
    <i>
      <x v="65"/>
    </i>
    <i>
      <x v="17"/>
    </i>
    <i>
      <x v="20"/>
    </i>
    <i>
      <x v="75"/>
    </i>
    <i>
      <x v="24"/>
    </i>
    <i>
      <x v="16"/>
    </i>
    <i>
      <x v="26"/>
    </i>
    <i>
      <x v="50"/>
    </i>
    <i>
      <x v="45"/>
    </i>
    <i>
      <x v="61"/>
    </i>
    <i>
      <x v="8"/>
    </i>
    <i>
      <x v="30"/>
    </i>
    <i>
      <x v="60"/>
    </i>
    <i>
      <x v="22"/>
    </i>
    <i>
      <x v="47"/>
    </i>
    <i>
      <x v="76"/>
    </i>
    <i>
      <x v="39"/>
    </i>
    <i>
      <x v="71"/>
    </i>
    <i>
      <x v="57"/>
    </i>
    <i>
      <x v="14"/>
    </i>
    <i>
      <x v="54"/>
    </i>
    <i>
      <x v="58"/>
    </i>
    <i>
      <x v="23"/>
    </i>
    <i>
      <x v="3"/>
    </i>
    <i>
      <x v="29"/>
    </i>
    <i>
      <x v="11"/>
    </i>
    <i>
      <x v="37"/>
    </i>
    <i t="grand">
      <x/>
    </i>
  </rowItems>
  <colItems count="1">
    <i/>
  </colItems>
  <dataFields count="1">
    <dataField name="Среднее по полю Средняя стоимость в категории по поставщику" fld="12" subtotal="average" baseField="11" baseItem="29" numFmtId="165"/>
  </dataFields>
  <formats count="1">
    <format dxfId="45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4C989-2226-4D1A-9070-48C896231948}" name="Сводная таблица2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B82" firstHeaderRow="1" firstDataRow="1" firstDataCol="1"/>
  <pivotFields count="18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numFmtId="165" showAll="0"/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11"/>
  </rowFields>
  <rowItems count="79">
    <i>
      <x v="43"/>
    </i>
    <i>
      <x v="67"/>
    </i>
    <i>
      <x v="63"/>
    </i>
    <i>
      <x v="2"/>
    </i>
    <i>
      <x v="17"/>
    </i>
    <i>
      <x v="22"/>
    </i>
    <i>
      <x v="27"/>
    </i>
    <i>
      <x v="9"/>
    </i>
    <i>
      <x v="21"/>
    </i>
    <i>
      <x v="49"/>
    </i>
    <i>
      <x v="4"/>
    </i>
    <i>
      <x v="41"/>
    </i>
    <i>
      <x v="36"/>
    </i>
    <i>
      <x v="62"/>
    </i>
    <i>
      <x v="45"/>
    </i>
    <i>
      <x v="48"/>
    </i>
    <i>
      <x v="6"/>
    </i>
    <i>
      <x v="51"/>
    </i>
    <i>
      <x v="69"/>
    </i>
    <i>
      <x v="38"/>
    </i>
    <i>
      <x v="75"/>
    </i>
    <i>
      <x v="30"/>
    </i>
    <i>
      <x v="52"/>
    </i>
    <i>
      <x v="20"/>
    </i>
    <i>
      <x v="8"/>
    </i>
    <i>
      <x v="61"/>
    </i>
    <i>
      <x v="74"/>
    </i>
    <i>
      <x v="19"/>
    </i>
    <i>
      <x v="73"/>
    </i>
    <i>
      <x v="56"/>
    </i>
    <i>
      <x v="46"/>
    </i>
    <i>
      <x v="66"/>
    </i>
    <i>
      <x v="31"/>
    </i>
    <i>
      <x v="39"/>
    </i>
    <i>
      <x v="54"/>
    </i>
    <i>
      <x v="44"/>
    </i>
    <i>
      <x v="13"/>
    </i>
    <i>
      <x v="33"/>
    </i>
    <i>
      <x v="42"/>
    </i>
    <i>
      <x v="35"/>
    </i>
    <i>
      <x/>
    </i>
    <i>
      <x v="60"/>
    </i>
    <i>
      <x v="26"/>
    </i>
    <i>
      <x v="28"/>
    </i>
    <i>
      <x v="50"/>
    </i>
    <i>
      <x v="5"/>
    </i>
    <i>
      <x v="72"/>
    </i>
    <i>
      <x v="65"/>
    </i>
    <i>
      <x v="55"/>
    </i>
    <i>
      <x v="77"/>
    </i>
    <i>
      <x v="47"/>
    </i>
    <i>
      <x v="76"/>
    </i>
    <i>
      <x v="18"/>
    </i>
    <i>
      <x v="24"/>
    </i>
    <i>
      <x v="71"/>
    </i>
    <i>
      <x v="58"/>
    </i>
    <i>
      <x v="7"/>
    </i>
    <i>
      <x v="15"/>
    </i>
    <i>
      <x v="32"/>
    </i>
    <i>
      <x v="1"/>
    </i>
    <i>
      <x v="34"/>
    </i>
    <i>
      <x v="25"/>
    </i>
    <i>
      <x v="16"/>
    </i>
    <i>
      <x v="12"/>
    </i>
    <i>
      <x v="68"/>
    </i>
    <i>
      <x v="57"/>
    </i>
    <i>
      <x v="59"/>
    </i>
    <i>
      <x v="40"/>
    </i>
    <i>
      <x v="14"/>
    </i>
    <i>
      <x v="10"/>
    </i>
    <i>
      <x v="53"/>
    </i>
    <i>
      <x v="70"/>
    </i>
    <i>
      <x v="64"/>
    </i>
    <i>
      <x v="29"/>
    </i>
    <i>
      <x v="3"/>
    </i>
    <i>
      <x v="11"/>
    </i>
    <i>
      <x v="23"/>
    </i>
    <i>
      <x v="37"/>
    </i>
    <i t="grand">
      <x/>
    </i>
  </rowItems>
  <colItems count="1">
    <i/>
  </colItems>
  <dataFields count="1">
    <dataField name="GMV" fld="4" baseField="11" baseItem="0"/>
  </dataFields>
  <formats count="2">
    <format dxfId="44">
      <pivotArea collapsedLevelsAreSubtotals="1" fieldPosition="0">
        <references count="1">
          <reference field="11" count="0"/>
        </references>
      </pivotArea>
    </format>
    <format dxfId="43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A2E9-9B69-439D-B5BB-99B3DFC63BA4}" name="Сводная таблица3" cacheId="3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B24" firstHeaderRow="1" firstDataRow="1" firstDataCol="1"/>
  <pivotFields count="18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8"/>
  </rowFields>
  <rowItems count="21">
    <i>
      <x v="5"/>
    </i>
    <i>
      <x v="2"/>
    </i>
    <i>
      <x v="7"/>
    </i>
    <i>
      <x v="13"/>
    </i>
    <i>
      <x v="19"/>
    </i>
    <i>
      <x v="14"/>
    </i>
    <i>
      <x v="15"/>
    </i>
    <i>
      <x v="12"/>
    </i>
    <i>
      <x v="18"/>
    </i>
    <i>
      <x v="17"/>
    </i>
    <i>
      <x v="6"/>
    </i>
    <i>
      <x/>
    </i>
    <i>
      <x v="9"/>
    </i>
    <i>
      <x v="16"/>
    </i>
    <i>
      <x v="11"/>
    </i>
    <i>
      <x v="8"/>
    </i>
    <i>
      <x v="3"/>
    </i>
    <i>
      <x v="4"/>
    </i>
    <i>
      <x v="10"/>
    </i>
    <i>
      <x v="1"/>
    </i>
    <i t="grand">
      <x/>
    </i>
  </rowItems>
  <colItems count="1">
    <i/>
  </colItems>
  <dataFields count="1">
    <dataField name="GMV" fld="4" baseField="8" baseItem="0" numFmtId="166"/>
  </dataFields>
  <formats count="1">
    <format dxfId="4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7FA0D-31CF-4FD4-A6C9-026292D9C913}" name="Сводная таблица1" cacheId="38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2">
  <location ref="A3:B23" firstHeaderRow="1" firstDataRow="1" firstDataCol="1"/>
  <pivotFields count="18"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165" showAll="0"/>
    <pivotField numFmtId="14" showAll="0"/>
    <pivotField showAll="0"/>
    <pivotField showAll="0"/>
    <pivotField showAll="0" defaultSubtotal="0"/>
    <pivotField showAll="0" defaultSubtotal="0"/>
  </pivotFields>
  <rowFields count="1">
    <field x="8"/>
  </rowFields>
  <rowItems count="20">
    <i>
      <x v="6"/>
    </i>
    <i>
      <x v="10"/>
    </i>
    <i>
      <x v="8"/>
    </i>
    <i>
      <x v="12"/>
    </i>
    <i>
      <x v="11"/>
    </i>
    <i>
      <x v="7"/>
    </i>
    <i>
      <x v="17"/>
    </i>
    <i>
      <x v="14"/>
    </i>
    <i>
      <x v="9"/>
    </i>
    <i>
      <x v="19"/>
    </i>
    <i>
      <x v="3"/>
    </i>
    <i>
      <x v="2"/>
    </i>
    <i>
      <x v="13"/>
    </i>
    <i>
      <x v="16"/>
    </i>
    <i>
      <x v="5"/>
    </i>
    <i>
      <x v="18"/>
    </i>
    <i>
      <x v="1"/>
    </i>
    <i>
      <x/>
    </i>
    <i>
      <x v="4"/>
    </i>
    <i>
      <x v="15"/>
    </i>
  </rowItems>
  <colItems count="1">
    <i/>
  </colItems>
  <dataFields count="1">
    <dataField name="Среднее по полю кол-во штук в чеке" fld="3" subtotal="average" baseField="8" baseItem="0"/>
  </dataFields>
  <formats count="2">
    <format dxfId="41">
      <pivotArea collapsedLevelsAreSubtotals="1" fieldPosition="0">
        <references count="1">
          <reference field="8" count="0"/>
        </references>
      </pivotArea>
    </format>
    <format dxfId="40">
      <pivotArea dataOnly="0" labelOnly="1" fieldPosition="0">
        <references count="1">
          <reference field="8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DDF93-183E-4BA4-897C-1B2BB8A884C7}" name="Сводная таблица2" cacheId="3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5">
  <location ref="A3:B6" firstHeaderRow="1" firstDataRow="1" firstDataCol="1"/>
  <pivotFields count="12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numFmtId="165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id клиента" fld="0" subtotal="count" baseField="3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D8AA9-575A-4FBB-AAFC-75C842F10826}" name="Сводная таблица6" cacheId="3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2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showAll="0"/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9DB2B-66A7-4562-8934-CC87261FD076}" name="Сводная таблица1" cacheId="30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6">
  <location ref="A3:B437" firstHeaderRow="1" firstDataRow="1" firstDataCol="1"/>
  <pivotFields count="12">
    <pivotField showAll="0"/>
    <pivotField showAll="0"/>
    <pivotField axis="axisRow" showAll="0" sortType="descending">
      <items count="667">
        <item x="190"/>
        <item x="403"/>
        <item x="51"/>
        <item x="84"/>
        <item m="1" x="457"/>
        <item x="428"/>
        <item x="134"/>
        <item m="1" x="645"/>
        <item m="1" x="439"/>
        <item m="1" x="657"/>
        <item m="1" x="606"/>
        <item m="1" x="448"/>
        <item m="1" x="658"/>
        <item m="1" x="602"/>
        <item m="1" x="435"/>
        <item m="1" x="589"/>
        <item m="1" x="651"/>
        <item m="1" x="493"/>
        <item m="1" x="474"/>
        <item m="1" x="522"/>
        <item m="1" x="636"/>
        <item m="1" x="444"/>
        <item m="1" x="447"/>
        <item m="1" x="583"/>
        <item x="32"/>
        <item m="1" x="618"/>
        <item m="1" x="646"/>
        <item m="1" x="634"/>
        <item m="1" x="620"/>
        <item m="1" x="609"/>
        <item m="1" x="520"/>
        <item m="1" x="538"/>
        <item m="1" x="556"/>
        <item m="1" x="545"/>
        <item m="1" x="582"/>
        <item m="1" x="557"/>
        <item m="1" x="499"/>
        <item m="1" x="515"/>
        <item m="1" x="571"/>
        <item m="1" x="527"/>
        <item m="1" x="550"/>
        <item m="1" x="594"/>
        <item x="272"/>
        <item x="426"/>
        <item m="1" x="464"/>
        <item x="234"/>
        <item x="370"/>
        <item x="178"/>
        <item x="109"/>
        <item x="430"/>
        <item x="23"/>
        <item x="186"/>
        <item x="104"/>
        <item x="101"/>
        <item x="383"/>
        <item x="197"/>
        <item m="1" x="639"/>
        <item x="117"/>
        <item x="173"/>
        <item x="112"/>
        <item m="1" x="446"/>
        <item m="1" x="540"/>
        <item m="1" x="469"/>
        <item m="1" x="480"/>
        <item m="1" x="484"/>
        <item m="1" x="503"/>
        <item m="1" x="555"/>
        <item x="135"/>
        <item x="366"/>
        <item m="1" x="521"/>
        <item m="1" x="561"/>
        <item m="1" x="535"/>
        <item m="1" x="616"/>
        <item m="1" x="648"/>
        <item m="1" x="590"/>
        <item m="1" x="548"/>
        <item m="1" x="485"/>
        <item m="1" x="612"/>
        <item m="1" x="665"/>
        <item x="25"/>
        <item x="127"/>
        <item x="225"/>
        <item m="1" x="479"/>
        <item x="305"/>
        <item x="229"/>
        <item x="324"/>
        <item x="404"/>
        <item x="188"/>
        <item x="429"/>
        <item x="352"/>
        <item m="1" x="461"/>
        <item m="1" x="619"/>
        <item m="1" x="471"/>
        <item x="18"/>
        <item x="293"/>
        <item m="1" x="476"/>
        <item m="1" x="523"/>
        <item m="1" x="459"/>
        <item m="1" x="490"/>
        <item m="1" x="467"/>
        <item m="1" x="663"/>
        <item m="1" x="497"/>
        <item m="1" x="465"/>
        <item m="1" x="652"/>
        <item x="348"/>
        <item x="103"/>
        <item m="1" x="640"/>
        <item x="53"/>
        <item x="387"/>
        <item m="1" x="546"/>
        <item x="388"/>
        <item x="325"/>
        <item x="214"/>
        <item x="11"/>
        <item x="110"/>
        <item x="239"/>
        <item x="139"/>
        <item m="1" x="436"/>
        <item m="1" x="598"/>
        <item x="254"/>
        <item m="1" x="614"/>
        <item m="1" x="577"/>
        <item m="1" x="638"/>
        <item m="1" x="512"/>
        <item x="91"/>
        <item x="273"/>
        <item m="1" x="518"/>
        <item x="96"/>
        <item m="1" x="628"/>
        <item m="1" x="434"/>
        <item m="1" x="613"/>
        <item x="243"/>
        <item m="1" x="591"/>
        <item m="1" x="581"/>
        <item m="1" x="449"/>
        <item m="1" x="442"/>
        <item m="1" x="635"/>
        <item m="1" x="558"/>
        <item m="1" x="532"/>
        <item m="1" x="605"/>
        <item m="1" x="507"/>
        <item x="417"/>
        <item m="1" x="627"/>
        <item x="107"/>
        <item x="378"/>
        <item x="332"/>
        <item x="233"/>
        <item x="284"/>
        <item x="86"/>
        <item m="1" x="659"/>
        <item x="129"/>
        <item x="81"/>
        <item x="317"/>
        <item x="210"/>
        <item x="124"/>
        <item m="1" x="494"/>
        <item m="1" x="656"/>
        <item m="1" x="513"/>
        <item m="1" x="482"/>
        <item x="153"/>
        <item x="132"/>
        <item m="1" x="455"/>
        <item m="1" x="623"/>
        <item x="37"/>
        <item x="414"/>
        <item m="1" x="470"/>
        <item x="69"/>
        <item m="1" x="601"/>
        <item m="1" x="452"/>
        <item m="1" x="477"/>
        <item m="1" x="633"/>
        <item m="1" x="505"/>
        <item m="1" x="541"/>
        <item m="1" x="572"/>
        <item x="224"/>
        <item m="1" x="664"/>
        <item m="1" x="500"/>
        <item x="155"/>
        <item x="306"/>
        <item x="5"/>
        <item m="1" x="587"/>
        <item m="1" x="608"/>
        <item x="34"/>
        <item m="1" x="516"/>
        <item m="1" x="475"/>
        <item m="1" x="445"/>
        <item x="120"/>
        <item x="398"/>
        <item m="1" x="576"/>
        <item m="1" x="588"/>
        <item x="391"/>
        <item x="95"/>
        <item x="50"/>
        <item m="1" x="504"/>
        <item x="288"/>
        <item x="375"/>
        <item m="1" x="621"/>
        <item x="421"/>
        <item x="335"/>
        <item x="323"/>
        <item m="1" x="629"/>
        <item x="413"/>
        <item x="111"/>
        <item x="198"/>
        <item x="301"/>
        <item x="213"/>
        <item m="1" x="553"/>
        <item x="16"/>
        <item x="26"/>
        <item x="384"/>
        <item x="99"/>
        <item x="259"/>
        <item x="143"/>
        <item x="300"/>
        <item m="1" x="473"/>
        <item x="412"/>
        <item x="341"/>
        <item m="1" x="592"/>
        <item x="255"/>
        <item x="116"/>
        <item x="100"/>
        <item x="131"/>
        <item m="1" x="511"/>
        <item m="1" x="463"/>
        <item m="1" x="607"/>
        <item m="1" x="599"/>
        <item m="1" x="631"/>
        <item m="1" x="575"/>
        <item m="1" x="458"/>
        <item m="1" x="564"/>
        <item m="1" x="498"/>
        <item x="194"/>
        <item x="41"/>
        <item m="1" x="472"/>
        <item x="70"/>
        <item x="368"/>
        <item m="1" x="491"/>
        <item m="1" x="611"/>
        <item m="1" x="508"/>
        <item m="1" x="610"/>
        <item m="1" x="456"/>
        <item m="1" x="539"/>
        <item m="1" x="653"/>
        <item m="1" x="478"/>
        <item m="1" x="543"/>
        <item m="1" x="495"/>
        <item m="1" x="517"/>
        <item m="1" x="566"/>
        <item m="1" x="642"/>
        <item x="167"/>
        <item x="217"/>
        <item m="1" x="443"/>
        <item m="1" x="650"/>
        <item m="1" x="617"/>
        <item m="1" x="534"/>
        <item x="215"/>
        <item x="296"/>
        <item m="1" x="547"/>
        <item x="381"/>
        <item m="1" x="483"/>
        <item m="1" x="502"/>
        <item m="1" x="496"/>
        <item x="329"/>
        <item x="137"/>
        <item x="169"/>
        <item x="333"/>
        <item x="241"/>
        <item m="1" x="529"/>
        <item x="88"/>
        <item x="392"/>
        <item m="1" x="481"/>
        <item m="1" x="528"/>
        <item x="161"/>
        <item x="385"/>
        <item x="415"/>
        <item x="340"/>
        <item m="1" x="569"/>
        <item x="357"/>
        <item x="46"/>
        <item x="303"/>
        <item x="200"/>
        <item x="185"/>
        <item m="1" x="660"/>
        <item x="267"/>
        <item x="236"/>
        <item m="1" x="531"/>
        <item x="226"/>
        <item x="373"/>
        <item m="1" x="568"/>
        <item m="1" x="584"/>
        <item m="1" x="655"/>
        <item x="105"/>
        <item x="346"/>
        <item x="218"/>
        <item m="1" x="604"/>
        <item m="1" x="526"/>
        <item x="90"/>
        <item m="1" x="570"/>
        <item m="1" x="437"/>
        <item x="202"/>
        <item m="1" x="462"/>
        <item m="1" x="544"/>
        <item x="356"/>
        <item x="351"/>
        <item x="19"/>
        <item x="3"/>
        <item x="128"/>
        <item x="389"/>
        <item x="405"/>
        <item m="1" x="453"/>
        <item m="1" x="562"/>
        <item m="1" x="510"/>
        <item x="314"/>
        <item x="7"/>
        <item x="57"/>
        <item m="1" x="519"/>
        <item m="1" x="580"/>
        <item m="1" x="574"/>
        <item x="68"/>
        <item x="382"/>
        <item m="1" x="644"/>
        <item x="36"/>
        <item x="292"/>
        <item x="42"/>
        <item x="353"/>
        <item m="1" x="525"/>
        <item m="1" x="440"/>
        <item m="1" x="492"/>
        <item m="1" x="501"/>
        <item m="1" x="600"/>
        <item m="1" x="615"/>
        <item m="1" x="441"/>
        <item m="1" x="637"/>
        <item m="1" x="537"/>
        <item m="1" x="551"/>
        <item m="1" x="573"/>
        <item x="336"/>
        <item m="1" x="487"/>
        <item x="126"/>
        <item x="179"/>
        <item m="1" x="552"/>
        <item x="146"/>
        <item x="182"/>
        <item x="377"/>
        <item m="1" x="632"/>
        <item x="187"/>
        <item x="142"/>
        <item x="158"/>
        <item x="47"/>
        <item x="191"/>
        <item m="1" x="579"/>
        <item m="1" x="454"/>
        <item x="290"/>
        <item m="1" x="567"/>
        <item m="1" x="549"/>
        <item x="77"/>
        <item x="318"/>
        <item m="1" x="596"/>
        <item x="355"/>
        <item m="1" x="451"/>
        <item x="97"/>
        <item x="262"/>
        <item x="163"/>
        <item x="20"/>
        <item m="1" x="524"/>
        <item m="1" x="578"/>
        <item m="1" x="563"/>
        <item x="48"/>
        <item x="409"/>
        <item x="208"/>
        <item x="174"/>
        <item x="192"/>
        <item m="1" x="565"/>
        <item m="1" x="662"/>
        <item m="1" x="506"/>
        <item m="1" x="624"/>
        <item x="220"/>
        <item x="121"/>
        <item x="390"/>
        <item x="141"/>
        <item x="394"/>
        <item m="1" x="626"/>
        <item m="1" x="514"/>
        <item x="102"/>
        <item x="204"/>
        <item x="199"/>
        <item m="1" x="542"/>
        <item m="1" x="661"/>
        <item m="1" x="486"/>
        <item m="1" x="559"/>
        <item x="150"/>
        <item x="246"/>
        <item x="40"/>
        <item x="89"/>
        <item m="1" x="625"/>
        <item m="1" x="450"/>
        <item m="1" x="654"/>
        <item m="1" x="560"/>
        <item m="1" x="536"/>
        <item m="1" x="622"/>
        <item x="130"/>
        <item x="43"/>
        <item m="1" x="488"/>
        <item x="203"/>
        <item x="256"/>
        <item x="297"/>
        <item x="369"/>
        <item m="1" x="530"/>
        <item m="1" x="438"/>
        <item m="1" x="647"/>
        <item x="184"/>
        <item m="1" x="554"/>
        <item m="1" x="649"/>
        <item x="183"/>
        <item x="285"/>
        <item x="261"/>
        <item x="343"/>
        <item m="1" x="641"/>
        <item m="1" x="460"/>
        <item m="1" x="489"/>
        <item m="1" x="603"/>
        <item m="1" x="593"/>
        <item m="1" x="585"/>
        <item m="1" x="466"/>
        <item m="1" x="586"/>
        <item m="1" x="630"/>
        <item m="1" x="643"/>
        <item m="1" x="597"/>
        <item m="1" x="533"/>
        <item m="1" x="468"/>
        <item m="1" x="595"/>
        <item m="1" x="509"/>
        <item x="148"/>
        <item x="393"/>
        <item x="0"/>
        <item x="1"/>
        <item x="2"/>
        <item x="4"/>
        <item x="6"/>
        <item x="8"/>
        <item x="9"/>
        <item x="10"/>
        <item x="12"/>
        <item x="13"/>
        <item x="14"/>
        <item x="15"/>
        <item x="17"/>
        <item x="21"/>
        <item x="22"/>
        <item x="24"/>
        <item x="27"/>
        <item x="28"/>
        <item x="29"/>
        <item x="30"/>
        <item x="31"/>
        <item x="33"/>
        <item x="35"/>
        <item x="38"/>
        <item x="39"/>
        <item x="44"/>
        <item x="45"/>
        <item x="49"/>
        <item x="52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71"/>
        <item x="72"/>
        <item x="73"/>
        <item x="74"/>
        <item x="75"/>
        <item x="76"/>
        <item x="78"/>
        <item x="79"/>
        <item x="80"/>
        <item x="82"/>
        <item x="83"/>
        <item x="85"/>
        <item x="87"/>
        <item x="92"/>
        <item x="93"/>
        <item x="94"/>
        <item x="98"/>
        <item x="106"/>
        <item x="108"/>
        <item x="113"/>
        <item x="114"/>
        <item x="115"/>
        <item x="118"/>
        <item x="119"/>
        <item x="122"/>
        <item x="123"/>
        <item x="125"/>
        <item x="133"/>
        <item x="136"/>
        <item x="138"/>
        <item x="140"/>
        <item x="144"/>
        <item x="145"/>
        <item x="147"/>
        <item x="149"/>
        <item x="151"/>
        <item x="152"/>
        <item x="154"/>
        <item x="156"/>
        <item x="157"/>
        <item x="159"/>
        <item x="160"/>
        <item x="162"/>
        <item x="164"/>
        <item x="165"/>
        <item x="166"/>
        <item x="168"/>
        <item x="170"/>
        <item x="171"/>
        <item x="172"/>
        <item x="175"/>
        <item x="176"/>
        <item x="177"/>
        <item x="180"/>
        <item x="181"/>
        <item x="189"/>
        <item x="193"/>
        <item x="195"/>
        <item x="196"/>
        <item x="201"/>
        <item x="205"/>
        <item x="206"/>
        <item x="207"/>
        <item x="209"/>
        <item x="211"/>
        <item x="212"/>
        <item x="216"/>
        <item x="219"/>
        <item x="221"/>
        <item x="222"/>
        <item x="223"/>
        <item x="227"/>
        <item x="228"/>
        <item x="230"/>
        <item x="231"/>
        <item x="232"/>
        <item x="235"/>
        <item x="237"/>
        <item x="238"/>
        <item x="240"/>
        <item x="242"/>
        <item x="244"/>
        <item x="245"/>
        <item x="247"/>
        <item x="248"/>
        <item x="249"/>
        <item x="250"/>
        <item x="251"/>
        <item x="252"/>
        <item x="253"/>
        <item x="257"/>
        <item x="258"/>
        <item x="260"/>
        <item x="263"/>
        <item x="264"/>
        <item x="265"/>
        <item x="266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6"/>
        <item x="287"/>
        <item x="289"/>
        <item x="291"/>
        <item x="294"/>
        <item x="295"/>
        <item x="298"/>
        <item x="299"/>
        <item x="302"/>
        <item x="304"/>
        <item x="307"/>
        <item x="308"/>
        <item x="309"/>
        <item x="310"/>
        <item x="311"/>
        <item x="312"/>
        <item x="313"/>
        <item x="315"/>
        <item x="316"/>
        <item x="319"/>
        <item x="320"/>
        <item x="321"/>
        <item x="322"/>
        <item x="326"/>
        <item x="327"/>
        <item x="328"/>
        <item x="330"/>
        <item x="331"/>
        <item x="334"/>
        <item x="337"/>
        <item x="338"/>
        <item x="339"/>
        <item x="342"/>
        <item x="344"/>
        <item x="345"/>
        <item x="347"/>
        <item x="349"/>
        <item x="350"/>
        <item x="354"/>
        <item x="358"/>
        <item x="359"/>
        <item x="360"/>
        <item x="361"/>
        <item x="362"/>
        <item x="363"/>
        <item x="364"/>
        <item x="365"/>
        <item x="367"/>
        <item x="371"/>
        <item x="372"/>
        <item x="374"/>
        <item x="376"/>
        <item x="379"/>
        <item x="380"/>
        <item x="386"/>
        <item x="395"/>
        <item x="396"/>
        <item x="397"/>
        <item x="399"/>
        <item x="400"/>
        <item x="401"/>
        <item x="402"/>
        <item x="406"/>
        <item x="407"/>
        <item x="408"/>
        <item x="410"/>
        <item x="411"/>
        <item x="416"/>
        <item x="418"/>
        <item x="419"/>
        <item x="420"/>
        <item x="422"/>
        <item x="423"/>
        <item x="424"/>
        <item x="425"/>
        <item x="427"/>
        <item x="431"/>
        <item x="432"/>
        <item x="4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numFmtId="14" showAll="0"/>
    <pivotField dataField="1" numFmtId="165" showAll="0"/>
    <pivotField showAll="0"/>
    <pivotField showAll="0"/>
    <pivotField showAll="0"/>
  </pivotFields>
  <rowFields count="1">
    <field x="2"/>
  </rowFields>
  <rowItems count="434">
    <i>
      <x v="536"/>
    </i>
    <i>
      <x v="151"/>
    </i>
    <i>
      <x v="505"/>
    </i>
    <i>
      <x v="59"/>
    </i>
    <i>
      <x v="448"/>
    </i>
    <i>
      <x v="141"/>
    </i>
    <i>
      <x v="518"/>
    </i>
    <i>
      <x v="339"/>
    </i>
    <i>
      <x v="538"/>
    </i>
    <i>
      <x v="468"/>
    </i>
    <i>
      <x v="607"/>
    </i>
    <i>
      <x v="342"/>
    </i>
    <i>
      <x v="619"/>
    </i>
    <i>
      <x v="606"/>
    </i>
    <i>
      <x v="191"/>
    </i>
    <i>
      <x v="497"/>
    </i>
    <i>
      <x v="624"/>
    </i>
    <i>
      <x v="384"/>
    </i>
    <i>
      <x v="287"/>
    </i>
    <i>
      <x v="57"/>
    </i>
    <i>
      <x v="391"/>
    </i>
    <i>
      <x v="629"/>
    </i>
    <i>
      <x v="500"/>
    </i>
    <i>
      <x v="646"/>
    </i>
    <i>
      <x v="437"/>
    </i>
    <i>
      <x v="567"/>
    </i>
    <i>
      <x v="535"/>
    </i>
    <i>
      <x v="590"/>
    </i>
    <i>
      <x v="377"/>
    </i>
    <i>
      <x v="358"/>
    </i>
    <i>
      <x v="179"/>
    </i>
    <i>
      <x v="476"/>
    </i>
    <i>
      <x v="124"/>
    </i>
    <i>
      <x v="451"/>
    </i>
    <i>
      <x v="544"/>
    </i>
    <i>
      <x v="581"/>
    </i>
    <i>
      <x v="148"/>
    </i>
    <i>
      <x v="611"/>
    </i>
    <i>
      <x v="533"/>
    </i>
    <i>
      <x v="579"/>
    </i>
    <i>
      <x v="43"/>
    </i>
    <i>
      <x v="615"/>
    </i>
    <i>
      <x v="527"/>
    </i>
    <i>
      <x v="634"/>
    </i>
    <i>
      <x v="612"/>
    </i>
    <i>
      <x v="627"/>
    </i>
    <i>
      <x v="516"/>
    </i>
    <i>
      <x v="618"/>
    </i>
    <i>
      <x v="105"/>
    </i>
    <i>
      <x v="144"/>
    </i>
    <i>
      <x v="220"/>
    </i>
    <i>
      <x v="262"/>
    </i>
    <i>
      <x v="275"/>
    </i>
    <i>
      <x v="613"/>
    </i>
    <i>
      <x v="608"/>
    </i>
    <i>
      <x v="207"/>
    </i>
    <i>
      <x v="203"/>
    </i>
    <i>
      <x v="489"/>
    </i>
    <i>
      <x v="362"/>
    </i>
    <i>
      <x v="323"/>
    </i>
    <i>
      <x v="164"/>
    </i>
    <i>
      <x v="376"/>
    </i>
    <i>
      <x v="208"/>
    </i>
    <i>
      <x v="414"/>
    </i>
    <i>
      <x v="177"/>
    </i>
    <i>
      <x v="578"/>
    </i>
    <i>
      <x v="645"/>
    </i>
    <i>
      <x v="380"/>
    </i>
    <i>
      <x v="280"/>
    </i>
    <i>
      <x v="596"/>
    </i>
    <i>
      <x v="313"/>
    </i>
    <i>
      <x v="501"/>
    </i>
    <i>
      <x v="205"/>
    </i>
    <i>
      <x v="461"/>
    </i>
    <i>
      <x v="210"/>
    </i>
    <i>
      <x v="314"/>
    </i>
    <i>
      <x v="281"/>
    </i>
    <i>
      <x v="347"/>
    </i>
    <i>
      <x v="604"/>
    </i>
    <i>
      <x v="410"/>
    </i>
    <i>
      <x v="485"/>
    </i>
    <i>
      <x v="147"/>
    </i>
    <i>
      <x v="84"/>
    </i>
    <i>
      <x v="211"/>
    </i>
    <i>
      <x v="284"/>
    </i>
    <i>
      <x v="219"/>
    </i>
    <i>
      <x v="293"/>
    </i>
    <i>
      <x v="528"/>
    </i>
    <i>
      <x v="510"/>
    </i>
    <i>
      <x v="471"/>
    </i>
    <i>
      <x v="545"/>
    </i>
    <i>
      <x v="360"/>
    </i>
    <i>
      <x v="305"/>
    </i>
    <i>
      <x v="478"/>
    </i>
    <i>
      <x v="403"/>
    </i>
    <i>
      <x v="318"/>
    </i>
    <i>
      <x v="160"/>
    </i>
    <i>
      <x v="651"/>
    </i>
    <i>
      <x v="453"/>
    </i>
    <i>
      <x v="529"/>
    </i>
    <i>
      <x v="450"/>
    </i>
    <i>
      <x v="50"/>
    </i>
    <i>
      <x v="264"/>
    </i>
    <i>
      <x v="401"/>
    </i>
    <i>
      <x v="2"/>
    </i>
    <i>
      <x v="441"/>
    </i>
    <i>
      <x v="299"/>
    </i>
    <i>
      <x v="204"/>
    </i>
    <i>
      <x v="113"/>
    </i>
    <i>
      <x v="266"/>
    </i>
    <i>
      <x v="662"/>
    </i>
    <i>
      <x v="472"/>
    </i>
    <i>
      <x v="632"/>
    </i>
    <i>
      <x v="565"/>
    </i>
    <i>
      <x v="221"/>
    </i>
    <i>
      <x v="286"/>
    </i>
    <i>
      <x v="308"/>
    </i>
    <i>
      <x v="433"/>
    </i>
    <i>
      <x v="570"/>
    </i>
    <i>
      <x v="617"/>
    </i>
    <i>
      <x v="562"/>
    </i>
    <i>
      <x v="549"/>
    </i>
    <i>
      <x v="526"/>
    </i>
    <i>
      <x v="601"/>
    </i>
    <i>
      <x v="506"/>
    </i>
    <i>
      <x v="6"/>
    </i>
    <i>
      <x v="520"/>
    </i>
    <i>
      <x v="89"/>
    </i>
    <i>
      <x v="255"/>
    </i>
    <i>
      <x v="577"/>
    </i>
    <i>
      <x v="363"/>
    </i>
    <i>
      <x v="552"/>
    </i>
    <i>
      <x v="647"/>
    </i>
    <i>
      <x v="555"/>
    </i>
    <i>
      <x v="445"/>
    </i>
    <i>
      <x v="653"/>
    </i>
    <i>
      <x v="631"/>
    </i>
    <i>
      <x v="622"/>
    </i>
    <i>
      <x v="576"/>
    </i>
    <i>
      <x v="272"/>
    </i>
    <i>
      <x v="465"/>
    </i>
    <i>
      <x v="108"/>
    </i>
    <i>
      <x v="439"/>
    </i>
    <i>
      <x v="369"/>
    </i>
    <i>
      <x v="514"/>
    </i>
    <i>
      <x v="368"/>
    </i>
    <i>
      <x v="265"/>
    </i>
    <i>
      <x v="654"/>
    </i>
    <i>
      <x v="462"/>
    </i>
    <i>
      <x v="449"/>
    </i>
    <i>
      <x v="355"/>
    </i>
    <i>
      <x v="291"/>
    </i>
    <i>
      <x v="343"/>
    </i>
    <i>
      <x v="543"/>
    </i>
    <i>
      <x v="663"/>
    </i>
    <i>
      <x v="112"/>
    </i>
    <i>
      <x v="452"/>
    </i>
    <i>
      <x v="600"/>
    </i>
    <i>
      <x v="232"/>
    </i>
    <i>
      <x v="463"/>
    </i>
    <i>
      <x v="482"/>
    </i>
    <i>
      <x v="269"/>
    </i>
    <i>
      <x v="621"/>
    </i>
    <i>
      <x v="379"/>
    </i>
    <i>
      <x v="440"/>
    </i>
    <i>
      <x v="638"/>
    </i>
    <i>
      <x v="54"/>
    </i>
    <i>
      <x v="586"/>
    </i>
    <i>
      <x v="194"/>
    </i>
    <i>
      <x v="512"/>
    </i>
    <i>
      <x v="199"/>
    </i>
    <i>
      <x v="546"/>
    </i>
    <i>
      <x v="125"/>
    </i>
    <i>
      <x v="159"/>
    </i>
    <i>
      <x v="81"/>
    </i>
    <i>
      <x v="49"/>
    </i>
    <i>
      <x v="235"/>
    </i>
    <i>
      <x v="558"/>
    </i>
    <i>
      <x v="550"/>
    </i>
    <i>
      <x v="279"/>
    </i>
    <i>
      <x v="349"/>
    </i>
    <i>
      <x v="521"/>
    </i>
    <i>
      <x v="456"/>
    </i>
    <i>
      <x v="190"/>
    </i>
    <i>
      <x v="657"/>
    </i>
    <i>
      <x v="195"/>
    </i>
    <i>
      <x v="475"/>
    </i>
    <i>
      <x v="469"/>
    </i>
    <i>
      <x v="114"/>
    </i>
    <i>
      <x v="603"/>
    </i>
    <i>
      <x v="589"/>
    </i>
    <i>
      <x v="48"/>
    </i>
    <i>
      <x v="496"/>
    </i>
    <i>
      <x v="296"/>
    </i>
    <i>
      <x v="104"/>
    </i>
    <i>
      <x v="68"/>
    </i>
    <i>
      <x v="503"/>
    </i>
    <i>
      <x v="584"/>
    </i>
    <i>
      <x v="494"/>
    </i>
    <i>
      <x v="640"/>
    </i>
    <i>
      <x v="277"/>
    </i>
    <i>
      <x v="324"/>
    </i>
    <i>
      <x v="86"/>
    </i>
    <i>
      <x v="592"/>
    </i>
    <i>
      <x v="593"/>
    </i>
    <i>
      <x v="664"/>
    </i>
    <i>
      <x v="250"/>
    </i>
    <i>
      <x v="540"/>
    </i>
    <i>
      <x v="312"/>
    </i>
    <i>
      <x v="413"/>
    </i>
    <i>
      <x v="587"/>
    </i>
    <i>
      <x v="447"/>
    </i>
    <i>
      <x v="273"/>
    </i>
    <i>
      <x v="212"/>
    </i>
    <i>
      <x v="378"/>
    </i>
    <i>
      <x v="231"/>
    </i>
    <i>
      <x v="406"/>
    </i>
    <i>
      <x v="508"/>
    </i>
    <i>
      <x v="609"/>
    </i>
    <i>
      <x v="115"/>
    </i>
    <i>
      <x v="85"/>
    </i>
    <i>
      <x v="498"/>
    </i>
    <i>
      <x v="658"/>
    </i>
    <i>
      <x v="648"/>
    </i>
    <i>
      <x v="341"/>
    </i>
    <i>
      <x v="635"/>
    </i>
    <i>
      <x v="438"/>
    </i>
    <i>
      <x v="656"/>
    </i>
    <i>
      <x v="636"/>
    </i>
    <i>
      <x v="595"/>
    </i>
    <i>
      <x v="83"/>
    </i>
    <i>
      <x v="492"/>
    </i>
    <i>
      <x v="55"/>
    </i>
    <i>
      <x v="639"/>
    </i>
    <i>
      <x v="434"/>
    </i>
    <i>
      <x v="633"/>
    </i>
    <i>
      <x v="435"/>
    </i>
    <i>
      <x v="553"/>
    </i>
    <i>
      <x v="477"/>
    </i>
    <i>
      <x v="274"/>
    </i>
    <i>
      <x v="256"/>
    </i>
    <i>
      <x v="146"/>
    </i>
    <i>
      <x v="481"/>
    </i>
    <i>
      <x v="367"/>
    </i>
    <i>
      <x v="52"/>
    </i>
    <i>
      <x v="45"/>
    </i>
    <i>
      <x v="304"/>
    </i>
    <i>
      <x v="174"/>
    </i>
    <i>
      <x v="24"/>
    </i>
    <i>
      <x v="268"/>
    </i>
    <i>
      <x v="400"/>
    </i>
    <i>
      <x v="371"/>
    </i>
    <i>
      <x v="557"/>
    </i>
    <i>
      <x v="197"/>
    </i>
    <i>
      <x v="346"/>
    </i>
    <i>
      <x v="348"/>
    </i>
    <i>
      <x v="163"/>
    </i>
    <i>
      <x v="234"/>
    </i>
    <i>
      <x v="502"/>
    </i>
    <i>
      <x v="487"/>
    </i>
    <i>
      <x v="166"/>
    </i>
    <i>
      <x v="524"/>
    </i>
    <i>
      <x v="519"/>
    </i>
    <i>
      <x v="511"/>
    </i>
    <i>
      <x v="292"/>
    </i>
    <i>
      <x v="583"/>
    </i>
    <i>
      <x v="554"/>
    </i>
    <i>
      <x v="278"/>
    </i>
    <i>
      <x v="466"/>
    </i>
    <i>
      <x v="542"/>
    </i>
    <i>
      <x v="556"/>
    </i>
    <i>
      <x v="642"/>
    </i>
    <i>
      <x v="218"/>
    </i>
    <i>
      <x/>
    </i>
    <i>
      <x v="594"/>
    </i>
    <i>
      <x v="88"/>
    </i>
    <i>
      <x v="474"/>
    </i>
    <i>
      <x v="561"/>
    </i>
    <i>
      <x v="79"/>
    </i>
    <i>
      <x v="630"/>
    </i>
    <i>
      <x v="614"/>
    </i>
    <i>
      <x v="352"/>
    </i>
    <i>
      <x v="58"/>
    </i>
    <i>
      <x v="574"/>
    </i>
    <i>
      <x v="563"/>
    </i>
    <i>
      <x v="517"/>
    </i>
    <i>
      <x v="443"/>
    </i>
    <i>
      <x v="525"/>
    </i>
    <i>
      <x v="588"/>
    </i>
    <i>
      <x v="107"/>
    </i>
    <i>
      <x v="488"/>
    </i>
    <i>
      <x v="127"/>
    </i>
    <i>
      <x v="661"/>
    </i>
    <i>
      <x v="532"/>
    </i>
    <i>
      <x v="655"/>
    </i>
    <i>
      <x v="652"/>
    </i>
    <i>
      <x v="602"/>
    </i>
    <i>
      <x v="641"/>
    </i>
    <i>
      <x v="263"/>
    </i>
    <i>
      <x v="490"/>
    </i>
    <i>
      <x v="572"/>
    </i>
    <i>
      <x v="559"/>
    </i>
    <i>
      <x v="455"/>
    </i>
    <i>
      <x v="522"/>
    </i>
    <i>
      <x v="258"/>
    </i>
    <i>
      <x v="484"/>
    </i>
    <i>
      <x v="660"/>
    </i>
    <i>
      <x v="480"/>
    </i>
    <i>
      <x v="566"/>
    </i>
    <i>
      <x v="201"/>
    </i>
    <i>
      <x v="537"/>
    </i>
    <i>
      <x v="585"/>
    </i>
    <i>
      <x v="444"/>
    </i>
    <i>
      <x v="383"/>
    </i>
    <i>
      <x v="628"/>
    </i>
    <i>
      <x v="575"/>
    </i>
    <i>
      <x v="491"/>
    </i>
    <i>
      <x v="198"/>
    </i>
    <i>
      <x v="560"/>
    </i>
    <i>
      <x v="405"/>
    </i>
    <i>
      <x v="547"/>
    </i>
    <i>
      <x v="597"/>
    </i>
    <i>
      <x v="306"/>
    </i>
    <i>
      <x v="507"/>
    </i>
    <i>
      <x v="51"/>
    </i>
    <i>
      <x v="459"/>
    </i>
    <i>
      <x v="390"/>
    </i>
    <i>
      <x v="473"/>
    </i>
    <i>
      <x v="659"/>
    </i>
    <i>
      <x v="182"/>
    </i>
    <i>
      <x v="665"/>
    </i>
    <i>
      <x v="650"/>
    </i>
    <i>
      <x v="319"/>
    </i>
    <i>
      <x v="486"/>
    </i>
    <i>
      <x v="3"/>
    </i>
    <i>
      <x v="87"/>
    </i>
    <i>
      <x v="436"/>
    </i>
    <i>
      <x v="302"/>
    </i>
    <i>
      <x v="467"/>
    </i>
    <i>
      <x v="336"/>
    </i>
    <i>
      <x v="599"/>
    </i>
    <i>
      <x v="551"/>
    </i>
    <i>
      <x v="131"/>
    </i>
    <i>
      <x v="464"/>
    </i>
    <i>
      <x v="620"/>
    </i>
    <i>
      <x v="534"/>
    </i>
    <i>
      <x v="192"/>
    </i>
    <i>
      <x v="215"/>
    </i>
    <i>
      <x v="178"/>
    </i>
    <i>
      <x v="111"/>
    </i>
    <i>
      <x v="625"/>
    </i>
    <i>
      <x v="504"/>
    </i>
    <i>
      <x v="53"/>
    </i>
    <i>
      <x v="513"/>
    </i>
    <i>
      <x v="454"/>
    </i>
    <i>
      <x v="530"/>
    </i>
    <i>
      <x v="442"/>
    </i>
    <i>
      <x v="515"/>
    </i>
    <i>
      <x v="153"/>
    </i>
    <i>
      <x v="154"/>
    </i>
    <i>
      <x v="580"/>
    </i>
    <i>
      <x v="483"/>
    </i>
    <i>
      <x v="416"/>
    </i>
    <i>
      <x v="548"/>
    </i>
    <i>
      <x v="591"/>
    </i>
    <i>
      <x v="93"/>
    </i>
    <i>
      <x v="80"/>
    </i>
    <i>
      <x v="356"/>
    </i>
    <i>
      <x v="568"/>
    </i>
    <i>
      <x v="303"/>
    </i>
    <i>
      <x v="541"/>
    </i>
    <i>
      <x v="216"/>
    </i>
    <i>
      <x v="150"/>
    </i>
    <i>
      <x v="209"/>
    </i>
    <i>
      <x v="143"/>
    </i>
    <i>
      <x v="649"/>
    </i>
    <i>
      <x v="322"/>
    </i>
    <i>
      <x v="1"/>
    </i>
    <i>
      <x v="67"/>
    </i>
    <i>
      <x v="249"/>
    </i>
    <i>
      <x v="531"/>
    </i>
    <i>
      <x v="94"/>
    </i>
    <i>
      <x v="605"/>
    </i>
    <i>
      <x v="610"/>
    </i>
    <i>
      <x v="119"/>
    </i>
    <i>
      <x v="392"/>
    </i>
    <i>
      <x v="539"/>
    </i>
    <i>
      <x v="470"/>
    </i>
    <i>
      <x v="202"/>
    </i>
    <i>
      <x v="338"/>
    </i>
    <i>
      <x v="637"/>
    </i>
    <i>
      <x v="644"/>
    </i>
    <i>
      <x v="370"/>
    </i>
    <i>
      <x v="345"/>
    </i>
    <i>
      <x v="626"/>
    </i>
    <i>
      <x v="361"/>
    </i>
    <i>
      <x v="495"/>
    </i>
    <i>
      <x v="186"/>
    </i>
    <i>
      <x v="432"/>
    </i>
    <i>
      <x v="145"/>
    </i>
    <i>
      <x v="321"/>
    </i>
    <i>
      <x v="446"/>
    </i>
    <i>
      <x v="46"/>
    </i>
    <i>
      <x v="564"/>
    </i>
    <i>
      <x v="393"/>
    </i>
    <i>
      <x v="616"/>
    </i>
    <i>
      <x v="623"/>
    </i>
    <i>
      <x v="42"/>
    </i>
    <i>
      <x v="385"/>
    </i>
    <i>
      <x v="460"/>
    </i>
    <i>
      <x v="493"/>
    </i>
    <i>
      <x v="415"/>
    </i>
    <i>
      <x v="5"/>
    </i>
    <i>
      <x v="47"/>
    </i>
    <i>
      <x v="404"/>
    </i>
    <i>
      <x v="643"/>
    </i>
    <i>
      <x v="110"/>
    </i>
    <i>
      <x v="458"/>
    </i>
    <i>
      <x v="213"/>
    </i>
    <i>
      <x v="187"/>
    </i>
    <i>
      <x v="573"/>
    </i>
    <i>
      <x v="152"/>
    </i>
    <i>
      <x v="523"/>
    </i>
    <i>
      <x v="499"/>
    </i>
    <i>
      <x v="509"/>
    </i>
    <i>
      <x v="283"/>
    </i>
    <i>
      <x v="307"/>
    </i>
    <i>
      <x v="479"/>
    </i>
    <i>
      <x v="571"/>
    </i>
    <i>
      <x v="116"/>
    </i>
    <i>
      <x v="569"/>
    </i>
    <i>
      <x v="582"/>
    </i>
    <i>
      <x v="598"/>
    </i>
    <i>
      <x v="457"/>
    </i>
  </rowItems>
  <colItems count="1">
    <i/>
  </colItems>
  <dataFields count="1">
    <dataField name="Сумма по полю нахождение клиента" fld="8" baseField="2" baseItem="0"/>
  </dataFields>
  <formats count="2">
    <format dxfId="24">
      <pivotArea collapsedLevelsAreSubtotals="1" fieldPosition="0">
        <references count="1">
          <reference field="2" count="0"/>
        </references>
      </pivotArea>
    </format>
    <format dxfId="23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F1D3F-F385-4DCD-8233-EF0E737F895D}" name="Сводная таблица1" cacheId="30" applyNumberFormats="0" applyBorderFormats="0" applyFontFormats="0" applyPatternFormats="0" applyAlignmentFormats="0" applyWidthHeightFormats="1" dataCaption="Значения" updatedVersion="7" minRefreshableVersion="3" useAutoFormatting="1" rowGrandTotals="0" itemPrintTitles="1" createdVersion="7" indent="0" outline="1" outlineData="1" multipleFieldFilters="0" chartFormat="6">
  <location ref="A3:B233" firstHeaderRow="1" firstDataRow="1" firstDataCol="1"/>
  <pivotFields count="12"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65" showAll="0"/>
    <pivotField showAll="0"/>
    <pivotField axis="axisRow" dataField="1" showAll="0" sortType="descending">
      <items count="231">
        <item x="8"/>
        <item x="95"/>
        <item x="127"/>
        <item x="105"/>
        <item x="21"/>
        <item x="162"/>
        <item x="11"/>
        <item x="129"/>
        <item x="62"/>
        <item x="143"/>
        <item x="77"/>
        <item x="128"/>
        <item x="148"/>
        <item x="3"/>
        <item x="201"/>
        <item x="50"/>
        <item x="133"/>
        <item x="211"/>
        <item x="174"/>
        <item x="97"/>
        <item x="73"/>
        <item x="138"/>
        <item x="210"/>
        <item x="40"/>
        <item x="131"/>
        <item x="175"/>
        <item x="223"/>
        <item x="118"/>
        <item x="67"/>
        <item x="176"/>
        <item x="160"/>
        <item x="92"/>
        <item x="203"/>
        <item x="101"/>
        <item x="54"/>
        <item x="158"/>
        <item x="146"/>
        <item x="144"/>
        <item x="34"/>
        <item x="85"/>
        <item x="46"/>
        <item x="126"/>
        <item x="96"/>
        <item x="48"/>
        <item x="159"/>
        <item x="1"/>
        <item x="16"/>
        <item x="222"/>
        <item x="68"/>
        <item x="132"/>
        <item x="63"/>
        <item x="10"/>
        <item x="219"/>
        <item x="196"/>
        <item x="57"/>
        <item x="44"/>
        <item x="153"/>
        <item x="120"/>
        <item x="151"/>
        <item x="220"/>
        <item x="124"/>
        <item x="150"/>
        <item x="191"/>
        <item x="41"/>
        <item x="15"/>
        <item x="172"/>
        <item x="51"/>
        <item x="152"/>
        <item x="47"/>
        <item x="102"/>
        <item x="87"/>
        <item x="215"/>
        <item x="115"/>
        <item x="140"/>
        <item x="157"/>
        <item x="70"/>
        <item x="189"/>
        <item x="136"/>
        <item x="71"/>
        <item x="17"/>
        <item x="100"/>
        <item x="76"/>
        <item x="205"/>
        <item x="74"/>
        <item x="141"/>
        <item x="5"/>
        <item x="55"/>
        <item x="226"/>
        <item x="60"/>
        <item x="224"/>
        <item x="52"/>
        <item x="113"/>
        <item x="177"/>
        <item x="193"/>
        <item x="4"/>
        <item x="42"/>
        <item x="56"/>
        <item x="24"/>
        <item x="45"/>
        <item x="30"/>
        <item x="123"/>
        <item x="178"/>
        <item x="168"/>
        <item x="142"/>
        <item x="135"/>
        <item x="171"/>
        <item x="200"/>
        <item x="170"/>
        <item x="229"/>
        <item x="199"/>
        <item x="111"/>
        <item x="64"/>
        <item x="181"/>
        <item x="119"/>
        <item x="209"/>
        <item x="72"/>
        <item x="18"/>
        <item x="13"/>
        <item x="37"/>
        <item x="86"/>
        <item x="27"/>
        <item x="185"/>
        <item x="7"/>
        <item x="93"/>
        <item x="227"/>
        <item x="163"/>
        <item x="26"/>
        <item x="212"/>
        <item x="94"/>
        <item x="197"/>
        <item x="98"/>
        <item x="125"/>
        <item x="204"/>
        <item x="208"/>
        <item x="88"/>
        <item x="165"/>
        <item x="9"/>
        <item x="149"/>
        <item x="61"/>
        <item x="110"/>
        <item x="121"/>
        <item x="166"/>
        <item x="192"/>
        <item x="139"/>
        <item x="80"/>
        <item x="82"/>
        <item x="206"/>
        <item x="83"/>
        <item x="147"/>
        <item x="155"/>
        <item x="69"/>
        <item x="2"/>
        <item x="156"/>
        <item x="117"/>
        <item x="20"/>
        <item x="116"/>
        <item x="217"/>
        <item x="182"/>
        <item x="22"/>
        <item x="104"/>
        <item x="180"/>
        <item x="106"/>
        <item x="194"/>
        <item x="184"/>
        <item x="58"/>
        <item x="198"/>
        <item x="173"/>
        <item x="221"/>
        <item x="28"/>
        <item x="161"/>
        <item x="186"/>
        <item x="89"/>
        <item x="38"/>
        <item x="90"/>
        <item x="33"/>
        <item x="169"/>
        <item x="53"/>
        <item x="79"/>
        <item x="214"/>
        <item x="202"/>
        <item x="183"/>
        <item x="99"/>
        <item x="145"/>
        <item x="6"/>
        <item x="179"/>
        <item x="188"/>
        <item x="66"/>
        <item x="36"/>
        <item x="195"/>
        <item x="137"/>
        <item x="122"/>
        <item x="59"/>
        <item x="187"/>
        <item x="81"/>
        <item x="114"/>
        <item x="154"/>
        <item x="207"/>
        <item x="108"/>
        <item x="32"/>
        <item x="43"/>
        <item x="213"/>
        <item x="75"/>
        <item x="218"/>
        <item x="25"/>
        <item x="0"/>
        <item x="216"/>
        <item x="19"/>
        <item x="112"/>
        <item x="91"/>
        <item x="225"/>
        <item x="31"/>
        <item x="14"/>
        <item x="109"/>
        <item x="130"/>
        <item x="103"/>
        <item x="84"/>
        <item x="39"/>
        <item x="35"/>
        <item x="23"/>
        <item x="190"/>
        <item x="29"/>
        <item x="49"/>
        <item x="65"/>
        <item x="167"/>
        <item x="107"/>
        <item x="12"/>
        <item x="134"/>
        <item x="228"/>
        <item x="78"/>
        <item x="1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0"/>
  </rowFields>
  <rowItems count="230">
    <i>
      <x v="81"/>
    </i>
    <i>
      <x v="206"/>
    </i>
    <i>
      <x v="11"/>
    </i>
    <i>
      <x v="43"/>
    </i>
    <i>
      <x v="122"/>
    </i>
    <i>
      <x v="134"/>
    </i>
    <i>
      <x v="221"/>
    </i>
    <i>
      <x v="45"/>
    </i>
    <i>
      <x v="225"/>
    </i>
    <i>
      <x v="95"/>
    </i>
    <i>
      <x v="199"/>
    </i>
    <i>
      <x v="118"/>
    </i>
    <i>
      <x v="40"/>
    </i>
    <i>
      <x v="220"/>
    </i>
    <i>
      <x v="13"/>
    </i>
    <i>
      <x v="102"/>
    </i>
    <i>
      <x v="46"/>
    </i>
    <i>
      <x v="123"/>
    </i>
    <i>
      <x v="85"/>
    </i>
    <i>
      <x v="19"/>
    </i>
    <i>
      <x v="86"/>
    </i>
    <i>
      <x v="23"/>
    </i>
    <i>
      <x v="92"/>
    </i>
    <i>
      <x v="16"/>
    </i>
    <i>
      <x v="173"/>
    </i>
    <i>
      <x v="214"/>
    </i>
    <i>
      <x v="191"/>
    </i>
    <i>
      <x v="222"/>
    </i>
    <i>
      <x v="69"/>
    </i>
    <i>
      <x v="72"/>
    </i>
    <i>
      <x v="177"/>
    </i>
    <i>
      <x v="75"/>
    </i>
    <i>
      <x v="6"/>
    </i>
    <i>
      <x v="119"/>
    </i>
    <i>
      <x v="68"/>
    </i>
    <i>
      <x v="27"/>
    </i>
    <i>
      <x v="170"/>
    </i>
    <i>
      <x v="15"/>
    </i>
    <i>
      <x v="176"/>
    </i>
    <i>
      <x v="125"/>
    </i>
    <i>
      <x v="182"/>
    </i>
    <i>
      <x v="126"/>
    </i>
    <i>
      <x v="197"/>
    </i>
    <i>
      <x v="128"/>
    </i>
    <i>
      <x v="66"/>
    </i>
    <i>
      <x v="17"/>
    </i>
    <i>
      <x v="218"/>
    </i>
    <i>
      <x v="149"/>
    </i>
    <i>
      <x v="94"/>
    </i>
    <i>
      <x v="151"/>
    </i>
    <i>
      <x v="168"/>
    </i>
    <i>
      <x v="101"/>
    </i>
    <i>
      <x v="107"/>
    </i>
    <i>
      <x v="172"/>
    </i>
    <i>
      <x v="203"/>
    </i>
    <i>
      <x v="190"/>
    </i>
    <i>
      <x v="7"/>
    </i>
    <i>
      <x v="88"/>
    </i>
    <i>
      <x v="8"/>
    </i>
    <i>
      <x v="33"/>
    </i>
    <i>
      <x v="229"/>
    </i>
    <i>
      <x v="195"/>
    </i>
    <i>
      <x v="112"/>
    </i>
    <i>
      <x v="211"/>
    </i>
    <i>
      <x v="113"/>
    </i>
    <i>
      <x v="18"/>
    </i>
    <i>
      <x v="116"/>
    </i>
    <i>
      <x v="174"/>
    </i>
    <i>
      <x v="48"/>
    </i>
    <i>
      <x v="183"/>
    </i>
    <i>
      <x v="49"/>
    </i>
    <i>
      <x v="193"/>
    </i>
    <i>
      <x v="51"/>
    </i>
    <i>
      <x v="82"/>
    </i>
    <i>
      <x v="54"/>
    </i>
    <i>
      <x v="208"/>
    </i>
    <i>
      <x v="60"/>
    </i>
    <i>
      <x v="216"/>
    </i>
    <i>
      <x v="61"/>
    </i>
    <i>
      <x v="41"/>
    </i>
    <i>
      <x v="62"/>
    </i>
    <i>
      <x v="29"/>
    </i>
    <i>
      <x v="129"/>
    </i>
    <i>
      <x v="73"/>
    </i>
    <i>
      <x v="130"/>
    </i>
    <i>
      <x v="74"/>
    </i>
    <i>
      <x v="64"/>
    </i>
    <i>
      <x v="76"/>
    </i>
    <i>
      <x v="135"/>
    </i>
    <i>
      <x v="187"/>
    </i>
    <i>
      <x v="139"/>
    </i>
    <i>
      <x v="79"/>
    </i>
    <i>
      <x v="145"/>
    </i>
    <i>
      <x v="194"/>
    </i>
    <i>
      <x v="24"/>
    </i>
    <i>
      <x v="38"/>
    </i>
    <i>
      <x v="9"/>
    </i>
    <i>
      <x v="200"/>
    </i>
    <i>
      <x v="152"/>
    </i>
    <i>
      <x v="39"/>
    </i>
    <i>
      <x v="154"/>
    </i>
    <i>
      <x v="210"/>
    </i>
    <i>
      <x v="158"/>
    </i>
    <i>
      <x v="4"/>
    </i>
    <i>
      <x v="159"/>
    </i>
    <i>
      <x v="217"/>
    </i>
    <i>
      <x v="160"/>
    </i>
    <i>
      <x v="91"/>
    </i>
    <i>
      <x v="161"/>
    </i>
    <i>
      <x v="42"/>
    </i>
    <i>
      <x v="166"/>
    </i>
    <i>
      <x v="96"/>
    </i>
    <i>
      <x v="28"/>
    </i>
    <i>
      <x v="114"/>
    </i>
    <i>
      <x v="1"/>
    </i>
    <i>
      <x v="209"/>
    </i>
    <i>
      <x v="10"/>
    </i>
    <i>
      <x v="115"/>
    </i>
    <i>
      <x v="57"/>
    </i>
    <i>
      <x v="59"/>
    </i>
    <i>
      <x v="185"/>
    </i>
    <i>
      <x v="117"/>
    </i>
    <i>
      <x v="201"/>
    </i>
    <i>
      <x v="31"/>
    </i>
    <i>
      <x v="56"/>
    </i>
    <i>
      <x v="32"/>
    </i>
    <i>
      <x v="26"/>
    </i>
    <i>
      <x v="120"/>
    </i>
    <i>
      <x v="181"/>
    </i>
    <i>
      <x v="121"/>
    </i>
    <i>
      <x v="189"/>
    </i>
    <i>
      <x v="2"/>
    </i>
    <i>
      <x v="97"/>
    </i>
    <i>
      <x v="63"/>
    </i>
    <i>
      <x v="205"/>
    </i>
    <i>
      <x v="124"/>
    </i>
    <i>
      <x v="213"/>
    </i>
    <i>
      <x v="34"/>
    </i>
    <i>
      <x v="110"/>
    </i>
    <i>
      <x v="65"/>
    </i>
    <i>
      <x v="58"/>
    </i>
    <i>
      <x v="127"/>
    </i>
    <i>
      <x v="175"/>
    </i>
    <i>
      <x v="35"/>
    </i>
    <i>
      <x v="179"/>
    </i>
    <i>
      <x v="67"/>
    </i>
    <i>
      <x v="90"/>
    </i>
    <i>
      <x v="36"/>
    </i>
    <i>
      <x v="5"/>
    </i>
    <i>
      <x v="131"/>
    </i>
    <i>
      <x v="93"/>
    </i>
    <i>
      <x v="132"/>
    </i>
    <i>
      <x v="53"/>
    </i>
    <i>
      <x v="133"/>
    </i>
    <i>
      <x v="98"/>
    </i>
    <i>
      <x v="37"/>
    </i>
    <i>
      <x v="100"/>
    </i>
    <i>
      <x v="70"/>
    </i>
    <i>
      <x v="207"/>
    </i>
    <i>
      <x v="136"/>
    </i>
    <i>
      <x v="104"/>
    </i>
    <i>
      <x v="137"/>
    </i>
    <i>
      <x v="215"/>
    </i>
    <i>
      <x v="138"/>
    </i>
    <i>
      <x v="219"/>
    </i>
    <i>
      <x v="71"/>
    </i>
    <i>
      <x v="223"/>
    </i>
    <i>
      <x v="140"/>
    </i>
    <i>
      <x v="227"/>
    </i>
    <i>
      <x v="141"/>
    </i>
    <i>
      <x v="84"/>
    </i>
    <i>
      <x v="142"/>
    </i>
    <i>
      <x v="47"/>
    </i>
    <i>
      <x v="143"/>
    </i>
    <i>
      <x v="87"/>
    </i>
    <i>
      <x v="144"/>
    </i>
    <i>
      <x v="178"/>
    </i>
    <i>
      <x v="12"/>
    </i>
    <i>
      <x v="180"/>
    </i>
    <i>
      <x v="146"/>
    </i>
    <i>
      <x v="89"/>
    </i>
    <i>
      <x v="147"/>
    </i>
    <i>
      <x v="184"/>
    </i>
    <i>
      <x v="148"/>
    </i>
    <i>
      <x v="186"/>
    </i>
    <i>
      <x v="20"/>
    </i>
    <i>
      <x v="188"/>
    </i>
    <i>
      <x v="150"/>
    </i>
    <i>
      <x v="50"/>
    </i>
    <i>
      <x v="21"/>
    </i>
    <i>
      <x v="192"/>
    </i>
    <i>
      <x v="22"/>
    </i>
    <i>
      <x v="52"/>
    </i>
    <i>
      <x v="153"/>
    </i>
    <i>
      <x v="196"/>
    </i>
    <i>
      <x v="3"/>
    </i>
    <i>
      <x v="198"/>
    </i>
    <i>
      <x v="155"/>
    </i>
    <i>
      <x v="99"/>
    </i>
    <i>
      <x v="156"/>
    </i>
    <i>
      <x v="202"/>
    </i>
    <i>
      <x v="157"/>
    </i>
    <i>
      <x v="204"/>
    </i>
    <i>
      <x v="77"/>
    </i>
    <i>
      <x v="30"/>
    </i>
    <i>
      <x v="78"/>
    </i>
    <i>
      <x v="55"/>
    </i>
    <i>
      <x v="14"/>
    </i>
    <i>
      <x v="103"/>
    </i>
    <i>
      <x v="80"/>
    </i>
    <i>
      <x v="212"/>
    </i>
    <i>
      <x v="162"/>
    </i>
    <i>
      <x v="105"/>
    </i>
    <i>
      <x v="163"/>
    </i>
    <i>
      <x v="106"/>
    </i>
    <i>
      <x v="164"/>
    </i>
    <i>
      <x v="108"/>
    </i>
    <i>
      <x v="165"/>
    </i>
    <i>
      <x v="109"/>
    </i>
    <i>
      <x v="44"/>
    </i>
    <i>
      <x v="111"/>
    </i>
    <i>
      <x v="167"/>
    </i>
    <i>
      <x v="224"/>
    </i>
    <i>
      <x v="25"/>
    </i>
    <i>
      <x v="226"/>
    </i>
    <i>
      <x v="169"/>
    </i>
    <i>
      <x v="228"/>
    </i>
    <i>
      <x v="83"/>
    </i>
    <i>
      <x/>
    </i>
    <i>
      <x v="171"/>
    </i>
  </rowItems>
  <colItems count="1">
    <i/>
  </colItems>
  <dataFields count="1">
    <dataField name="Количество по полю Имя" fld="10" subtotal="count" baseField="1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00B33-FFD3-4BF1-89AF-1E7F9023A98F}" name="Продажи" displayName="Продажи" ref="A1:P1001" totalsRowShown="0" headerRowDxfId="60" headerRowBorderDxfId="59" tableBorderDxfId="58">
  <autoFilter ref="A1:P1001" xr:uid="{3E300B33-FFD3-4BF1-89AF-1E7F9023A98F}"/>
  <tableColumns count="16">
    <tableColumn id="1" xr3:uid="{1353036A-31E7-4D35-A731-693D231342E7}" name="id чека"/>
    <tableColumn id="2" xr3:uid="{1B0C954D-274E-4B55-8BF2-612354AC96C7}" name="id товара"/>
    <tableColumn id="3" xr3:uid="{AEFAA477-F3B2-4F90-AAB2-A4A8C390D088}" name="цена за шт в рублях"/>
    <tableColumn id="4" xr3:uid="{2E99C595-29B9-490F-A5D4-B3EE5B2BA3BE}" name="кол-во штук в чеке"/>
    <tableColumn id="5" xr3:uid="{B9505FE5-C5D4-4833-9898-F6B8D60CB50D}" name="сумма чека"/>
    <tableColumn id="6" xr3:uid="{14ABBE26-B03A-41F7-8483-8F142AE6C2C4}" name="дата создания чека" dataDxfId="57"/>
    <tableColumn id="7" xr3:uid="{8656D202-0DC6-4294-B083-18C5C45E7487}" name="магазин покупки"/>
    <tableColumn id="8" xr3:uid="{A7E02126-8BCF-4DAC-8126-C837C0DD8478}" name="id клиента"/>
    <tableColumn id="10" xr3:uid="{B7E97D68-BF53-47E1-9BAA-A7BD2B7102F2}" name="Категория товара" dataDxfId="56">
      <calculatedColumnFormula>VLOOKUP(Продажи[[#This Row],[id товара]],Товары[#All],2,FALSE)</calculatedColumnFormula>
    </tableColumn>
    <tableColumn id="13" xr3:uid="{B9A30561-94DE-4C1E-BA65-F5043B621876}" name="Средняя цена в категории за шт" dataDxfId="55">
      <calculatedColumnFormula>AVERAGEIF(Продажи[Категория товара],Продажи[[#This Row],[Категория товара]],Продажи[цена за шт в рублях])</calculatedColumnFormula>
    </tableColumn>
    <tableColumn id="12" xr3:uid="{389A8428-1455-4285-9C4D-ED720615F704}" name="Выгода для клиентов" dataCellStyle="Процентный">
      <calculatedColumnFormula>Продажи[[#This Row],[цена за шт в рублях]]/Продажи[[#This Row],[Средняя цена в категории за шт]]-1</calculatedColumnFormula>
    </tableColumn>
    <tableColumn id="11" xr3:uid="{DA567872-8FEA-4E6E-AA11-EA5B80023AFE}" name="Поставщик товара" dataDxfId="54">
      <calculatedColumnFormula>VLOOKUP(Продажи[[#This Row],[id товара]],Товары[#All],3,FALSE)</calculatedColumnFormula>
    </tableColumn>
    <tableColumn id="14" xr3:uid="{BF1F6D5C-1A63-4976-B4BD-185C11B88FF3}" name="Средняя стоимость в категории по поставщику" dataDxfId="53">
      <calculatedColumnFormula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calculatedColumnFormula>
    </tableColumn>
    <tableColumn id="15" xr3:uid="{5475D8F3-FC96-490C-AA54-289FAAC0D533}" name="Дата регистрации клиентов" dataDxfId="52">
      <calculatedColumnFormula>VLOOKUP(Продажи[[#This Row],[id клиента]],Таблица4[#All],5,FALSE)</calculatedColumnFormula>
    </tableColumn>
    <tableColumn id="16" xr3:uid="{8D4BC2DE-7540-48F5-A584-E0D78DF50041}" name="Кол-во дней с момента регистрации" dataDxfId="51">
      <calculatedColumnFormula>Продажи[[#This Row],[дата создания чека]]-Продажи[[#This Row],[Дата регистрации клиентов]]</calculatedColumnFormula>
    </tableColumn>
    <tableColumn id="9" xr3:uid="{7A9679A3-D607-47F0-B5A2-BE27679A41B9}" name="Страна" dataDxfId="17">
      <calculatedColumnFormula>VLOOKUP(Продажи[[#This Row],[id клиента]],Таблица4[#All],7,FALSE)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C998FB-63E4-4A8D-8B5F-A7FFA2C82C57}" name="Товары" displayName="Товары" ref="A1:C433" totalsRowShown="0" headerRowDxfId="39" headerRowBorderDxfId="38" tableBorderDxfId="37">
  <autoFilter ref="A1:C433" xr:uid="{17C998FB-63E4-4A8D-8B5F-A7FFA2C82C57}"/>
  <tableColumns count="3">
    <tableColumn id="1" xr3:uid="{661E0EE6-D5F2-451D-BAD8-BF63823096DC}" name="id товара"/>
    <tableColumn id="2" xr3:uid="{A41AE567-D04C-4F33-AF3A-3A65F18FCECB}" name="категория товара"/>
    <tableColumn id="3" xr3:uid="{639A3B0E-C285-4421-80E5-6BE3E30578F2}" name="поставщик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CE0E35-542E-4A9B-9617-81DF66E1BB89}" name="Таблица4" displayName="Таблица4" ref="A1:L435" totalsRowShown="0" headerRowDxfId="36" headerRowBorderDxfId="35" tableBorderDxfId="34">
  <autoFilter ref="A1:L435" xr:uid="{05CE0E35-542E-4A9B-9617-81DF66E1BB89}"/>
  <tableColumns count="12">
    <tableColumn id="1" xr3:uid="{FB190282-E524-4213-A083-CDD32784D3C5}" name="id клиента"/>
    <tableColumn id="2" xr3:uid="{A038EA35-B283-4094-8557-9ABCD3F97BCD}" name="номер телефона клиента"/>
    <tableColumn id="3" xr3:uid="{8338BF9E-3F0F-4C74-9CF9-28D885E8EF1E}" name="ФИО" dataDxfId="33"/>
    <tableColumn id="4" xr3:uid="{27728F9C-6F34-4ECC-99A8-041E851298E8}" name="Программа лояльности клиента"/>
    <tableColumn id="5" xr3:uid="{25588B2A-8523-414A-BD16-F74C4C962131}" name="Дата регистрации клиента" dataDxfId="32"/>
    <tableColumn id="6" xr3:uid="{BD7CD9B0-BB09-4729-996E-AEE04DFF5EAF}" name="Коды телефона" dataDxfId="31">
      <calculatedColumnFormula>LEFT(Таблица4[[#This Row],[номер телефона клиента]],LEN(Таблица4[[#This Row],[номер телефона клиента]])-13)</calculatedColumnFormula>
    </tableColumn>
    <tableColumn id="9" xr3:uid="{15018909-C629-44C2-815E-88DE4C452480}" name="Страна клиента" dataDxfId="30">
      <calculatedColumnFormula>_xlfn.XLOOKUP(Таблица4[[#This Row],[Коды телефона]],Таблица5[Код],Таблица5[Страна],"Не найдено",0)</calculatedColumnFormula>
    </tableColumn>
    <tableColumn id="10" xr3:uid="{264DE6C9-8BC1-4A94-89F6-E8D7F54D75AC}" name="Текущая дата" dataDxfId="29">
      <calculatedColumnFormula>TODAY()</calculatedColumnFormula>
    </tableColumn>
    <tableColumn id="12" xr3:uid="{12401D43-706A-4EA0-82EE-7A96CB3AC3B1}" name="нахождение клиента" dataDxfId="28">
      <calculatedColumnFormula>(Таблица4[[#This Row],[Текущая дата]]-Таблица4[[#This Row],[Дата регистрации клиента]])/30</calculatedColumnFormula>
    </tableColumn>
    <tableColumn id="7" xr3:uid="{7FDFCCF4-7174-43B1-8D53-22F80DAA38E6}" name="Фамилия" dataDxfId="21">
      <calculatedColumnFormula>LEFT(C2,FIND(" ",C2)-1)</calculatedColumnFormula>
    </tableColumn>
    <tableColumn id="8" xr3:uid="{D246BC3E-A43D-4F6E-B5BD-7FBB7C990BAC}" name="Имя" dataDxfId="22">
      <calculatedColumnFormula>MID(C2,FIND(" ",C2)+1,FIND(" ",C2,FIND(" ",C2)+1)-FIND(" ",C2)-1)</calculatedColumnFormula>
    </tableColumn>
    <tableColumn id="11" xr3:uid="{A7EA880D-09B9-4B01-A5A4-9C9C1E39FD69}" name="Отчество" dataDxfId="20">
      <calculatedColumnFormula>RIGHT(C2,LEN(C2)-FIND("~",SUBSTITUTE(C2," ","~",2)))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F92E23-1A12-45AB-986C-54F726FBE1DC}" name="Таблица5" displayName="Таблица5" ref="A1:B7" totalsRowShown="0" headerRowDxfId="27" headerRowBorderDxfId="26" tableBorderDxfId="25">
  <autoFilter ref="A1:B7" xr:uid="{1AF92E23-1A12-45AB-986C-54F726FBE1DC}"/>
  <tableColumns count="2">
    <tableColumn id="1" xr3:uid="{802A336E-3612-4809-9FB6-27DDE4A7D510}" name="Страна"/>
    <tableColumn id="2" xr3:uid="{B3B0D86B-D8BB-4B5A-9CCA-90AB0CC659BC}" name="Код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F9B-FBD5-4648-932F-65C6D3263094}">
  <dimension ref="C2:N32"/>
  <sheetViews>
    <sheetView showGridLines="0" tabSelected="1" workbookViewId="0">
      <selection activeCell="H16" sqref="H16"/>
    </sheetView>
  </sheetViews>
  <sheetFormatPr defaultColWidth="10.85546875" defaultRowHeight="15.75" x14ac:dyDescent="0.25"/>
  <cols>
    <col min="1" max="1" width="10.85546875" style="1"/>
    <col min="2" max="2" width="5.28515625" style="1" customWidth="1"/>
    <col min="3" max="3" width="61" style="1" customWidth="1"/>
    <col min="4" max="4" width="3.28515625" style="1" bestFit="1" customWidth="1"/>
    <col min="5" max="5" width="55.85546875" style="1" bestFit="1" customWidth="1"/>
    <col min="6" max="6" width="70.28515625" style="1" customWidth="1"/>
    <col min="7" max="7" width="13.42578125" style="1" bestFit="1" customWidth="1"/>
    <col min="8" max="8" width="57.28515625" style="1" bestFit="1" customWidth="1"/>
    <col min="9" max="9" width="54.7109375" style="1" customWidth="1"/>
    <col min="10" max="10" width="46.140625" style="1" bestFit="1" customWidth="1"/>
    <col min="11" max="12" width="10.85546875" style="1"/>
    <col min="13" max="13" width="56.7109375" style="1" bestFit="1" customWidth="1"/>
    <col min="14" max="14" width="35.42578125" style="1" bestFit="1" customWidth="1"/>
    <col min="15" max="17" width="10.85546875" style="1"/>
    <col min="18" max="18" width="25.7109375" style="1" bestFit="1" customWidth="1"/>
    <col min="19" max="16384" width="10.85546875" style="1"/>
  </cols>
  <sheetData>
    <row r="2" spans="3:13" ht="16.5" thickBot="1" x14ac:dyDescent="0.3"/>
    <row r="3" spans="3:13" ht="21.75" thickBot="1" x14ac:dyDescent="0.4">
      <c r="C3" s="11" t="s">
        <v>812</v>
      </c>
    </row>
    <row r="4" spans="3:13" ht="18.75" x14ac:dyDescent="0.3">
      <c r="C4" s="12" t="s">
        <v>811</v>
      </c>
    </row>
    <row r="6" spans="3:13" x14ac:dyDescent="0.25">
      <c r="C6" s="9" t="s">
        <v>801</v>
      </c>
      <c r="D6" s="9" t="s">
        <v>810</v>
      </c>
      <c r="E6" s="9" t="s">
        <v>802</v>
      </c>
      <c r="F6" s="24" t="s">
        <v>807</v>
      </c>
      <c r="G6" s="3"/>
      <c r="I6" s="3"/>
      <c r="J6" s="3"/>
    </row>
    <row r="7" spans="3:13" ht="120" x14ac:dyDescent="0.25">
      <c r="C7" s="10" t="s">
        <v>782</v>
      </c>
      <c r="D7" s="26">
        <v>1</v>
      </c>
      <c r="E7" s="26" t="s">
        <v>783</v>
      </c>
      <c r="F7" s="28" t="s">
        <v>843</v>
      </c>
      <c r="G7" s="6"/>
    </row>
    <row r="8" spans="3:13" ht="75" x14ac:dyDescent="0.25">
      <c r="C8" s="7"/>
      <c r="D8" s="26">
        <v>2</v>
      </c>
      <c r="E8" s="26" t="s">
        <v>803</v>
      </c>
      <c r="F8" s="27" t="s">
        <v>844</v>
      </c>
      <c r="G8" s="6"/>
    </row>
    <row r="9" spans="3:13" ht="180" x14ac:dyDescent="0.25">
      <c r="C9" s="8"/>
      <c r="D9" s="26">
        <v>3</v>
      </c>
      <c r="E9" s="26" t="s">
        <v>808</v>
      </c>
      <c r="F9" s="29" t="s">
        <v>845</v>
      </c>
      <c r="G9" s="6"/>
    </row>
    <row r="10" spans="3:13" ht="120" x14ac:dyDescent="0.25">
      <c r="C10" s="10" t="s">
        <v>786</v>
      </c>
      <c r="D10" s="26">
        <v>4</v>
      </c>
      <c r="E10" s="30" t="s">
        <v>804</v>
      </c>
      <c r="F10" s="27" t="s">
        <v>847</v>
      </c>
      <c r="G10" s="6"/>
    </row>
    <row r="11" spans="3:13" ht="60" x14ac:dyDescent="0.25">
      <c r="C11" s="8"/>
      <c r="D11" s="26">
        <v>5</v>
      </c>
      <c r="E11" s="30" t="s">
        <v>800</v>
      </c>
      <c r="F11" s="27" t="s">
        <v>848</v>
      </c>
      <c r="G11" s="6"/>
      <c r="J11" s="3"/>
    </row>
    <row r="12" spans="3:13" ht="120" x14ac:dyDescent="0.25">
      <c r="C12" s="10" t="s">
        <v>784</v>
      </c>
      <c r="D12" s="26">
        <v>6</v>
      </c>
      <c r="E12" s="30" t="s">
        <v>809</v>
      </c>
      <c r="F12" s="31" t="s">
        <v>849</v>
      </c>
      <c r="G12" s="6"/>
      <c r="J12" s="3"/>
    </row>
    <row r="13" spans="3:13" ht="120" x14ac:dyDescent="0.25">
      <c r="C13" s="8"/>
      <c r="D13" s="26">
        <v>7</v>
      </c>
      <c r="E13" s="30" t="s">
        <v>790</v>
      </c>
      <c r="F13" s="27" t="s">
        <v>851</v>
      </c>
      <c r="G13" s="6"/>
      <c r="J13" s="3"/>
    </row>
    <row r="14" spans="3:13" ht="120" x14ac:dyDescent="0.25">
      <c r="C14" s="7" t="s">
        <v>785</v>
      </c>
      <c r="D14" s="26">
        <v>8</v>
      </c>
      <c r="E14" s="26" t="s">
        <v>792</v>
      </c>
      <c r="F14" s="31" t="s">
        <v>852</v>
      </c>
      <c r="G14" s="6"/>
      <c r="J14" s="3"/>
      <c r="M14" s="3"/>
    </row>
    <row r="15" spans="3:13" ht="105" x14ac:dyDescent="0.25">
      <c r="C15" s="7"/>
      <c r="D15" s="26">
        <v>9</v>
      </c>
      <c r="E15" s="26" t="s">
        <v>853</v>
      </c>
      <c r="F15" s="27" t="s">
        <v>854</v>
      </c>
      <c r="G15" s="6"/>
      <c r="J15" s="3"/>
      <c r="M15" s="3"/>
    </row>
    <row r="16" spans="3:13" x14ac:dyDescent="0.25">
      <c r="C16" s="7"/>
      <c r="D16" s="26">
        <v>10</v>
      </c>
      <c r="E16" s="26" t="s">
        <v>805</v>
      </c>
      <c r="F16" s="25" t="s">
        <v>855</v>
      </c>
      <c r="G16" s="6"/>
      <c r="H16" s="3"/>
      <c r="J16" s="3"/>
      <c r="M16" s="3"/>
    </row>
    <row r="17" spans="3:14" ht="47.25" x14ac:dyDescent="0.25">
      <c r="C17" s="7"/>
      <c r="D17" s="26">
        <v>11</v>
      </c>
      <c r="E17" s="30" t="s">
        <v>806</v>
      </c>
      <c r="F17" s="34" t="s">
        <v>1326</v>
      </c>
      <c r="G17" s="6"/>
      <c r="H17" s="3"/>
      <c r="J17" s="3"/>
      <c r="M17" s="3"/>
    </row>
    <row r="18" spans="3:14" ht="105" x14ac:dyDescent="0.25">
      <c r="C18" s="7"/>
      <c r="D18" s="26">
        <v>12</v>
      </c>
      <c r="E18" s="30" t="s">
        <v>798</v>
      </c>
      <c r="F18" s="38" t="s">
        <v>1324</v>
      </c>
      <c r="G18" s="6"/>
      <c r="H18" s="3"/>
      <c r="J18" s="3"/>
      <c r="M18" s="3"/>
    </row>
    <row r="19" spans="3:14" ht="31.5" x14ac:dyDescent="0.25">
      <c r="C19" s="8"/>
      <c r="D19" s="26">
        <v>13</v>
      </c>
      <c r="E19" s="30" t="s">
        <v>799</v>
      </c>
      <c r="F19" s="34" t="s">
        <v>1325</v>
      </c>
      <c r="G19" s="6"/>
      <c r="H19" s="3"/>
      <c r="J19" s="3"/>
      <c r="M19" s="3"/>
    </row>
    <row r="20" spans="3:14" ht="16.5" thickBot="1" x14ac:dyDescent="0.3">
      <c r="G20" s="6"/>
      <c r="H20" s="3"/>
    </row>
    <row r="21" spans="3:14" x14ac:dyDescent="0.25">
      <c r="C21" s="2" t="s">
        <v>787</v>
      </c>
      <c r="D21" s="3"/>
      <c r="J21" s="3"/>
    </row>
    <row r="22" spans="3:14" x14ac:dyDescent="0.25">
      <c r="C22" s="4" t="s">
        <v>788</v>
      </c>
      <c r="J22" s="3"/>
    </row>
    <row r="23" spans="3:14" x14ac:dyDescent="0.25">
      <c r="C23" s="4" t="s">
        <v>789</v>
      </c>
      <c r="J23" s="3"/>
      <c r="M23" s="3"/>
      <c r="N23" s="3"/>
    </row>
    <row r="24" spans="3:14" x14ac:dyDescent="0.25">
      <c r="C24" s="4" t="s">
        <v>791</v>
      </c>
    </row>
    <row r="25" spans="3:14" x14ac:dyDescent="0.25">
      <c r="C25" s="4" t="s">
        <v>793</v>
      </c>
      <c r="M25" s="3"/>
      <c r="N25" s="3"/>
    </row>
    <row r="26" spans="3:14" x14ac:dyDescent="0.25">
      <c r="C26" s="4" t="s">
        <v>794</v>
      </c>
    </row>
    <row r="27" spans="3:14" x14ac:dyDescent="0.25">
      <c r="C27" s="4" t="s">
        <v>795</v>
      </c>
      <c r="M27" s="36"/>
      <c r="N27" s="36"/>
    </row>
    <row r="28" spans="3:14" x14ac:dyDescent="0.25">
      <c r="C28" s="4" t="s">
        <v>796</v>
      </c>
      <c r="N28" s="3"/>
    </row>
    <row r="29" spans="3:14" ht="16.5" thickBot="1" x14ac:dyDescent="0.3">
      <c r="C29" s="5" t="s">
        <v>797</v>
      </c>
      <c r="N29" s="3"/>
    </row>
    <row r="30" spans="3:14" x14ac:dyDescent="0.25">
      <c r="N30" s="3"/>
    </row>
    <row r="32" spans="3:14" x14ac:dyDescent="0.25">
      <c r="N32" s="3"/>
    </row>
  </sheetData>
  <mergeCells count="1">
    <mergeCell ref="M27:N27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A2" workbookViewId="0">
      <selection sqref="A1:P1001"/>
    </sheetView>
  </sheetViews>
  <sheetFormatPr defaultColWidth="8.85546875" defaultRowHeight="15" x14ac:dyDescent="0.25"/>
  <cols>
    <col min="1" max="1" width="9.42578125" customWidth="1"/>
    <col min="2" max="2" width="11.42578125" customWidth="1"/>
    <col min="3" max="3" width="21" customWidth="1"/>
    <col min="4" max="4" width="20.28515625" customWidth="1"/>
    <col min="5" max="5" width="13.7109375" customWidth="1"/>
    <col min="6" max="6" width="20.7109375" customWidth="1"/>
    <col min="7" max="7" width="20.140625" bestFit="1" customWidth="1"/>
    <col min="8" max="8" width="12.7109375" customWidth="1"/>
    <col min="9" max="9" width="21.5703125" bestFit="1" customWidth="1"/>
    <col min="10" max="10" width="22.85546875" customWidth="1"/>
    <col min="11" max="11" width="21.5703125" customWidth="1"/>
    <col min="12" max="12" width="22.42578125" bestFit="1" customWidth="1"/>
    <col min="13" max="13" width="49.5703125" bestFit="1" customWidth="1"/>
    <col min="14" max="14" width="10.140625" bestFit="1" customWidth="1"/>
    <col min="15" max="15" width="24" customWidth="1"/>
    <col min="16" max="16" width="25.140625" customWidth="1"/>
  </cols>
  <sheetData>
    <row r="1" spans="1:16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829</v>
      </c>
      <c r="J1" s="13" t="s">
        <v>831</v>
      </c>
      <c r="K1" s="13" t="s">
        <v>832</v>
      </c>
      <c r="L1" s="13" t="s">
        <v>830</v>
      </c>
      <c r="M1" s="13" t="s">
        <v>836</v>
      </c>
      <c r="N1" s="13" t="s">
        <v>840</v>
      </c>
      <c r="O1" s="13" t="s">
        <v>841</v>
      </c>
      <c r="P1" s="13" t="s">
        <v>139</v>
      </c>
    </row>
    <row r="2" spans="1:16" x14ac:dyDescent="0.25">
      <c r="A2">
        <v>1</v>
      </c>
      <c r="B2">
        <v>300</v>
      </c>
      <c r="C2">
        <v>103</v>
      </c>
      <c r="D2">
        <v>4</v>
      </c>
      <c r="E2">
        <v>412</v>
      </c>
      <c r="F2" s="23">
        <v>45187</v>
      </c>
      <c r="G2" t="s">
        <v>8</v>
      </c>
      <c r="H2">
        <v>315</v>
      </c>
      <c r="I2" t="str">
        <f>VLOOKUP(Продажи[[#This Row],[id товара]],Товары[#All],2,FALSE)</f>
        <v>Сахар</v>
      </c>
      <c r="J2" s="19">
        <f>AVERAGEIF(Продажи[Категория товара],Продажи[[#This Row],[Категория товара]],Продажи[цена за шт в рублях])</f>
        <v>252.76271186440678</v>
      </c>
      <c r="K2" s="20">
        <f>Продажи[[#This Row],[цена за шт в рублях]]/Продажи[[#This Row],[Средняя цена в категории за шт]]-1</f>
        <v>-0.59250318514048139</v>
      </c>
      <c r="L2" t="str">
        <f>VLOOKUP(Продажи[[#This Row],[id товара]],Товары[#All],3,FALSE)</f>
        <v>Продимекс</v>
      </c>
      <c r="M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2" s="23">
        <f>VLOOKUP(Продажи[[#This Row],[id клиента]],Таблица4[#All],5,FALSE)</f>
        <v>44747</v>
      </c>
      <c r="O2">
        <f>Продажи[[#This Row],[дата создания чека]]-Продажи[[#This Row],[Дата регистрации клиентов]]</f>
        <v>440</v>
      </c>
      <c r="P2" t="str">
        <f>VLOOKUP(Продажи[[#This Row],[id клиента]],Таблица4[#All],7,FALSE)</f>
        <v>Узбекистан</v>
      </c>
    </row>
    <row r="3" spans="1:16" x14ac:dyDescent="0.25">
      <c r="A3">
        <v>2</v>
      </c>
      <c r="B3">
        <v>486</v>
      </c>
      <c r="C3">
        <v>296</v>
      </c>
      <c r="D3">
        <v>3</v>
      </c>
      <c r="E3">
        <v>888</v>
      </c>
      <c r="F3" s="23">
        <v>45083</v>
      </c>
      <c r="G3" t="s">
        <v>9</v>
      </c>
      <c r="H3">
        <v>253</v>
      </c>
      <c r="I3" t="str">
        <f>VLOOKUP(Продажи[[#This Row],[id товара]],Товары[#All],2,FALSE)</f>
        <v>Соль</v>
      </c>
      <c r="J3" s="19">
        <f>AVERAGEIF(Продажи[Категория товара],Продажи[[#This Row],[Категория товара]],Продажи[цена за шт в рублях])</f>
        <v>264.8679245283019</v>
      </c>
      <c r="K3" s="20">
        <f>Продажи[[#This Row],[цена за шт в рублях]]/Продажи[[#This Row],[Средняя цена в категории за шт]]-1</f>
        <v>0.11753811084200017</v>
      </c>
      <c r="L3" t="str">
        <f>VLOOKUP(Продажи[[#This Row],[id товара]],Товары[#All],3,FALSE)</f>
        <v>Илецкая</v>
      </c>
      <c r="M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3" s="23">
        <f>VLOOKUP(Продажи[[#This Row],[id клиента]],Таблица4[#All],5,FALSE)</f>
        <v>44750</v>
      </c>
      <c r="O3">
        <f>Продажи[[#This Row],[дата создания чека]]-Продажи[[#This Row],[Дата регистрации клиентов]]</f>
        <v>333</v>
      </c>
      <c r="P3" t="str">
        <f>VLOOKUP(Продажи[[#This Row],[id клиента]],Таблица4[#All],7,FALSE)</f>
        <v>Беларусь</v>
      </c>
    </row>
    <row r="4" spans="1:16" x14ac:dyDescent="0.25">
      <c r="A4">
        <v>3</v>
      </c>
      <c r="B4">
        <v>76</v>
      </c>
      <c r="C4">
        <v>139</v>
      </c>
      <c r="D4">
        <v>5</v>
      </c>
      <c r="E4">
        <v>695</v>
      </c>
      <c r="F4" s="23">
        <v>45363</v>
      </c>
      <c r="G4" t="s">
        <v>10</v>
      </c>
      <c r="H4">
        <v>12</v>
      </c>
      <c r="I4" t="str">
        <f>VLOOKUP(Продажи[[#This Row],[id товара]],Товары[#All],2,FALSE)</f>
        <v>Печенье</v>
      </c>
      <c r="J4" s="19">
        <f>AVERAGEIF(Продажи[Категория товара],Продажи[[#This Row],[Категория товара]],Продажи[цена за шт в рублях])</f>
        <v>283.468085106383</v>
      </c>
      <c r="K4" s="20">
        <f>Продажи[[#This Row],[цена за шт в рублях]]/Продажи[[#This Row],[Средняя цена в категории за шт]]-1</f>
        <v>-0.50964497485551308</v>
      </c>
      <c r="L4" t="str">
        <f>VLOOKUP(Продажи[[#This Row],[id товара]],Товары[#All],3,FALSE)</f>
        <v>Юбилейное</v>
      </c>
      <c r="M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4" s="23">
        <f>VLOOKUP(Продажи[[#This Row],[id клиента]],Таблица4[#All],5,FALSE)</f>
        <v>44842</v>
      </c>
      <c r="O4">
        <f>Продажи[[#This Row],[дата создания чека]]-Продажи[[#This Row],[Дата регистрации клиентов]]</f>
        <v>521</v>
      </c>
      <c r="P4" t="str">
        <f>VLOOKUP(Продажи[[#This Row],[id клиента]],Таблица4[#All],7,FALSE)</f>
        <v>Беларусь</v>
      </c>
    </row>
    <row r="5" spans="1:16" x14ac:dyDescent="0.25">
      <c r="A5">
        <v>4</v>
      </c>
      <c r="B5">
        <v>240</v>
      </c>
      <c r="C5">
        <v>141</v>
      </c>
      <c r="D5">
        <v>5</v>
      </c>
      <c r="E5">
        <v>705</v>
      </c>
      <c r="F5" s="23">
        <v>45262</v>
      </c>
      <c r="G5" t="s">
        <v>11</v>
      </c>
      <c r="H5">
        <v>116</v>
      </c>
      <c r="I5" t="str">
        <f>VLOOKUP(Продажи[[#This Row],[id товара]],Товары[#All],2,FALSE)</f>
        <v>Макароны</v>
      </c>
      <c r="J5" s="19">
        <f>AVERAGEIF(Продажи[Категория товара],Продажи[[#This Row],[Категория товара]],Продажи[цена за шт в рублях])</f>
        <v>265.47674418604652</v>
      </c>
      <c r="K5" s="20">
        <f>Продажи[[#This Row],[цена за шт в рублях]]/Продажи[[#This Row],[Средняя цена в категории за шт]]-1</f>
        <v>-0.46888003153606939</v>
      </c>
      <c r="L5" t="str">
        <f>VLOOKUP(Продажи[[#This Row],[id товара]],Товары[#All],3,FALSE)</f>
        <v>Борилла</v>
      </c>
      <c r="M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5" s="23">
        <f>VLOOKUP(Продажи[[#This Row],[id клиента]],Таблица4[#All],5,FALSE)</f>
        <v>44643</v>
      </c>
      <c r="O5">
        <f>Продажи[[#This Row],[дата создания чека]]-Продажи[[#This Row],[Дата регистрации клиентов]]</f>
        <v>619</v>
      </c>
      <c r="P5" t="str">
        <f>VLOOKUP(Продажи[[#This Row],[id клиента]],Таблица4[#All],7,FALSE)</f>
        <v>Россия</v>
      </c>
    </row>
    <row r="6" spans="1:16" x14ac:dyDescent="0.25">
      <c r="A6">
        <v>5</v>
      </c>
      <c r="B6">
        <v>32</v>
      </c>
      <c r="C6">
        <v>123</v>
      </c>
      <c r="D6">
        <v>2</v>
      </c>
      <c r="E6">
        <v>246</v>
      </c>
      <c r="F6" s="23">
        <v>45151</v>
      </c>
      <c r="G6" t="s">
        <v>12</v>
      </c>
      <c r="H6">
        <v>471</v>
      </c>
      <c r="I6" t="str">
        <f>VLOOKUP(Продажи[[#This Row],[id товара]],Товары[#All],2,FALSE)</f>
        <v>Овощи</v>
      </c>
      <c r="J6" s="19">
        <f>AVERAGEIF(Продажи[Категория товара],Продажи[[#This Row],[Категория товара]],Продажи[цена за шт в рублях])</f>
        <v>250.48780487804879</v>
      </c>
      <c r="K6" s="20">
        <f>Продажи[[#This Row],[цена за шт в рублях]]/Продажи[[#This Row],[Средняя цена в категории за шт]]-1</f>
        <v>-0.5089581304771178</v>
      </c>
      <c r="L6" t="str">
        <f>VLOOKUP(Продажи[[#This Row],[id товара]],Товары[#All],3,FALSE)</f>
        <v>Зеленая грядка</v>
      </c>
      <c r="M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159.19999999999999</v>
      </c>
      <c r="N6" s="23">
        <f>VLOOKUP(Продажи[[#This Row],[id клиента]],Таблица4[#All],5,FALSE)</f>
        <v>44577</v>
      </c>
      <c r="O6">
        <f>Продажи[[#This Row],[дата создания чека]]-Продажи[[#This Row],[Дата регистрации клиентов]]</f>
        <v>574</v>
      </c>
      <c r="P6" t="str">
        <f>VLOOKUP(Продажи[[#This Row],[id клиента]],Таблица4[#All],7,FALSE)</f>
        <v>Украина</v>
      </c>
    </row>
    <row r="7" spans="1:16" x14ac:dyDescent="0.25">
      <c r="A7">
        <v>6</v>
      </c>
      <c r="B7">
        <v>162</v>
      </c>
      <c r="C7">
        <v>452</v>
      </c>
      <c r="D7">
        <v>2</v>
      </c>
      <c r="E7">
        <v>904</v>
      </c>
      <c r="F7" s="23">
        <v>45281</v>
      </c>
      <c r="G7" t="s">
        <v>8</v>
      </c>
      <c r="H7">
        <v>374</v>
      </c>
      <c r="I7" t="str">
        <f>VLOOKUP(Продажи[[#This Row],[id товара]],Товары[#All],2,FALSE)</f>
        <v>Сок</v>
      </c>
      <c r="J7" s="19">
        <f>AVERAGEIF(Продажи[Категория товара],Продажи[[#This Row],[Категория товара]],Продажи[цена за шт в рублях])</f>
        <v>268.60344827586209</v>
      </c>
      <c r="K7" s="20">
        <f>Продажи[[#This Row],[цена за шт в рублях]]/Продажи[[#This Row],[Средняя цена в категории за шт]]-1</f>
        <v>0.68277809872263928</v>
      </c>
      <c r="L7" t="str">
        <f>VLOOKUP(Продажи[[#This Row],[id товара]],Товары[#All],3,FALSE)</f>
        <v>Фруктовый сад</v>
      </c>
      <c r="M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" s="23">
        <f>VLOOKUP(Продажи[[#This Row],[id клиента]],Таблица4[#All],5,FALSE)</f>
        <v>44582</v>
      </c>
      <c r="O7">
        <f>Продажи[[#This Row],[дата создания чека]]-Продажи[[#This Row],[Дата регистрации клиентов]]</f>
        <v>699</v>
      </c>
      <c r="P7" t="str">
        <f>VLOOKUP(Продажи[[#This Row],[id клиента]],Таблица4[#All],7,FALSE)</f>
        <v>Украина</v>
      </c>
    </row>
    <row r="8" spans="1:16" x14ac:dyDescent="0.25">
      <c r="A8">
        <v>7</v>
      </c>
      <c r="B8">
        <v>323</v>
      </c>
      <c r="C8">
        <v>149</v>
      </c>
      <c r="D8">
        <v>5</v>
      </c>
      <c r="E8">
        <v>745</v>
      </c>
      <c r="F8" s="23">
        <v>45349</v>
      </c>
      <c r="G8" t="s">
        <v>13</v>
      </c>
      <c r="H8">
        <v>477</v>
      </c>
      <c r="I8" t="str">
        <f>VLOOKUP(Продажи[[#This Row],[id товара]],Товары[#All],2,FALSE)</f>
        <v>Рыба</v>
      </c>
      <c r="J8" s="19">
        <f>AVERAGEIF(Продажи[Категория товара],Продажи[[#This Row],[Категория товара]],Продажи[цена за шт в рублях])</f>
        <v>258.5128205128205</v>
      </c>
      <c r="K8" s="20">
        <f>Продажи[[#This Row],[цена за шт в рублях]]/Продажи[[#This Row],[Средняя цена в категории за шт]]-1</f>
        <v>-0.42362626463003372</v>
      </c>
      <c r="L8" t="str">
        <f>VLOOKUP(Продажи[[#This Row],[id товара]],Товары[#All],3,FALSE)</f>
        <v>Меридиан</v>
      </c>
      <c r="M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8" s="23">
        <f>VLOOKUP(Продажи[[#This Row],[id клиента]],Таблица4[#All],5,FALSE)</f>
        <v>44738</v>
      </c>
      <c r="O8">
        <f>Продажи[[#This Row],[дата создания чека]]-Продажи[[#This Row],[Дата регистрации клиентов]]</f>
        <v>611</v>
      </c>
      <c r="P8" t="str">
        <f>VLOOKUP(Продажи[[#This Row],[id клиента]],Таблица4[#All],7,FALSE)</f>
        <v>Узбекистан</v>
      </c>
    </row>
    <row r="9" spans="1:16" x14ac:dyDescent="0.25">
      <c r="A9">
        <v>8</v>
      </c>
      <c r="B9">
        <v>60</v>
      </c>
      <c r="C9">
        <v>489</v>
      </c>
      <c r="D9">
        <v>4</v>
      </c>
      <c r="E9">
        <v>1956</v>
      </c>
      <c r="F9" s="23">
        <v>45327</v>
      </c>
      <c r="G9" t="s">
        <v>14</v>
      </c>
      <c r="H9">
        <v>335</v>
      </c>
      <c r="I9" t="str">
        <f>VLOOKUP(Продажи[[#This Row],[id товара]],Товары[#All],2,FALSE)</f>
        <v>Кофе</v>
      </c>
      <c r="J9" s="19">
        <f>AVERAGEIF(Продажи[Категория товара],Продажи[[#This Row],[Категория товара]],Продажи[цена за шт в рублях])</f>
        <v>249.02380952380952</v>
      </c>
      <c r="K9" s="20">
        <f>Продажи[[#This Row],[цена за шт в рублях]]/Продажи[[#This Row],[Средняя цена в категории за шт]]-1</f>
        <v>0.9636676546514964</v>
      </c>
      <c r="L9" t="str">
        <f>VLOOKUP(Продажи[[#This Row],[id товара]],Товары[#All],3,FALSE)</f>
        <v>Jacobs</v>
      </c>
      <c r="M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9" s="23">
        <f>VLOOKUP(Продажи[[#This Row],[id клиента]],Таблица4[#All],5,FALSE)</f>
        <v>44619</v>
      </c>
      <c r="O9">
        <f>Продажи[[#This Row],[дата создания чека]]-Продажи[[#This Row],[Дата регистрации клиентов]]</f>
        <v>708</v>
      </c>
      <c r="P9" t="str">
        <f>VLOOKUP(Продажи[[#This Row],[id клиента]],Таблица4[#All],7,FALSE)</f>
        <v>Узбекистан</v>
      </c>
    </row>
    <row r="10" spans="1:16" x14ac:dyDescent="0.25">
      <c r="A10">
        <v>9</v>
      </c>
      <c r="B10">
        <v>401</v>
      </c>
      <c r="C10">
        <v>416</v>
      </c>
      <c r="D10">
        <v>5</v>
      </c>
      <c r="E10">
        <v>2080</v>
      </c>
      <c r="F10" s="23">
        <v>45376</v>
      </c>
      <c r="G10" t="s">
        <v>15</v>
      </c>
      <c r="H10">
        <v>350</v>
      </c>
      <c r="I10" t="str">
        <f>VLOOKUP(Продажи[[#This Row],[id товара]],Товары[#All],2,FALSE)</f>
        <v>Чай</v>
      </c>
      <c r="J10" s="19">
        <f>AVERAGEIF(Продажи[Категория товара],Продажи[[#This Row],[Категория товара]],Продажи[цена за шт в рублях])</f>
        <v>271.18181818181819</v>
      </c>
      <c r="K10" s="20">
        <f>Продажи[[#This Row],[цена за шт в рублях]]/Продажи[[#This Row],[Средняя цена в категории за шт]]-1</f>
        <v>0.53402614817298022</v>
      </c>
      <c r="L10" t="str">
        <f>VLOOKUP(Продажи[[#This Row],[id товара]],Товары[#All],3,FALSE)</f>
        <v>Greenfield</v>
      </c>
      <c r="M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10" s="23">
        <f>VLOOKUP(Продажи[[#This Row],[id клиента]],Таблица4[#All],5,FALSE)</f>
        <v>44684</v>
      </c>
      <c r="O10">
        <f>Продажи[[#This Row],[дата создания чека]]-Продажи[[#This Row],[Дата регистрации клиентов]]</f>
        <v>692</v>
      </c>
      <c r="P10" t="str">
        <f>VLOOKUP(Продажи[[#This Row],[id клиента]],Таблица4[#All],7,FALSE)</f>
        <v>Украина</v>
      </c>
    </row>
    <row r="11" spans="1:16" x14ac:dyDescent="0.25">
      <c r="A11">
        <v>10</v>
      </c>
      <c r="B11">
        <v>100</v>
      </c>
      <c r="C11">
        <v>449</v>
      </c>
      <c r="D11">
        <v>2</v>
      </c>
      <c r="E11">
        <v>898</v>
      </c>
      <c r="F11" s="23">
        <v>45032</v>
      </c>
      <c r="G11" t="s">
        <v>13</v>
      </c>
      <c r="H11">
        <v>413</v>
      </c>
      <c r="I11" t="str">
        <f>VLOOKUP(Продажи[[#This Row],[id товара]],Товары[#All],2,FALSE)</f>
        <v>Йогурт</v>
      </c>
      <c r="J11" s="19">
        <f>AVERAGEIF(Продажи[Категория товара],Продажи[[#This Row],[Категория товара]],Продажи[цена за шт в рублях])</f>
        <v>263.25423728813558</v>
      </c>
      <c r="K11" s="20">
        <f>Продажи[[#This Row],[цена за шт в рублях]]/Продажи[[#This Row],[Средняя цена в категории за шт]]-1</f>
        <v>0.7055755858872006</v>
      </c>
      <c r="L11" t="str">
        <f>VLOOKUP(Продажи[[#This Row],[id товара]],Товары[#All],3,FALSE)</f>
        <v>Ростагроэкспорт</v>
      </c>
      <c r="M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11" s="23">
        <f>VLOOKUP(Продажи[[#This Row],[id клиента]],Таблица4[#All],5,FALSE)</f>
        <v>44699</v>
      </c>
      <c r="O11">
        <f>Продажи[[#This Row],[дата создания чека]]-Продажи[[#This Row],[Дата регистрации клиентов]]</f>
        <v>333</v>
      </c>
      <c r="P11" t="str">
        <f>VLOOKUP(Продажи[[#This Row],[id клиента]],Таблица4[#All],7,FALSE)</f>
        <v>Россия</v>
      </c>
    </row>
    <row r="12" spans="1:16" x14ac:dyDescent="0.25">
      <c r="A12">
        <v>11</v>
      </c>
      <c r="B12">
        <v>217</v>
      </c>
      <c r="C12">
        <v>296</v>
      </c>
      <c r="D12">
        <v>2</v>
      </c>
      <c r="E12">
        <v>592</v>
      </c>
      <c r="F12" s="23">
        <v>45136</v>
      </c>
      <c r="G12" t="s">
        <v>13</v>
      </c>
      <c r="H12">
        <v>495</v>
      </c>
      <c r="I12" t="str">
        <f>VLOOKUP(Продажи[[#This Row],[id товара]],Товары[#All],2,FALSE)</f>
        <v>Мясо</v>
      </c>
      <c r="J12" s="19">
        <f>AVERAGEIF(Продажи[Категория товара],Продажи[[#This Row],[Категория товара]],Продажи[цена за шт в рублях])</f>
        <v>271.74545454545455</v>
      </c>
      <c r="K12" s="20">
        <f>Продажи[[#This Row],[цена за шт в рублях]]/Продажи[[#This Row],[Средняя цена в категории за шт]]-1</f>
        <v>8.925465007359823E-2</v>
      </c>
      <c r="L12" t="str">
        <f>VLOOKUP(Продажи[[#This Row],[id товара]],Товары[#All],3,FALSE)</f>
        <v>Агрокомплекс</v>
      </c>
      <c r="M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12" s="23">
        <f>VLOOKUP(Продажи[[#This Row],[id клиента]],Таблица4[#All],5,FALSE)</f>
        <v>44654</v>
      </c>
      <c r="O12">
        <f>Продажи[[#This Row],[дата создания чека]]-Продажи[[#This Row],[Дата регистрации клиентов]]</f>
        <v>482</v>
      </c>
      <c r="P12" t="str">
        <f>VLOOKUP(Продажи[[#This Row],[id клиента]],Таблица4[#All],7,FALSE)</f>
        <v>Узбекистан</v>
      </c>
    </row>
    <row r="13" spans="1:16" x14ac:dyDescent="0.25">
      <c r="A13">
        <v>12</v>
      </c>
      <c r="B13">
        <v>445</v>
      </c>
      <c r="C13">
        <v>109</v>
      </c>
      <c r="D13">
        <v>5</v>
      </c>
      <c r="E13">
        <v>545</v>
      </c>
      <c r="F13" s="23">
        <v>45394</v>
      </c>
      <c r="G13" t="s">
        <v>14</v>
      </c>
      <c r="H13">
        <v>353</v>
      </c>
      <c r="I13" t="str">
        <f>VLOOKUP(Продажи[[#This Row],[id товара]],Товары[#All],2,FALSE)</f>
        <v>Сахар</v>
      </c>
      <c r="J13" s="19">
        <f>AVERAGEIF(Продажи[Категория товара],Продажи[[#This Row],[Категория товара]],Продажи[цена за шт в рублях])</f>
        <v>252.76271186440678</v>
      </c>
      <c r="K13" s="20">
        <f>Продажи[[#This Row],[цена за шт в рублях]]/Продажи[[#This Row],[Средняя цена в категории за шт]]-1</f>
        <v>-0.56876550660497549</v>
      </c>
      <c r="L13" t="str">
        <f>VLOOKUP(Продажи[[#This Row],[id товара]],Товары[#All],3,FALSE)</f>
        <v>Сладов</v>
      </c>
      <c r="M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13" s="23">
        <f>VLOOKUP(Продажи[[#This Row],[id клиента]],Таблица4[#All],5,FALSE)</f>
        <v>44656</v>
      </c>
      <c r="O13">
        <f>Продажи[[#This Row],[дата создания чека]]-Продажи[[#This Row],[Дата регистрации клиентов]]</f>
        <v>738</v>
      </c>
      <c r="P13" t="str">
        <f>VLOOKUP(Продажи[[#This Row],[id клиента]],Таблица4[#All],7,FALSE)</f>
        <v>Таджикистан</v>
      </c>
    </row>
    <row r="14" spans="1:16" x14ac:dyDescent="0.25">
      <c r="A14">
        <v>13</v>
      </c>
      <c r="B14">
        <v>284</v>
      </c>
      <c r="C14">
        <v>213</v>
      </c>
      <c r="D14">
        <v>3</v>
      </c>
      <c r="E14">
        <v>639</v>
      </c>
      <c r="F14" s="23">
        <v>45266</v>
      </c>
      <c r="G14" t="s">
        <v>10</v>
      </c>
      <c r="H14">
        <v>332</v>
      </c>
      <c r="I14" t="str">
        <f>VLOOKUP(Продажи[[#This Row],[id товара]],Товары[#All],2,FALSE)</f>
        <v>Мясо</v>
      </c>
      <c r="J14" s="19">
        <f>AVERAGEIF(Продажи[Категория товара],Продажи[[#This Row],[Категория товара]],Продажи[цена за шт в рублях])</f>
        <v>271.74545454545455</v>
      </c>
      <c r="K14" s="20">
        <f>Продажи[[#This Row],[цена за шт в рублях]]/Продажи[[#This Row],[Средняя цена в категории за шт]]-1</f>
        <v>-0.21617824167001209</v>
      </c>
      <c r="L14" t="str">
        <f>VLOOKUP(Продажи[[#This Row],[id товара]],Товары[#All],3,FALSE)</f>
        <v>Сава</v>
      </c>
      <c r="M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14" s="23">
        <f>VLOOKUP(Продажи[[#This Row],[id клиента]],Таблица4[#All],5,FALSE)</f>
        <v>44858</v>
      </c>
      <c r="O14">
        <f>Продажи[[#This Row],[дата создания чека]]-Продажи[[#This Row],[Дата регистрации клиентов]]</f>
        <v>408</v>
      </c>
      <c r="P14" t="str">
        <f>VLOOKUP(Продажи[[#This Row],[id клиента]],Таблица4[#All],7,FALSE)</f>
        <v>Узбекистан</v>
      </c>
    </row>
    <row r="15" spans="1:16" x14ac:dyDescent="0.25">
      <c r="A15">
        <v>14</v>
      </c>
      <c r="B15">
        <v>116</v>
      </c>
      <c r="C15">
        <v>190</v>
      </c>
      <c r="D15">
        <v>4</v>
      </c>
      <c r="E15">
        <v>760</v>
      </c>
      <c r="F15" s="23">
        <v>45133</v>
      </c>
      <c r="G15" t="s">
        <v>11</v>
      </c>
      <c r="H15">
        <v>414</v>
      </c>
      <c r="I15" t="str">
        <f>VLOOKUP(Продажи[[#This Row],[id товара]],Товары[#All],2,FALSE)</f>
        <v>Соль</v>
      </c>
      <c r="J15" s="19">
        <f>AVERAGEIF(Продажи[Категория товара],Продажи[[#This Row],[Категория товара]],Продажи[цена за шт в рублях])</f>
        <v>264.8679245283019</v>
      </c>
      <c r="K15" s="20">
        <f>Продажи[[#This Row],[цена за шт в рублях]]/Продажи[[#This Row],[Средняя цена в категории за шт]]-1</f>
        <v>-0.28266134777033769</v>
      </c>
      <c r="L15" t="str">
        <f>VLOOKUP(Продажи[[#This Row],[id товара]],Товары[#All],3,FALSE)</f>
        <v>Экстра</v>
      </c>
      <c r="M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15" s="23">
        <f>VLOOKUP(Продажи[[#This Row],[id клиента]],Таблица4[#All],5,FALSE)</f>
        <v>44794</v>
      </c>
      <c r="O15">
        <f>Продажи[[#This Row],[дата создания чека]]-Продажи[[#This Row],[Дата регистрации клиентов]]</f>
        <v>339</v>
      </c>
      <c r="P15" t="str">
        <f>VLOOKUP(Продажи[[#This Row],[id клиента]],Таблица4[#All],7,FALSE)</f>
        <v>Беларусь</v>
      </c>
    </row>
    <row r="16" spans="1:16" x14ac:dyDescent="0.25">
      <c r="A16">
        <v>15</v>
      </c>
      <c r="B16">
        <v>378</v>
      </c>
      <c r="C16">
        <v>237</v>
      </c>
      <c r="D16">
        <v>1</v>
      </c>
      <c r="E16">
        <v>237</v>
      </c>
      <c r="F16" s="23">
        <v>44972</v>
      </c>
      <c r="G16" t="s">
        <v>13</v>
      </c>
      <c r="H16">
        <v>236</v>
      </c>
      <c r="I16" t="str">
        <f>VLOOKUP(Продажи[[#This Row],[id товара]],Товары[#All],2,FALSE)</f>
        <v>Сок</v>
      </c>
      <c r="J16" s="19">
        <f>AVERAGEIF(Продажи[Категория товара],Продажи[[#This Row],[Категория товара]],Продажи[цена за шт в рублях])</f>
        <v>268.60344827586209</v>
      </c>
      <c r="K16" s="20">
        <f>Продажи[[#This Row],[цена за шт в рублях]]/Продажи[[#This Row],[Средняя цена в категории за шт]]-1</f>
        <v>-0.11765838628923564</v>
      </c>
      <c r="L16" t="str">
        <f>VLOOKUP(Продажи[[#This Row],[id товара]],Товары[#All],3,FALSE)</f>
        <v>Фруктовый сад</v>
      </c>
      <c r="M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16" s="23">
        <f>VLOOKUP(Продажи[[#This Row],[id клиента]],Таблица4[#All],5,FALSE)</f>
        <v>44820</v>
      </c>
      <c r="O16">
        <f>Продажи[[#This Row],[дата создания чека]]-Продажи[[#This Row],[Дата регистрации клиентов]]</f>
        <v>152</v>
      </c>
      <c r="P16" t="str">
        <f>VLOOKUP(Продажи[[#This Row],[id клиента]],Таблица4[#All],7,FALSE)</f>
        <v>Узбекистан</v>
      </c>
    </row>
    <row r="17" spans="1:16" x14ac:dyDescent="0.25">
      <c r="A17">
        <v>16</v>
      </c>
      <c r="B17">
        <v>299</v>
      </c>
      <c r="C17">
        <v>178</v>
      </c>
      <c r="D17">
        <v>3</v>
      </c>
      <c r="E17">
        <v>534</v>
      </c>
      <c r="F17" s="23">
        <v>44980</v>
      </c>
      <c r="G17" t="s">
        <v>14</v>
      </c>
      <c r="H17">
        <v>164</v>
      </c>
      <c r="I17" t="str">
        <f>VLOOKUP(Продажи[[#This Row],[id товара]],Товары[#All],2,FALSE)</f>
        <v>Чай</v>
      </c>
      <c r="J17" s="19">
        <f>AVERAGEIF(Продажи[Категория товара],Продажи[[#This Row],[Категория товара]],Продажи[цена за шт в рублях])</f>
        <v>271.18181818181819</v>
      </c>
      <c r="K17" s="20">
        <f>Продажи[[#This Row],[цена за шт в рублях]]/Продажи[[#This Row],[Средняя цена в категории за шт]]-1</f>
        <v>-0.34361381159906135</v>
      </c>
      <c r="L17" t="str">
        <f>VLOOKUP(Продажи[[#This Row],[id товара]],Товары[#All],3,FALSE)</f>
        <v>Lipton</v>
      </c>
      <c r="M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17" s="23">
        <f>VLOOKUP(Продажи[[#This Row],[id клиента]],Таблица4[#All],5,FALSE)</f>
        <v>44678</v>
      </c>
      <c r="O17">
        <f>Продажи[[#This Row],[дата создания чека]]-Продажи[[#This Row],[Дата регистрации клиентов]]</f>
        <v>302</v>
      </c>
      <c r="P17" t="str">
        <f>VLOOKUP(Продажи[[#This Row],[id клиента]],Таблица4[#All],7,FALSE)</f>
        <v>Россия</v>
      </c>
    </row>
    <row r="18" spans="1:16" x14ac:dyDescent="0.25">
      <c r="A18">
        <v>17</v>
      </c>
      <c r="B18">
        <v>359</v>
      </c>
      <c r="C18">
        <v>320</v>
      </c>
      <c r="D18">
        <v>5</v>
      </c>
      <c r="E18">
        <v>1600</v>
      </c>
      <c r="F18" s="23">
        <v>45216</v>
      </c>
      <c r="G18" t="s">
        <v>16</v>
      </c>
      <c r="H18">
        <v>490</v>
      </c>
      <c r="I18" t="str">
        <f>VLOOKUP(Продажи[[#This Row],[id товара]],Товары[#All],2,FALSE)</f>
        <v>Мясо</v>
      </c>
      <c r="J18" s="19">
        <f>AVERAGEIF(Продажи[Категория товара],Продажи[[#This Row],[Категория товара]],Продажи[цена за шт в рублях])</f>
        <v>271.74545454545455</v>
      </c>
      <c r="K18" s="20">
        <f>Продажи[[#This Row],[цена за шт в рублях]]/Продажи[[#This Row],[Средняя цена в категории за шт]]-1</f>
        <v>0.1775725946741602</v>
      </c>
      <c r="L18" t="str">
        <f>VLOOKUP(Продажи[[#This Row],[id товара]],Товары[#All],3,FALSE)</f>
        <v>Мираторг</v>
      </c>
      <c r="M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18" s="23">
        <f>VLOOKUP(Продажи[[#This Row],[id клиента]],Таблица4[#All],5,FALSE)</f>
        <v>44603</v>
      </c>
      <c r="O18">
        <f>Продажи[[#This Row],[дата создания чека]]-Продажи[[#This Row],[Дата регистрации клиентов]]</f>
        <v>613</v>
      </c>
      <c r="P18" t="str">
        <f>VLOOKUP(Продажи[[#This Row],[id клиента]],Таблица4[#All],7,FALSE)</f>
        <v>Россия</v>
      </c>
    </row>
    <row r="19" spans="1:16" x14ac:dyDescent="0.25">
      <c r="A19">
        <v>18</v>
      </c>
      <c r="B19">
        <v>337</v>
      </c>
      <c r="C19">
        <v>419</v>
      </c>
      <c r="D19">
        <v>2</v>
      </c>
      <c r="E19">
        <v>838</v>
      </c>
      <c r="F19" s="23">
        <v>45116</v>
      </c>
      <c r="G19" t="s">
        <v>10</v>
      </c>
      <c r="H19">
        <v>223</v>
      </c>
      <c r="I19" t="str">
        <f>VLOOKUP(Продажи[[#This Row],[id товара]],Товары[#All],2,FALSE)</f>
        <v>Макароны</v>
      </c>
      <c r="J19" s="19">
        <f>AVERAGEIF(Продажи[Категория товара],Продажи[[#This Row],[Категория товара]],Продажи[цена за шт в рублях])</f>
        <v>265.47674418604652</v>
      </c>
      <c r="K19" s="20">
        <f>Продажи[[#This Row],[цена за шт в рублях]]/Продажи[[#This Row],[Средняя цена в категории за шт]]-1</f>
        <v>0.57829267224387881</v>
      </c>
      <c r="L19" t="str">
        <f>VLOOKUP(Продажи[[#This Row],[id товара]],Товары[#All],3,FALSE)</f>
        <v>Паста Зара</v>
      </c>
      <c r="M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19" s="23">
        <f>VLOOKUP(Продажи[[#This Row],[id клиента]],Таблица4[#All],5,FALSE)</f>
        <v>44893</v>
      </c>
      <c r="O19">
        <f>Продажи[[#This Row],[дата создания чека]]-Продажи[[#This Row],[Дата регистрации клиентов]]</f>
        <v>223</v>
      </c>
      <c r="P19" t="str">
        <f>VLOOKUP(Продажи[[#This Row],[id клиента]],Таблица4[#All],7,FALSE)</f>
        <v>Украина</v>
      </c>
    </row>
    <row r="20" spans="1:16" x14ac:dyDescent="0.25">
      <c r="A20">
        <v>19</v>
      </c>
      <c r="B20">
        <v>226</v>
      </c>
      <c r="C20">
        <v>190</v>
      </c>
      <c r="D20">
        <v>5</v>
      </c>
      <c r="E20">
        <v>950</v>
      </c>
      <c r="F20" s="23">
        <v>45058</v>
      </c>
      <c r="G20" t="s">
        <v>17</v>
      </c>
      <c r="H20">
        <v>204</v>
      </c>
      <c r="I20" t="str">
        <f>VLOOKUP(Продажи[[#This Row],[id товара]],Товары[#All],2,FALSE)</f>
        <v>Сыр</v>
      </c>
      <c r="J20" s="19">
        <f>AVERAGEIF(Продажи[Категория товара],Продажи[[#This Row],[Категория товара]],Продажи[цена за шт в рублях])</f>
        <v>262.63492063492066</v>
      </c>
      <c r="K20" s="20">
        <f>Продажи[[#This Row],[цена за шт в рублях]]/Продажи[[#This Row],[Средняя цена в категории за шт]]-1</f>
        <v>-0.2765623111326001</v>
      </c>
      <c r="L20" t="str">
        <f>VLOOKUP(Продажи[[#This Row],[id товара]],Товары[#All],3,FALSE)</f>
        <v>Карат</v>
      </c>
      <c r="M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20" s="23">
        <f>VLOOKUP(Продажи[[#This Row],[id клиента]],Таблица4[#All],5,FALSE)</f>
        <v>44867</v>
      </c>
      <c r="O20">
        <f>Продажи[[#This Row],[дата создания чека]]-Продажи[[#This Row],[Дата регистрации клиентов]]</f>
        <v>191</v>
      </c>
      <c r="P20" t="str">
        <f>VLOOKUP(Продажи[[#This Row],[id клиента]],Таблица4[#All],7,FALSE)</f>
        <v>Россия</v>
      </c>
    </row>
    <row r="21" spans="1:16" x14ac:dyDescent="0.25">
      <c r="A21">
        <v>20</v>
      </c>
      <c r="B21">
        <v>310</v>
      </c>
      <c r="C21">
        <v>458</v>
      </c>
      <c r="D21">
        <v>2</v>
      </c>
      <c r="E21">
        <v>916</v>
      </c>
      <c r="F21" s="23">
        <v>45158</v>
      </c>
      <c r="G21" t="s">
        <v>17</v>
      </c>
      <c r="H21">
        <v>481</v>
      </c>
      <c r="I21" t="str">
        <f>VLOOKUP(Продажи[[#This Row],[id товара]],Товары[#All],2,FALSE)</f>
        <v>Макароны</v>
      </c>
      <c r="J21" s="19">
        <f>AVERAGEIF(Продажи[Категория товара],Продажи[[#This Row],[Категория товара]],Продажи[цена за шт в рублях])</f>
        <v>265.47674418604652</v>
      </c>
      <c r="K21" s="20">
        <f>Продажи[[#This Row],[цена за шт в рублях]]/Продажи[[#This Row],[Средняя цена в категории за шт]]-1</f>
        <v>0.72519819543603004</v>
      </c>
      <c r="L21" t="str">
        <f>VLOOKUP(Продажи[[#This Row],[id товара]],Товары[#All],3,FALSE)</f>
        <v>Паста Зара</v>
      </c>
      <c r="M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21" s="23">
        <f>VLOOKUP(Продажи[[#This Row],[id клиента]],Таблица4[#All],5,FALSE)</f>
        <v>44756</v>
      </c>
      <c r="O21">
        <f>Продажи[[#This Row],[дата создания чека]]-Продажи[[#This Row],[Дата регистрации клиентов]]</f>
        <v>402</v>
      </c>
      <c r="P21" t="str">
        <f>VLOOKUP(Продажи[[#This Row],[id клиента]],Таблица4[#All],7,FALSE)</f>
        <v>Беларусь</v>
      </c>
    </row>
    <row r="22" spans="1:16" x14ac:dyDescent="0.25">
      <c r="A22">
        <v>21</v>
      </c>
      <c r="B22">
        <v>137</v>
      </c>
      <c r="C22">
        <v>152</v>
      </c>
      <c r="D22">
        <v>2</v>
      </c>
      <c r="E22">
        <v>304</v>
      </c>
      <c r="F22" s="23">
        <v>45244</v>
      </c>
      <c r="G22" t="s">
        <v>8</v>
      </c>
      <c r="H22">
        <v>363</v>
      </c>
      <c r="I22" t="str">
        <f>VLOOKUP(Продажи[[#This Row],[id товара]],Товары[#All],2,FALSE)</f>
        <v>Фрукты</v>
      </c>
      <c r="J22" s="19">
        <f>AVERAGEIF(Продажи[Категория товара],Продажи[[#This Row],[Категория товара]],Продажи[цена за шт в рублях])</f>
        <v>274.16279069767444</v>
      </c>
      <c r="K22" s="20">
        <f>Продажи[[#This Row],[цена за шт в рублях]]/Продажи[[#This Row],[Средняя цена в категории за шт]]-1</f>
        <v>-0.4455848672491306</v>
      </c>
      <c r="L22" t="str">
        <f>VLOOKUP(Продажи[[#This Row],[id товара]],Товары[#All],3,FALSE)</f>
        <v>Экзотик</v>
      </c>
      <c r="M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22" s="23">
        <f>VLOOKUP(Продажи[[#This Row],[id клиента]],Таблица4[#All],5,FALSE)</f>
        <v>44675</v>
      </c>
      <c r="O22">
        <f>Продажи[[#This Row],[дата создания чека]]-Продажи[[#This Row],[Дата регистрации клиентов]]</f>
        <v>569</v>
      </c>
      <c r="P22" t="str">
        <f>VLOOKUP(Продажи[[#This Row],[id клиента]],Таблица4[#All],7,FALSE)</f>
        <v>Узбекистан</v>
      </c>
    </row>
    <row r="23" spans="1:16" x14ac:dyDescent="0.25">
      <c r="A23">
        <v>22</v>
      </c>
      <c r="B23">
        <v>385</v>
      </c>
      <c r="C23">
        <v>352</v>
      </c>
      <c r="D23">
        <v>2</v>
      </c>
      <c r="E23">
        <v>704</v>
      </c>
      <c r="F23" s="23">
        <v>45123</v>
      </c>
      <c r="G23" t="s">
        <v>14</v>
      </c>
      <c r="H23">
        <v>397</v>
      </c>
      <c r="I23" t="str">
        <f>VLOOKUP(Продажи[[#This Row],[id товара]],Товары[#All],2,FALSE)</f>
        <v>Макароны</v>
      </c>
      <c r="J23" s="19">
        <f>AVERAGEIF(Продажи[Категория товара],Продажи[[#This Row],[Категория товара]],Продажи[цена за шт в рублях])</f>
        <v>265.47674418604652</v>
      </c>
      <c r="K23" s="20">
        <f>Продажи[[#This Row],[цена за шт в рублях]]/Продажи[[#This Row],[Средняя цена в категории за шт]]-1</f>
        <v>0.32591651701633739</v>
      </c>
      <c r="L23" t="str">
        <f>VLOOKUP(Продажи[[#This Row],[id товара]],Товары[#All],3,FALSE)</f>
        <v>Макфа</v>
      </c>
      <c r="M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23" s="23">
        <f>VLOOKUP(Продажи[[#This Row],[id клиента]],Таблица4[#All],5,FALSE)</f>
        <v>44728</v>
      </c>
      <c r="O23">
        <f>Продажи[[#This Row],[дата создания чека]]-Продажи[[#This Row],[Дата регистрации клиентов]]</f>
        <v>395</v>
      </c>
      <c r="P23" t="str">
        <f>VLOOKUP(Продажи[[#This Row],[id клиента]],Таблица4[#All],7,FALSE)</f>
        <v>Беларусь</v>
      </c>
    </row>
    <row r="24" spans="1:16" x14ac:dyDescent="0.25">
      <c r="A24">
        <v>23</v>
      </c>
      <c r="B24">
        <v>226</v>
      </c>
      <c r="C24">
        <v>228</v>
      </c>
      <c r="D24">
        <v>2</v>
      </c>
      <c r="E24">
        <v>456</v>
      </c>
      <c r="F24" s="23">
        <v>45027</v>
      </c>
      <c r="G24" t="s">
        <v>18</v>
      </c>
      <c r="H24">
        <v>280</v>
      </c>
      <c r="I24" t="str">
        <f>VLOOKUP(Продажи[[#This Row],[id товара]],Товары[#All],2,FALSE)</f>
        <v>Сыр</v>
      </c>
      <c r="J24" s="19">
        <f>AVERAGEIF(Продажи[Категория товара],Продажи[[#This Row],[Категория товара]],Продажи[цена за шт в рублях])</f>
        <v>262.63492063492066</v>
      </c>
      <c r="K24" s="20">
        <f>Продажи[[#This Row],[цена за шт в рублях]]/Продажи[[#This Row],[Средняя цена в категории за шт]]-1</f>
        <v>-0.13187477335912012</v>
      </c>
      <c r="L24" t="str">
        <f>VLOOKUP(Продажи[[#This Row],[id товара]],Товары[#All],3,FALSE)</f>
        <v>Карат</v>
      </c>
      <c r="M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24" s="23">
        <f>VLOOKUP(Продажи[[#This Row],[id клиента]],Таблица4[#All],5,FALSE)</f>
        <v>44563</v>
      </c>
      <c r="O24">
        <f>Продажи[[#This Row],[дата создания чека]]-Продажи[[#This Row],[Дата регистрации клиентов]]</f>
        <v>464</v>
      </c>
      <c r="P24" t="str">
        <f>VLOOKUP(Продажи[[#This Row],[id клиента]],Таблица4[#All],7,FALSE)</f>
        <v>Россия</v>
      </c>
    </row>
    <row r="25" spans="1:16" x14ac:dyDescent="0.25">
      <c r="A25">
        <v>24</v>
      </c>
      <c r="B25">
        <v>451</v>
      </c>
      <c r="C25">
        <v>161</v>
      </c>
      <c r="D25">
        <v>4</v>
      </c>
      <c r="E25">
        <v>644</v>
      </c>
      <c r="F25" s="23">
        <v>44966</v>
      </c>
      <c r="G25" t="s">
        <v>15</v>
      </c>
      <c r="H25">
        <v>39</v>
      </c>
      <c r="I25" t="str">
        <f>VLOOKUP(Продажи[[#This Row],[id товара]],Товары[#All],2,FALSE)</f>
        <v>Рис</v>
      </c>
      <c r="J25" s="19">
        <f>AVERAGEIF(Продажи[Категория товара],Продажи[[#This Row],[Категория товара]],Продажи[цена за шт в рублях])</f>
        <v>258.375</v>
      </c>
      <c r="K25" s="20">
        <f>Продажи[[#This Row],[цена за шт в рублях]]/Продажи[[#This Row],[Средняя цена в категории за шт]]-1</f>
        <v>-0.37687469762941461</v>
      </c>
      <c r="L25" t="str">
        <f>VLOOKUP(Продажи[[#This Row],[id товара]],Товары[#All],3,FALSE)</f>
        <v>Белый Злат</v>
      </c>
      <c r="M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25" s="23">
        <f>VLOOKUP(Продажи[[#This Row],[id клиента]],Таблица4[#All],5,FALSE)</f>
        <v>44653</v>
      </c>
      <c r="O25">
        <f>Продажи[[#This Row],[дата создания чека]]-Продажи[[#This Row],[Дата регистрации клиентов]]</f>
        <v>313</v>
      </c>
      <c r="P25" t="str">
        <f>VLOOKUP(Продажи[[#This Row],[id клиента]],Таблица4[#All],7,FALSE)</f>
        <v>Беларусь</v>
      </c>
    </row>
    <row r="26" spans="1:16" x14ac:dyDescent="0.25">
      <c r="A26">
        <v>25</v>
      </c>
      <c r="B26">
        <v>7</v>
      </c>
      <c r="C26">
        <v>362</v>
      </c>
      <c r="D26">
        <v>1</v>
      </c>
      <c r="E26">
        <v>362</v>
      </c>
      <c r="F26" s="23">
        <v>45326</v>
      </c>
      <c r="G26" t="s">
        <v>12</v>
      </c>
      <c r="H26">
        <v>303</v>
      </c>
      <c r="I26" t="str">
        <f>VLOOKUP(Продажи[[#This Row],[id товара]],Товары[#All],2,FALSE)</f>
        <v>Сыр</v>
      </c>
      <c r="J26" s="19">
        <f>AVERAGEIF(Продажи[Категория товара],Продажи[[#This Row],[Категория товара]],Продажи[цена за шт в рублях])</f>
        <v>262.63492063492066</v>
      </c>
      <c r="K26" s="20">
        <f>Продажи[[#This Row],[цена за шт в рублях]]/Продажи[[#This Row],[Средняя цена в категории за шт]]-1</f>
        <v>0.37833917563157238</v>
      </c>
      <c r="L26" t="str">
        <f>VLOOKUP(Продажи[[#This Row],[id товара]],Товары[#All],3,FALSE)</f>
        <v>President</v>
      </c>
      <c r="M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26" s="23">
        <f>VLOOKUP(Продажи[[#This Row],[id клиента]],Таблица4[#All],5,FALSE)</f>
        <v>44689</v>
      </c>
      <c r="O26">
        <f>Продажи[[#This Row],[дата создания чека]]-Продажи[[#This Row],[Дата регистрации клиентов]]</f>
        <v>637</v>
      </c>
      <c r="P26" t="str">
        <f>VLOOKUP(Продажи[[#This Row],[id клиента]],Таблица4[#All],7,FALSE)</f>
        <v>Узбекистан</v>
      </c>
    </row>
    <row r="27" spans="1:16" x14ac:dyDescent="0.25">
      <c r="A27">
        <v>26</v>
      </c>
      <c r="B27">
        <v>495</v>
      </c>
      <c r="C27">
        <v>312</v>
      </c>
      <c r="D27">
        <v>1</v>
      </c>
      <c r="E27">
        <v>312</v>
      </c>
      <c r="F27" s="23">
        <v>45174</v>
      </c>
      <c r="G27" t="s">
        <v>16</v>
      </c>
      <c r="H27">
        <v>422</v>
      </c>
      <c r="I27" t="str">
        <f>VLOOKUP(Продажи[[#This Row],[id товара]],Товары[#All],2,FALSE)</f>
        <v>Чай</v>
      </c>
      <c r="J27" s="19">
        <f>AVERAGEIF(Продажи[Категория товара],Продажи[[#This Row],[Категория товара]],Продажи[цена за шт в рублях])</f>
        <v>271.18181818181819</v>
      </c>
      <c r="K27" s="20">
        <f>Продажи[[#This Row],[цена за шт в рублях]]/Продажи[[#This Row],[Средняя цена в категории за шт]]-1</f>
        <v>0.15051961112973511</v>
      </c>
      <c r="L27" t="str">
        <f>VLOOKUP(Продажи[[#This Row],[id товара]],Товары[#All],3,FALSE)</f>
        <v>Greenfield</v>
      </c>
      <c r="M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27" s="23">
        <f>VLOOKUP(Продажи[[#This Row],[id клиента]],Таблица4[#All],5,FALSE)</f>
        <v>44784</v>
      </c>
      <c r="O27">
        <f>Продажи[[#This Row],[дата создания чека]]-Продажи[[#This Row],[Дата регистрации клиентов]]</f>
        <v>390</v>
      </c>
      <c r="P27" t="str">
        <f>VLOOKUP(Продажи[[#This Row],[id клиента]],Таблица4[#All],7,FALSE)</f>
        <v>Украина</v>
      </c>
    </row>
    <row r="28" spans="1:16" x14ac:dyDescent="0.25">
      <c r="A28">
        <v>27</v>
      </c>
      <c r="B28">
        <v>415</v>
      </c>
      <c r="C28">
        <v>311</v>
      </c>
      <c r="D28">
        <v>5</v>
      </c>
      <c r="E28">
        <v>1555</v>
      </c>
      <c r="F28" s="23">
        <v>45099</v>
      </c>
      <c r="G28" t="s">
        <v>19</v>
      </c>
      <c r="H28">
        <v>24</v>
      </c>
      <c r="I28" t="str">
        <f>VLOOKUP(Продажи[[#This Row],[id товара]],Товары[#All],2,FALSE)</f>
        <v>Чипсы</v>
      </c>
      <c r="J28" s="19">
        <f>AVERAGEIF(Продажи[Категория товара],Продажи[[#This Row],[Категория товара]],Продажи[цена за шт в рублях])</f>
        <v>273.72549019607845</v>
      </c>
      <c r="K28" s="20">
        <f>Продажи[[#This Row],[цена за шт в рублях]]/Продажи[[#This Row],[Средняя цена в категории за шт]]-1</f>
        <v>0.13617478510028636</v>
      </c>
      <c r="L28" t="str">
        <f>VLOOKUP(Продажи[[#This Row],[id товара]],Товары[#All],3,FALSE)</f>
        <v>Pringles</v>
      </c>
      <c r="M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28" s="23">
        <f>VLOOKUP(Продажи[[#This Row],[id клиента]],Таблица4[#All],5,FALSE)</f>
        <v>44609</v>
      </c>
      <c r="O28">
        <f>Продажи[[#This Row],[дата создания чека]]-Продажи[[#This Row],[Дата регистрации клиентов]]</f>
        <v>490</v>
      </c>
      <c r="P28" t="str">
        <f>VLOOKUP(Продажи[[#This Row],[id клиента]],Таблица4[#All],7,FALSE)</f>
        <v>Узбекистан</v>
      </c>
    </row>
    <row r="29" spans="1:16" x14ac:dyDescent="0.25">
      <c r="A29">
        <v>28</v>
      </c>
      <c r="B29">
        <v>176</v>
      </c>
      <c r="C29">
        <v>220</v>
      </c>
      <c r="D29">
        <v>1</v>
      </c>
      <c r="E29">
        <v>220</v>
      </c>
      <c r="F29" s="23">
        <v>45368</v>
      </c>
      <c r="G29" t="s">
        <v>8</v>
      </c>
      <c r="H29">
        <v>112</v>
      </c>
      <c r="I29" t="str">
        <f>VLOOKUP(Продажи[[#This Row],[id товара]],Товары[#All],2,FALSE)</f>
        <v>Сахар</v>
      </c>
      <c r="J29" s="19">
        <f>AVERAGEIF(Продажи[Категория товара],Продажи[[#This Row],[Категория товара]],Продажи[цена за шт в рублях])</f>
        <v>252.76271186440678</v>
      </c>
      <c r="K29" s="20">
        <f>Продажи[[#This Row],[цена за шт в рублях]]/Продажи[[#This Row],[Средняя цена в категории за шт]]-1</f>
        <v>-0.12961845369811575</v>
      </c>
      <c r="L29" t="str">
        <f>VLOOKUP(Продажи[[#This Row],[id товара]],Товары[#All],3,FALSE)</f>
        <v>Продимекс</v>
      </c>
      <c r="M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29" s="23">
        <f>VLOOKUP(Продажи[[#This Row],[id клиента]],Таблица4[#All],5,FALSE)</f>
        <v>44652</v>
      </c>
      <c r="O29">
        <f>Продажи[[#This Row],[дата создания чека]]-Продажи[[#This Row],[Дата регистрации клиентов]]</f>
        <v>716</v>
      </c>
      <c r="P29" t="str">
        <f>VLOOKUP(Продажи[[#This Row],[id клиента]],Таблица4[#All],7,FALSE)</f>
        <v>Россия</v>
      </c>
    </row>
    <row r="30" spans="1:16" x14ac:dyDescent="0.25">
      <c r="A30">
        <v>29</v>
      </c>
      <c r="B30">
        <v>181</v>
      </c>
      <c r="C30">
        <v>476</v>
      </c>
      <c r="D30">
        <v>4</v>
      </c>
      <c r="E30">
        <v>1904</v>
      </c>
      <c r="F30" s="23">
        <v>45040</v>
      </c>
      <c r="G30" t="s">
        <v>8</v>
      </c>
      <c r="H30">
        <v>451</v>
      </c>
      <c r="I30" t="str">
        <f>VLOOKUP(Продажи[[#This Row],[id товара]],Товары[#All],2,FALSE)</f>
        <v>Молоко</v>
      </c>
      <c r="J30" s="19">
        <f>AVERAGEIF(Продажи[Категория товара],Продажи[[#This Row],[Категория товара]],Продажи[цена за шт в рублях])</f>
        <v>294.95238095238096</v>
      </c>
      <c r="K30" s="20">
        <f>Продажи[[#This Row],[цена за шт в рублях]]/Продажи[[#This Row],[Средняя цена в категории за шт]]-1</f>
        <v>0.61381982563771387</v>
      </c>
      <c r="L30" t="str">
        <f>VLOOKUP(Продажи[[#This Row],[id товара]],Товары[#All],3,FALSE)</f>
        <v>Простоквашино</v>
      </c>
      <c r="M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30" s="23">
        <f>VLOOKUP(Продажи[[#This Row],[id клиента]],Таблица4[#All],5,FALSE)</f>
        <v>44584</v>
      </c>
      <c r="O30">
        <f>Продажи[[#This Row],[дата создания чека]]-Продажи[[#This Row],[Дата регистрации клиентов]]</f>
        <v>456</v>
      </c>
      <c r="P30" t="str">
        <f>VLOOKUP(Продажи[[#This Row],[id клиента]],Таблица4[#All],7,FALSE)</f>
        <v>Россия</v>
      </c>
    </row>
    <row r="31" spans="1:16" x14ac:dyDescent="0.25">
      <c r="A31">
        <v>30</v>
      </c>
      <c r="B31">
        <v>399</v>
      </c>
      <c r="C31">
        <v>190</v>
      </c>
      <c r="D31">
        <v>1</v>
      </c>
      <c r="E31">
        <v>190</v>
      </c>
      <c r="F31" s="23">
        <v>45414</v>
      </c>
      <c r="G31" t="s">
        <v>10</v>
      </c>
      <c r="H31">
        <v>131</v>
      </c>
      <c r="I31" t="str">
        <f>VLOOKUP(Продажи[[#This Row],[id товара]],Товары[#All],2,FALSE)</f>
        <v>Хлеб</v>
      </c>
      <c r="J31" s="19">
        <f>AVERAGEIF(Продажи[Категория товара],Продажи[[#This Row],[Категория товара]],Продажи[цена за шт в рублях])</f>
        <v>300.31818181818181</v>
      </c>
      <c r="K31" s="20">
        <f>Продажи[[#This Row],[цена за шт в рублях]]/Продажи[[#This Row],[Средняя цена в категории за шт]]-1</f>
        <v>-0.36733767216588464</v>
      </c>
      <c r="L31" t="str">
        <f>VLOOKUP(Продажи[[#This Row],[id товара]],Товары[#All],3,FALSE)</f>
        <v>Хлебный Дом</v>
      </c>
      <c r="M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31" s="23">
        <f>VLOOKUP(Продажи[[#This Row],[id клиента]],Таблица4[#All],5,FALSE)</f>
        <v>44693</v>
      </c>
      <c r="O31">
        <f>Продажи[[#This Row],[дата создания чека]]-Продажи[[#This Row],[Дата регистрации клиентов]]</f>
        <v>721</v>
      </c>
      <c r="P31" t="str">
        <f>VLOOKUP(Продажи[[#This Row],[id клиента]],Таблица4[#All],7,FALSE)</f>
        <v>Россия</v>
      </c>
    </row>
    <row r="32" spans="1:16" x14ac:dyDescent="0.25">
      <c r="A32">
        <v>31</v>
      </c>
      <c r="B32">
        <v>382</v>
      </c>
      <c r="C32">
        <v>198</v>
      </c>
      <c r="D32">
        <v>5</v>
      </c>
      <c r="E32">
        <v>990</v>
      </c>
      <c r="F32" s="23">
        <v>45125</v>
      </c>
      <c r="G32" t="s">
        <v>20</v>
      </c>
      <c r="H32">
        <v>160</v>
      </c>
      <c r="I32" t="str">
        <f>VLOOKUP(Продажи[[#This Row],[id товара]],Товары[#All],2,FALSE)</f>
        <v>Овощи</v>
      </c>
      <c r="J32" s="19">
        <f>AVERAGEIF(Продажи[Категория товара],Продажи[[#This Row],[Категория товара]],Продажи[цена за шт в рублях])</f>
        <v>250.48780487804879</v>
      </c>
      <c r="K32" s="20">
        <f>Продажи[[#This Row],[цена за шт в рублях]]/Продажи[[#This Row],[Средняя цена в категории за шт]]-1</f>
        <v>-0.2095423563777995</v>
      </c>
      <c r="L32" t="str">
        <f>VLOOKUP(Продажи[[#This Row],[id товара]],Товары[#All],3,FALSE)</f>
        <v>Овощной ряд</v>
      </c>
      <c r="M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32" s="23">
        <f>VLOOKUP(Продажи[[#This Row],[id клиента]],Таблица4[#All],5,FALSE)</f>
        <v>44649</v>
      </c>
      <c r="O32">
        <f>Продажи[[#This Row],[дата создания чека]]-Продажи[[#This Row],[Дата регистрации клиентов]]</f>
        <v>476</v>
      </c>
      <c r="P32" t="str">
        <f>VLOOKUP(Продажи[[#This Row],[id клиента]],Таблица4[#All],7,FALSE)</f>
        <v>Узбекистан</v>
      </c>
    </row>
    <row r="33" spans="1:16" x14ac:dyDescent="0.25">
      <c r="A33">
        <v>32</v>
      </c>
      <c r="B33">
        <v>103</v>
      </c>
      <c r="C33">
        <v>254</v>
      </c>
      <c r="D33">
        <v>3</v>
      </c>
      <c r="E33">
        <v>762</v>
      </c>
      <c r="F33" s="23">
        <v>45352</v>
      </c>
      <c r="G33" t="s">
        <v>21</v>
      </c>
      <c r="H33">
        <v>408</v>
      </c>
      <c r="I33" t="str">
        <f>VLOOKUP(Продажи[[#This Row],[id товара]],Товары[#All],2,FALSE)</f>
        <v>Рыба</v>
      </c>
      <c r="J33" s="19">
        <f>AVERAGEIF(Продажи[Категория товара],Продажи[[#This Row],[Категория товара]],Продажи[цена за шт в рублях])</f>
        <v>258.5128205128205</v>
      </c>
      <c r="K33" s="20">
        <f>Продажи[[#This Row],[цена за шт в рублях]]/Продажи[[#This Row],[Средняя цена в категории за шт]]-1</f>
        <v>-1.7456853798849425E-2</v>
      </c>
      <c r="L33" t="str">
        <f>VLOOKUP(Продажи[[#This Row],[id товара]],Товары[#All],3,FALSE)</f>
        <v>Санта Бремор</v>
      </c>
      <c r="M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33" s="23">
        <f>VLOOKUP(Продажи[[#This Row],[id клиента]],Таблица4[#All],5,FALSE)</f>
        <v>44857</v>
      </c>
      <c r="O33">
        <f>Продажи[[#This Row],[дата создания чека]]-Продажи[[#This Row],[Дата регистрации клиентов]]</f>
        <v>495</v>
      </c>
      <c r="P33" t="str">
        <f>VLOOKUP(Продажи[[#This Row],[id клиента]],Таблица4[#All],7,FALSE)</f>
        <v>Россия</v>
      </c>
    </row>
    <row r="34" spans="1:16" x14ac:dyDescent="0.25">
      <c r="A34">
        <v>33</v>
      </c>
      <c r="B34">
        <v>104</v>
      </c>
      <c r="C34">
        <v>351</v>
      </c>
      <c r="D34">
        <v>1</v>
      </c>
      <c r="E34">
        <v>351</v>
      </c>
      <c r="F34" s="23">
        <v>44997</v>
      </c>
      <c r="G34" t="s">
        <v>20</v>
      </c>
      <c r="H34">
        <v>324</v>
      </c>
      <c r="I34" t="str">
        <f>VLOOKUP(Продажи[[#This Row],[id товара]],Товары[#All],2,FALSE)</f>
        <v>Йогурт</v>
      </c>
      <c r="J34" s="19">
        <f>AVERAGEIF(Продажи[Категория товара],Продажи[[#This Row],[Категория товара]],Продажи[цена за шт в рублях])</f>
        <v>263.25423728813558</v>
      </c>
      <c r="K34" s="20">
        <f>Продажи[[#This Row],[цена за шт в рублях]]/Продажи[[#This Row],[Средняя цена в категории за шт]]-1</f>
        <v>0.33331187226371362</v>
      </c>
      <c r="L34" t="str">
        <f>VLOOKUP(Продажи[[#This Row],[id товара]],Товары[#All],3,FALSE)</f>
        <v>Ростагроэкспорт</v>
      </c>
      <c r="M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4" s="23">
        <f>VLOOKUP(Продажи[[#This Row],[id клиента]],Таблица4[#All],5,FALSE)</f>
        <v>44761</v>
      </c>
      <c r="O34">
        <f>Продажи[[#This Row],[дата создания чека]]-Продажи[[#This Row],[Дата регистрации клиентов]]</f>
        <v>236</v>
      </c>
      <c r="P34" t="str">
        <f>VLOOKUP(Продажи[[#This Row],[id клиента]],Таблица4[#All],7,FALSE)</f>
        <v>Узбекистан</v>
      </c>
    </row>
    <row r="35" spans="1:16" x14ac:dyDescent="0.25">
      <c r="A35">
        <v>34</v>
      </c>
      <c r="B35">
        <v>213</v>
      </c>
      <c r="C35">
        <v>387</v>
      </c>
      <c r="D35">
        <v>1</v>
      </c>
      <c r="E35">
        <v>387</v>
      </c>
      <c r="F35" s="23">
        <v>45267</v>
      </c>
      <c r="G35" t="s">
        <v>13</v>
      </c>
      <c r="H35">
        <v>310</v>
      </c>
      <c r="I35" t="str">
        <f>VLOOKUP(Продажи[[#This Row],[id товара]],Товары[#All],2,FALSE)</f>
        <v>Сахар</v>
      </c>
      <c r="J35" s="19">
        <f>AVERAGEIF(Продажи[Категория товара],Продажи[[#This Row],[Категория товара]],Продажи[цена за шт в рублях])</f>
        <v>252.76271186440678</v>
      </c>
      <c r="K35" s="20">
        <f>Продажи[[#This Row],[цена за шт в рублях]]/Продажи[[#This Row],[Средняя цена в категории за шт]]-1</f>
        <v>0.53108026554013277</v>
      </c>
      <c r="L35" t="str">
        <f>VLOOKUP(Продажи[[#This Row],[id товара]],Товары[#All],3,FALSE)</f>
        <v>Продимекс</v>
      </c>
      <c r="M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35" s="23">
        <f>VLOOKUP(Продажи[[#This Row],[id клиента]],Таблица4[#All],5,FALSE)</f>
        <v>44807</v>
      </c>
      <c r="O35">
        <f>Продажи[[#This Row],[дата создания чека]]-Продажи[[#This Row],[Дата регистрации клиентов]]</f>
        <v>460</v>
      </c>
      <c r="P35" t="str">
        <f>VLOOKUP(Продажи[[#This Row],[id клиента]],Таблица4[#All],7,FALSE)</f>
        <v>Таджикистан</v>
      </c>
    </row>
    <row r="36" spans="1:16" x14ac:dyDescent="0.25">
      <c r="A36">
        <v>35</v>
      </c>
      <c r="B36">
        <v>157</v>
      </c>
      <c r="C36">
        <v>55</v>
      </c>
      <c r="D36">
        <v>2</v>
      </c>
      <c r="E36">
        <v>110</v>
      </c>
      <c r="F36" s="23">
        <v>45381</v>
      </c>
      <c r="G36" t="s">
        <v>10</v>
      </c>
      <c r="H36">
        <v>179</v>
      </c>
      <c r="I36" t="str">
        <f>VLOOKUP(Продажи[[#This Row],[id товара]],Товары[#All],2,FALSE)</f>
        <v>Сыр</v>
      </c>
      <c r="J36" s="19">
        <f>AVERAGEIF(Продажи[Категория товара],Продажи[[#This Row],[Категория товара]],Продажи[цена за шт в рублях])</f>
        <v>262.63492063492066</v>
      </c>
      <c r="K36" s="20">
        <f>Продажи[[#This Row],[цена за шт в рублях]]/Продажи[[#This Row],[Средняя цена в категории за шт]]-1</f>
        <v>-0.79058382690680529</v>
      </c>
      <c r="L36" t="str">
        <f>VLOOKUP(Продажи[[#This Row],[id товара]],Товары[#All],3,FALSE)</f>
        <v>President</v>
      </c>
      <c r="M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36" s="23">
        <f>VLOOKUP(Продажи[[#This Row],[id клиента]],Таблица4[#All],5,FALSE)</f>
        <v>44833</v>
      </c>
      <c r="O36">
        <f>Продажи[[#This Row],[дата создания чека]]-Продажи[[#This Row],[Дата регистрации клиентов]]</f>
        <v>548</v>
      </c>
      <c r="P36" t="str">
        <f>VLOOKUP(Продажи[[#This Row],[id клиента]],Таблица4[#All],7,FALSE)</f>
        <v>Россия</v>
      </c>
    </row>
    <row r="37" spans="1:16" x14ac:dyDescent="0.25">
      <c r="A37">
        <v>36</v>
      </c>
      <c r="B37">
        <v>237</v>
      </c>
      <c r="C37">
        <v>336</v>
      </c>
      <c r="D37">
        <v>1</v>
      </c>
      <c r="E37">
        <v>336</v>
      </c>
      <c r="F37" s="23">
        <v>44971</v>
      </c>
      <c r="G37" t="s">
        <v>17</v>
      </c>
      <c r="H37">
        <v>64</v>
      </c>
      <c r="I37" t="str">
        <f>VLOOKUP(Продажи[[#This Row],[id товара]],Товары[#All],2,FALSE)</f>
        <v>Конфеты</v>
      </c>
      <c r="J37" s="19">
        <f>AVERAGEIF(Продажи[Категория товара],Продажи[[#This Row],[Категория товара]],Продажи[цена за шт в рублях])</f>
        <v>267.85483870967744</v>
      </c>
      <c r="K37" s="20">
        <f>Продажи[[#This Row],[цена за шт в рублях]]/Продажи[[#This Row],[Средняя цена в категории за шт]]-1</f>
        <v>0.25441079063045691</v>
      </c>
      <c r="L37" t="str">
        <f>VLOOKUP(Продажи[[#This Row],[id товара]],Товары[#All],3,FALSE)</f>
        <v>Рот Фронт</v>
      </c>
      <c r="M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37" s="23">
        <f>VLOOKUP(Продажи[[#This Row],[id клиента]],Таблица4[#All],5,FALSE)</f>
        <v>44707</v>
      </c>
      <c r="O37">
        <f>Продажи[[#This Row],[дата создания чека]]-Продажи[[#This Row],[Дата регистрации клиентов]]</f>
        <v>264</v>
      </c>
      <c r="P37" t="str">
        <f>VLOOKUP(Продажи[[#This Row],[id клиента]],Таблица4[#All],7,FALSE)</f>
        <v>Узбекистан</v>
      </c>
    </row>
    <row r="38" spans="1:16" x14ac:dyDescent="0.25">
      <c r="A38">
        <v>37</v>
      </c>
      <c r="B38">
        <v>8</v>
      </c>
      <c r="C38">
        <v>480</v>
      </c>
      <c r="D38">
        <v>4</v>
      </c>
      <c r="E38">
        <v>1920</v>
      </c>
      <c r="F38" s="23">
        <v>44947</v>
      </c>
      <c r="G38" t="s">
        <v>22</v>
      </c>
      <c r="H38">
        <v>318</v>
      </c>
      <c r="I38" t="str">
        <f>VLOOKUP(Продажи[[#This Row],[id товара]],Товары[#All],2,FALSE)</f>
        <v>Макароны</v>
      </c>
      <c r="J38" s="19">
        <f>AVERAGEIF(Продажи[Категория товара],Продажи[[#This Row],[Категория товара]],Продажи[цена за шт в рублях])</f>
        <v>265.47674418604652</v>
      </c>
      <c r="K38" s="20">
        <f>Продажи[[#This Row],[цена за шт в рублях]]/Продажи[[#This Row],[Средняя цена в категории за шт]]-1</f>
        <v>0.80806797774955097</v>
      </c>
      <c r="L38" t="str">
        <f>VLOOKUP(Продажи[[#This Row],[id товара]],Товары[#All],3,FALSE)</f>
        <v>Паста Зара</v>
      </c>
      <c r="M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38" s="23">
        <f>VLOOKUP(Продажи[[#This Row],[id клиента]],Таблица4[#All],5,FALSE)</f>
        <v>44892</v>
      </c>
      <c r="O38">
        <f>Продажи[[#This Row],[дата создания чека]]-Продажи[[#This Row],[Дата регистрации клиентов]]</f>
        <v>55</v>
      </c>
      <c r="P38" t="str">
        <f>VLOOKUP(Продажи[[#This Row],[id клиента]],Таблица4[#All],7,FALSE)</f>
        <v>Узбекистан</v>
      </c>
    </row>
    <row r="39" spans="1:16" x14ac:dyDescent="0.25">
      <c r="A39">
        <v>38</v>
      </c>
      <c r="B39">
        <v>65</v>
      </c>
      <c r="C39">
        <v>214</v>
      </c>
      <c r="D39">
        <v>3</v>
      </c>
      <c r="E39">
        <v>642</v>
      </c>
      <c r="F39" s="23">
        <v>45129</v>
      </c>
      <c r="G39" t="s">
        <v>8</v>
      </c>
      <c r="H39">
        <v>239</v>
      </c>
      <c r="I39" t="str">
        <f>VLOOKUP(Продажи[[#This Row],[id товара]],Товары[#All],2,FALSE)</f>
        <v>Хлеб</v>
      </c>
      <c r="J39" s="19">
        <f>AVERAGEIF(Продажи[Категория товара],Продажи[[#This Row],[Категория товара]],Продажи[цена за шт в рублях])</f>
        <v>300.31818181818181</v>
      </c>
      <c r="K39" s="20">
        <f>Продажи[[#This Row],[цена за шт в рублях]]/Продажи[[#This Row],[Средняя цена в категории за шт]]-1</f>
        <v>-0.28742243075525953</v>
      </c>
      <c r="L39" t="str">
        <f>VLOOKUP(Продажи[[#This Row],[id товара]],Товары[#All],3,FALSE)</f>
        <v>Хлебный Дом</v>
      </c>
      <c r="M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39" s="23">
        <f>VLOOKUP(Продажи[[#This Row],[id клиента]],Таблица4[#All],5,FALSE)</f>
        <v>44767</v>
      </c>
      <c r="O39">
        <f>Продажи[[#This Row],[дата создания чека]]-Продажи[[#This Row],[Дата регистрации клиентов]]</f>
        <v>362</v>
      </c>
      <c r="P39" t="str">
        <f>VLOOKUP(Продажи[[#This Row],[id клиента]],Таблица4[#All],7,FALSE)</f>
        <v>Узбекистан</v>
      </c>
    </row>
    <row r="40" spans="1:16" x14ac:dyDescent="0.25">
      <c r="A40">
        <v>39</v>
      </c>
      <c r="B40">
        <v>45</v>
      </c>
      <c r="C40">
        <v>60</v>
      </c>
      <c r="D40">
        <v>2</v>
      </c>
      <c r="E40">
        <v>120</v>
      </c>
      <c r="F40" s="23">
        <v>45406</v>
      </c>
      <c r="G40" t="s">
        <v>23</v>
      </c>
      <c r="H40">
        <v>194</v>
      </c>
      <c r="I40" t="str">
        <f>VLOOKUP(Продажи[[#This Row],[id товара]],Товары[#All],2,FALSE)</f>
        <v>Сок</v>
      </c>
      <c r="J40" s="19">
        <f>AVERAGEIF(Продажи[Категория товара],Продажи[[#This Row],[Категория товара]],Продажи[цена за шт в рублях])</f>
        <v>268.60344827586209</v>
      </c>
      <c r="K40" s="20">
        <f>Продажи[[#This Row],[цена за шт в рублях]]/Продажи[[#This Row],[Средняя цена в категории за шт]]-1</f>
        <v>-0.77662237627575581</v>
      </c>
      <c r="L40" t="str">
        <f>VLOOKUP(Продажи[[#This Row],[id товара]],Товары[#All],3,FALSE)</f>
        <v>Добрый</v>
      </c>
      <c r="M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40" s="23">
        <f>VLOOKUP(Продажи[[#This Row],[id клиента]],Таблица4[#All],5,FALSE)</f>
        <v>44924</v>
      </c>
      <c r="O40">
        <f>Продажи[[#This Row],[дата создания чека]]-Продажи[[#This Row],[Дата регистрации клиентов]]</f>
        <v>482</v>
      </c>
      <c r="P40" t="str">
        <f>VLOOKUP(Продажи[[#This Row],[id клиента]],Таблица4[#All],7,FALSE)</f>
        <v>Россия</v>
      </c>
    </row>
    <row r="41" spans="1:16" x14ac:dyDescent="0.25">
      <c r="A41">
        <v>40</v>
      </c>
      <c r="B41">
        <v>36</v>
      </c>
      <c r="C41">
        <v>414</v>
      </c>
      <c r="D41">
        <v>3</v>
      </c>
      <c r="E41">
        <v>1242</v>
      </c>
      <c r="F41" s="23">
        <v>45117</v>
      </c>
      <c r="G41" t="s">
        <v>14</v>
      </c>
      <c r="H41">
        <v>267</v>
      </c>
      <c r="I41" t="str">
        <f>VLOOKUP(Продажи[[#This Row],[id товара]],Товары[#All],2,FALSE)</f>
        <v>Макароны</v>
      </c>
      <c r="J41" s="19">
        <f>AVERAGEIF(Продажи[Категория товара],Продажи[[#This Row],[Категория товара]],Продажи[цена за шт в рублях])</f>
        <v>265.47674418604652</v>
      </c>
      <c r="K41" s="20">
        <f>Продажи[[#This Row],[цена за шт в рублях]]/Продажи[[#This Row],[Средняя цена в категории за шт]]-1</f>
        <v>0.55945863080898772</v>
      </c>
      <c r="L41" t="str">
        <f>VLOOKUP(Продажи[[#This Row],[id товара]],Товары[#All],3,FALSE)</f>
        <v>Роллтон</v>
      </c>
      <c r="M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41" s="23">
        <f>VLOOKUP(Продажи[[#This Row],[id клиента]],Таблица4[#All],5,FALSE)</f>
        <v>44910</v>
      </c>
      <c r="O41">
        <f>Продажи[[#This Row],[дата создания чека]]-Продажи[[#This Row],[Дата регистрации клиентов]]</f>
        <v>207</v>
      </c>
      <c r="P41" t="str">
        <f>VLOOKUP(Продажи[[#This Row],[id клиента]],Таблица4[#All],7,FALSE)</f>
        <v>Россия</v>
      </c>
    </row>
    <row r="42" spans="1:16" x14ac:dyDescent="0.25">
      <c r="A42">
        <v>41</v>
      </c>
      <c r="B42">
        <v>443</v>
      </c>
      <c r="C42">
        <v>62</v>
      </c>
      <c r="D42">
        <v>3</v>
      </c>
      <c r="E42">
        <v>186</v>
      </c>
      <c r="F42" s="23">
        <v>45194</v>
      </c>
      <c r="G42" t="s">
        <v>12</v>
      </c>
      <c r="H42">
        <v>334</v>
      </c>
      <c r="I42" t="str">
        <f>VLOOKUP(Продажи[[#This Row],[id товара]],Товары[#All],2,FALSE)</f>
        <v>Кофе</v>
      </c>
      <c r="J42" s="19">
        <f>AVERAGEIF(Продажи[Категория товара],Продажи[[#This Row],[Категория товара]],Продажи[цена за шт в рублях])</f>
        <v>249.02380952380952</v>
      </c>
      <c r="K42" s="20">
        <f>Продажи[[#This Row],[цена за шт в рублях]]/Продажи[[#This Row],[Средняя цена в категории за шт]]-1</f>
        <v>-0.75102782292762216</v>
      </c>
      <c r="L42" t="str">
        <f>VLOOKUP(Продажи[[#This Row],[id товара]],Товары[#All],3,FALSE)</f>
        <v>Jacobs</v>
      </c>
      <c r="M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42" s="23">
        <f>VLOOKUP(Продажи[[#This Row],[id клиента]],Таблица4[#All],5,FALSE)</f>
        <v>44881</v>
      </c>
      <c r="O42">
        <f>Продажи[[#This Row],[дата создания чека]]-Продажи[[#This Row],[Дата регистрации клиентов]]</f>
        <v>313</v>
      </c>
      <c r="P42" t="str">
        <f>VLOOKUP(Продажи[[#This Row],[id клиента]],Таблица4[#All],7,FALSE)</f>
        <v>Украина</v>
      </c>
    </row>
    <row r="43" spans="1:16" x14ac:dyDescent="0.25">
      <c r="A43">
        <v>42</v>
      </c>
      <c r="B43">
        <v>384</v>
      </c>
      <c r="C43">
        <v>357</v>
      </c>
      <c r="D43">
        <v>1</v>
      </c>
      <c r="E43">
        <v>357</v>
      </c>
      <c r="F43" s="23">
        <v>45196</v>
      </c>
      <c r="G43" t="s">
        <v>24</v>
      </c>
      <c r="H43">
        <v>47</v>
      </c>
      <c r="I43" t="str">
        <f>VLOOKUP(Продажи[[#This Row],[id товара]],Товары[#All],2,FALSE)</f>
        <v>Сахар</v>
      </c>
      <c r="J43" s="19">
        <f>AVERAGEIF(Продажи[Категория товара],Продажи[[#This Row],[Категория товара]],Продажи[цена за шт в рублях])</f>
        <v>252.76271186440678</v>
      </c>
      <c r="K43" s="20">
        <f>Продажи[[#This Row],[цена за шт в рублях]]/Продажи[[#This Row],[Средняя цена в категории за шт]]-1</f>
        <v>0.41239187286260304</v>
      </c>
      <c r="L43" t="str">
        <f>VLOOKUP(Продажи[[#This Row],[id товара]],Товары[#All],3,FALSE)</f>
        <v>Сладов</v>
      </c>
      <c r="M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43" s="23">
        <f>VLOOKUP(Продажи[[#This Row],[id клиента]],Таблица4[#All],5,FALSE)</f>
        <v>44693</v>
      </c>
      <c r="O43">
        <f>Продажи[[#This Row],[дата создания чека]]-Продажи[[#This Row],[Дата регистрации клиентов]]</f>
        <v>503</v>
      </c>
      <c r="P43" t="str">
        <f>VLOOKUP(Продажи[[#This Row],[id клиента]],Таблица4[#All],7,FALSE)</f>
        <v>Беларусь</v>
      </c>
    </row>
    <row r="44" spans="1:16" x14ac:dyDescent="0.25">
      <c r="A44">
        <v>43</v>
      </c>
      <c r="B44">
        <v>41</v>
      </c>
      <c r="C44">
        <v>493</v>
      </c>
      <c r="D44">
        <v>3</v>
      </c>
      <c r="E44">
        <v>1479</v>
      </c>
      <c r="F44" s="23">
        <v>45104</v>
      </c>
      <c r="G44" t="s">
        <v>9</v>
      </c>
      <c r="H44">
        <v>287</v>
      </c>
      <c r="I44" t="str">
        <f>VLOOKUP(Продажи[[#This Row],[id товара]],Товары[#All],2,FALSE)</f>
        <v>Рис</v>
      </c>
      <c r="J44" s="19">
        <f>AVERAGEIF(Продажи[Категория товара],Продажи[[#This Row],[Категория товара]],Продажи[цена за шт в рублях])</f>
        <v>258.375</v>
      </c>
      <c r="K44" s="20">
        <f>Продажи[[#This Row],[цена за шт в рублях]]/Продажи[[#This Row],[Средняя цена в категории за шт]]-1</f>
        <v>0.90807934204160623</v>
      </c>
      <c r="L44" t="str">
        <f>VLOOKUP(Продажи[[#This Row],[id товара]],Товары[#All],3,FALSE)</f>
        <v>Агро-Альянс</v>
      </c>
      <c r="M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44" s="23">
        <f>VLOOKUP(Продажи[[#This Row],[id клиента]],Таблица4[#All],5,FALSE)</f>
        <v>44608</v>
      </c>
      <c r="O44">
        <f>Продажи[[#This Row],[дата создания чека]]-Продажи[[#This Row],[Дата регистрации клиентов]]</f>
        <v>496</v>
      </c>
      <c r="P44" t="str">
        <f>VLOOKUP(Продажи[[#This Row],[id клиента]],Таблица4[#All],7,FALSE)</f>
        <v>Россия</v>
      </c>
    </row>
    <row r="45" spans="1:16" x14ac:dyDescent="0.25">
      <c r="A45">
        <v>44</v>
      </c>
      <c r="B45">
        <v>484</v>
      </c>
      <c r="C45">
        <v>305</v>
      </c>
      <c r="D45">
        <v>2</v>
      </c>
      <c r="E45">
        <v>610</v>
      </c>
      <c r="F45" s="23">
        <v>45234</v>
      </c>
      <c r="G45" t="s">
        <v>19</v>
      </c>
      <c r="H45">
        <v>145</v>
      </c>
      <c r="I45" t="str">
        <f>VLOOKUP(Продажи[[#This Row],[id товара]],Товары[#All],2,FALSE)</f>
        <v>Печенье</v>
      </c>
      <c r="J45" s="19">
        <f>AVERAGEIF(Продажи[Категория товара],Продажи[[#This Row],[Категория товара]],Продажи[цена за шт в рублях])</f>
        <v>283.468085106383</v>
      </c>
      <c r="K45" s="20">
        <f>Продажи[[#This Row],[цена за шт в рублях]]/Продажи[[#This Row],[Средняя цена в категории за шт]]-1</f>
        <v>7.5958868122795176E-2</v>
      </c>
      <c r="L45" t="str">
        <f>VLOOKUP(Продажи[[#This Row],[id товара]],Товары[#All],3,FALSE)</f>
        <v>КДВ</v>
      </c>
      <c r="M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45" s="23">
        <f>VLOOKUP(Продажи[[#This Row],[id клиента]],Таблица4[#All],5,FALSE)</f>
        <v>44653</v>
      </c>
      <c r="O45">
        <f>Продажи[[#This Row],[дата создания чека]]-Продажи[[#This Row],[Дата регистрации клиентов]]</f>
        <v>581</v>
      </c>
      <c r="P45" t="str">
        <f>VLOOKUP(Продажи[[#This Row],[id клиента]],Таблица4[#All],7,FALSE)</f>
        <v>Украина</v>
      </c>
    </row>
    <row r="46" spans="1:16" x14ac:dyDescent="0.25">
      <c r="A46">
        <v>45</v>
      </c>
      <c r="B46">
        <v>7</v>
      </c>
      <c r="C46">
        <v>162</v>
      </c>
      <c r="D46">
        <v>4</v>
      </c>
      <c r="E46">
        <v>648</v>
      </c>
      <c r="F46" s="23">
        <v>45387</v>
      </c>
      <c r="G46" t="s">
        <v>16</v>
      </c>
      <c r="H46">
        <v>270</v>
      </c>
      <c r="I46" t="str">
        <f>VLOOKUP(Продажи[[#This Row],[id товара]],Товары[#All],2,FALSE)</f>
        <v>Сыр</v>
      </c>
      <c r="J46" s="19">
        <f>AVERAGEIF(Продажи[Категория товара],Продажи[[#This Row],[Категория товара]],Продажи[цена за шт в рублях])</f>
        <v>262.63492063492066</v>
      </c>
      <c r="K46" s="20">
        <f>Продажи[[#This Row],[цена за шт в рублях]]/Продажи[[#This Row],[Средняя цена в категории за шт]]-1</f>
        <v>-0.3831741810709538</v>
      </c>
      <c r="L46" t="str">
        <f>VLOOKUP(Продажи[[#This Row],[id товара]],Товары[#All],3,FALSE)</f>
        <v>President</v>
      </c>
      <c r="M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46" s="23">
        <f>VLOOKUP(Продажи[[#This Row],[id клиента]],Таблица4[#All],5,FALSE)</f>
        <v>44827</v>
      </c>
      <c r="O46">
        <f>Продажи[[#This Row],[дата создания чека]]-Продажи[[#This Row],[Дата регистрации клиентов]]</f>
        <v>560</v>
      </c>
      <c r="P46" t="str">
        <f>VLOOKUP(Продажи[[#This Row],[id клиента]],Таблица4[#All],7,FALSE)</f>
        <v>Таджикистан</v>
      </c>
    </row>
    <row r="47" spans="1:16" x14ac:dyDescent="0.25">
      <c r="A47">
        <v>46</v>
      </c>
      <c r="B47">
        <v>390</v>
      </c>
      <c r="C47">
        <v>78</v>
      </c>
      <c r="D47">
        <v>1</v>
      </c>
      <c r="E47">
        <v>78</v>
      </c>
      <c r="F47" s="23">
        <v>44976</v>
      </c>
      <c r="G47" t="s">
        <v>15</v>
      </c>
      <c r="H47">
        <v>64</v>
      </c>
      <c r="I47" t="str">
        <f>VLOOKUP(Продажи[[#This Row],[id товара]],Товары[#All],2,FALSE)</f>
        <v>Сок</v>
      </c>
      <c r="J47" s="19">
        <f>AVERAGEIF(Продажи[Категория товара],Продажи[[#This Row],[Категория товара]],Продажи[цена за шт в рублях])</f>
        <v>268.60344827586209</v>
      </c>
      <c r="K47" s="20">
        <f>Продажи[[#This Row],[цена за шт в рублях]]/Продажи[[#This Row],[Средняя цена в категории за шт]]-1</f>
        <v>-0.70960908915848253</v>
      </c>
      <c r="L47" t="str">
        <f>VLOOKUP(Продажи[[#This Row],[id товара]],Товары[#All],3,FALSE)</f>
        <v>Сады Придонья</v>
      </c>
      <c r="M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47" s="23">
        <f>VLOOKUP(Продажи[[#This Row],[id клиента]],Таблица4[#All],5,FALSE)</f>
        <v>44707</v>
      </c>
      <c r="O47">
        <f>Продажи[[#This Row],[дата создания чека]]-Продажи[[#This Row],[Дата регистрации клиентов]]</f>
        <v>269</v>
      </c>
      <c r="P47" t="str">
        <f>VLOOKUP(Продажи[[#This Row],[id клиента]],Таблица4[#All],7,FALSE)</f>
        <v>Узбекистан</v>
      </c>
    </row>
    <row r="48" spans="1:16" x14ac:dyDescent="0.25">
      <c r="A48">
        <v>47</v>
      </c>
      <c r="B48">
        <v>57</v>
      </c>
      <c r="C48">
        <v>343</v>
      </c>
      <c r="D48">
        <v>5</v>
      </c>
      <c r="E48">
        <v>1715</v>
      </c>
      <c r="F48" s="23">
        <v>45063</v>
      </c>
      <c r="G48" t="s">
        <v>9</v>
      </c>
      <c r="H48">
        <v>183</v>
      </c>
      <c r="I48" t="str">
        <f>VLOOKUP(Продажи[[#This Row],[id товара]],Товары[#All],2,FALSE)</f>
        <v>Печенье</v>
      </c>
      <c r="J48" s="19">
        <f>AVERAGEIF(Продажи[Категория товара],Продажи[[#This Row],[Категория товара]],Продажи[цена за шт в рублях])</f>
        <v>283.468085106383</v>
      </c>
      <c r="K48" s="20">
        <f>Продажи[[#This Row],[цена за шт в рублях]]/Продажи[[#This Row],[Средняя цена в категории за шт]]-1</f>
        <v>0.21001275988891388</v>
      </c>
      <c r="L48" t="str">
        <f>VLOOKUP(Продажи[[#This Row],[id товара]],Товары[#All],3,FALSE)</f>
        <v>Юбилейное</v>
      </c>
      <c r="M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48" s="23">
        <f>VLOOKUP(Продажи[[#This Row],[id клиента]],Таблица4[#All],5,FALSE)</f>
        <v>44900</v>
      </c>
      <c r="O48">
        <f>Продажи[[#This Row],[дата создания чека]]-Продажи[[#This Row],[Дата регистрации клиентов]]</f>
        <v>163</v>
      </c>
      <c r="P48" t="str">
        <f>VLOOKUP(Продажи[[#This Row],[id клиента]],Таблица4[#All],7,FALSE)</f>
        <v>Таджикистан</v>
      </c>
    </row>
    <row r="49" spans="1:16" x14ac:dyDescent="0.25">
      <c r="A49">
        <v>48</v>
      </c>
      <c r="B49">
        <v>285</v>
      </c>
      <c r="C49">
        <v>498</v>
      </c>
      <c r="D49">
        <v>4</v>
      </c>
      <c r="E49">
        <v>1992</v>
      </c>
      <c r="F49" s="23">
        <v>45208</v>
      </c>
      <c r="G49" t="s">
        <v>17</v>
      </c>
      <c r="H49">
        <v>2</v>
      </c>
      <c r="I49" t="str">
        <f>VLOOKUP(Продажи[[#This Row],[id товара]],Товары[#All],2,FALSE)</f>
        <v>Макароны</v>
      </c>
      <c r="J49" s="19">
        <f>AVERAGEIF(Продажи[Категория товара],Продажи[[#This Row],[Категория товара]],Продажи[цена за шт в рублях])</f>
        <v>265.47674418604652</v>
      </c>
      <c r="K49" s="20">
        <f>Продажи[[#This Row],[цена за шт в рублях]]/Продажи[[#This Row],[Средняя цена в категории за шт]]-1</f>
        <v>0.87587052691515921</v>
      </c>
      <c r="L49" t="str">
        <f>VLOOKUP(Продажи[[#This Row],[id товара]],Товары[#All],3,FALSE)</f>
        <v>Паста Зара</v>
      </c>
      <c r="M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49" s="23">
        <f>VLOOKUP(Продажи[[#This Row],[id клиента]],Таблица4[#All],5,FALSE)</f>
        <v>44775</v>
      </c>
      <c r="O49">
        <f>Продажи[[#This Row],[дата создания чека]]-Продажи[[#This Row],[Дата регистрации клиентов]]</f>
        <v>433</v>
      </c>
      <c r="P49" t="str">
        <f>VLOOKUP(Продажи[[#This Row],[id клиента]],Таблица4[#All],7,FALSE)</f>
        <v>Узбекистан</v>
      </c>
    </row>
    <row r="50" spans="1:16" x14ac:dyDescent="0.25">
      <c r="A50">
        <v>49</v>
      </c>
      <c r="B50">
        <v>299</v>
      </c>
      <c r="C50">
        <v>133</v>
      </c>
      <c r="D50">
        <v>1</v>
      </c>
      <c r="E50">
        <v>133</v>
      </c>
      <c r="F50" s="23">
        <v>45104</v>
      </c>
      <c r="G50" t="s">
        <v>16</v>
      </c>
      <c r="H50">
        <v>204</v>
      </c>
      <c r="I50" t="str">
        <f>VLOOKUP(Продажи[[#This Row],[id товара]],Товары[#All],2,FALSE)</f>
        <v>Чай</v>
      </c>
      <c r="J50" s="19">
        <f>AVERAGEIF(Продажи[Категория товара],Продажи[[#This Row],[Категория товара]],Продажи[цена за шт в рублях])</f>
        <v>271.18181818181819</v>
      </c>
      <c r="K50" s="20">
        <f>Продажи[[#This Row],[цена за шт в рублях]]/Продажи[[#This Row],[Средняя цена в категории за шт]]-1</f>
        <v>-0.50955414012738853</v>
      </c>
      <c r="L50" t="str">
        <f>VLOOKUP(Продажи[[#This Row],[id товара]],Товары[#All],3,FALSE)</f>
        <v>Lipton</v>
      </c>
      <c r="M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50" s="23">
        <f>VLOOKUP(Продажи[[#This Row],[id клиента]],Таблица4[#All],5,FALSE)</f>
        <v>44867</v>
      </c>
      <c r="O50">
        <f>Продажи[[#This Row],[дата создания чека]]-Продажи[[#This Row],[Дата регистрации клиентов]]</f>
        <v>237</v>
      </c>
      <c r="P50" t="str">
        <f>VLOOKUP(Продажи[[#This Row],[id клиента]],Таблица4[#All],7,FALSE)</f>
        <v>Россия</v>
      </c>
    </row>
    <row r="51" spans="1:16" x14ac:dyDescent="0.25">
      <c r="A51">
        <v>50</v>
      </c>
      <c r="B51">
        <v>444</v>
      </c>
      <c r="C51">
        <v>311</v>
      </c>
      <c r="D51">
        <v>4</v>
      </c>
      <c r="E51">
        <v>1244</v>
      </c>
      <c r="F51" s="23">
        <v>45398</v>
      </c>
      <c r="G51" t="s">
        <v>23</v>
      </c>
      <c r="H51">
        <v>229</v>
      </c>
      <c r="I51" t="str">
        <f>VLOOKUP(Продажи[[#This Row],[id товара]],Товары[#All],2,FALSE)</f>
        <v>Йогурт</v>
      </c>
      <c r="J51" s="19">
        <f>AVERAGEIF(Продажи[Категория товара],Продажи[[#This Row],[Категория товара]],Продажи[цена за шт в рублях])</f>
        <v>263.25423728813558</v>
      </c>
      <c r="K51" s="20">
        <f>Продажи[[#This Row],[цена за шт в рублях]]/Продажи[[#This Row],[Средняя цена в категории за шт]]-1</f>
        <v>0.18136749935616803</v>
      </c>
      <c r="L51" t="str">
        <f>VLOOKUP(Продажи[[#This Row],[id товара]],Товары[#All],3,FALSE)</f>
        <v>Эрманн</v>
      </c>
      <c r="M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51" s="23">
        <f>VLOOKUP(Продажи[[#This Row],[id клиента]],Таблица4[#All],5,FALSE)</f>
        <v>44766</v>
      </c>
      <c r="O51">
        <f>Продажи[[#This Row],[дата создания чека]]-Продажи[[#This Row],[Дата регистрации клиентов]]</f>
        <v>632</v>
      </c>
      <c r="P51" t="str">
        <f>VLOOKUP(Продажи[[#This Row],[id клиента]],Таблица4[#All],7,FALSE)</f>
        <v>Беларусь</v>
      </c>
    </row>
    <row r="52" spans="1:16" x14ac:dyDescent="0.25">
      <c r="A52">
        <v>51</v>
      </c>
      <c r="B52">
        <v>35</v>
      </c>
      <c r="C52">
        <v>242</v>
      </c>
      <c r="D52">
        <v>2</v>
      </c>
      <c r="E52">
        <v>484</v>
      </c>
      <c r="F52" s="23">
        <v>45239</v>
      </c>
      <c r="G52" t="s">
        <v>22</v>
      </c>
      <c r="H52">
        <v>385</v>
      </c>
      <c r="I52" t="str">
        <f>VLOOKUP(Продажи[[#This Row],[id товара]],Товары[#All],2,FALSE)</f>
        <v>Крупа</v>
      </c>
      <c r="J52" s="19">
        <f>AVERAGEIF(Продажи[Категория товара],Продажи[[#This Row],[Категория товара]],Продажи[цена за шт в рублях])</f>
        <v>255.11627906976744</v>
      </c>
      <c r="K52" s="20">
        <f>Продажи[[#This Row],[цена за шт в рублях]]/Продажи[[#This Row],[Средняя цена в категории за шт]]-1</f>
        <v>-5.1412944393801285E-2</v>
      </c>
      <c r="L52" t="str">
        <f>VLOOKUP(Продажи[[#This Row],[id товара]],Товары[#All],3,FALSE)</f>
        <v>Мистраль</v>
      </c>
      <c r="M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52" s="23">
        <f>VLOOKUP(Продажи[[#This Row],[id клиента]],Таблица4[#All],5,FALSE)</f>
        <v>44753</v>
      </c>
      <c r="O52">
        <f>Продажи[[#This Row],[дата создания чека]]-Продажи[[#This Row],[Дата регистрации клиентов]]</f>
        <v>486</v>
      </c>
      <c r="P52" t="str">
        <f>VLOOKUP(Продажи[[#This Row],[id клиента]],Таблица4[#All],7,FALSE)</f>
        <v>Украина</v>
      </c>
    </row>
    <row r="53" spans="1:16" x14ac:dyDescent="0.25">
      <c r="A53">
        <v>52</v>
      </c>
      <c r="B53">
        <v>296</v>
      </c>
      <c r="C53">
        <v>101</v>
      </c>
      <c r="D53">
        <v>3</v>
      </c>
      <c r="E53">
        <v>303</v>
      </c>
      <c r="F53" s="23">
        <v>45080</v>
      </c>
      <c r="G53" t="s">
        <v>19</v>
      </c>
      <c r="H53">
        <v>407</v>
      </c>
      <c r="I53" t="str">
        <f>VLOOKUP(Продажи[[#This Row],[id товара]],Товары[#All],2,FALSE)</f>
        <v>Крупа</v>
      </c>
      <c r="J53" s="19">
        <f>AVERAGEIF(Продажи[Категория товара],Продажи[[#This Row],[Категория товара]],Продажи[цена за шт в рублях])</f>
        <v>255.11627906976744</v>
      </c>
      <c r="K53" s="20">
        <f>Продажи[[#This Row],[цена за шт в рублях]]/Продажи[[#This Row],[Средняя цена в категории за шт]]-1</f>
        <v>-0.60410209662716507</v>
      </c>
      <c r="L53" t="str">
        <f>VLOOKUP(Продажи[[#This Row],[id товара]],Товары[#All],3,FALSE)</f>
        <v>Мистраль</v>
      </c>
      <c r="M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53" s="23">
        <f>VLOOKUP(Продажи[[#This Row],[id клиента]],Таблица4[#All],5,FALSE)</f>
        <v>44621</v>
      </c>
      <c r="O53">
        <f>Продажи[[#This Row],[дата создания чека]]-Продажи[[#This Row],[Дата регистрации клиентов]]</f>
        <v>459</v>
      </c>
      <c r="P53" t="str">
        <f>VLOOKUP(Продажи[[#This Row],[id клиента]],Таблица4[#All],7,FALSE)</f>
        <v>Беларусь</v>
      </c>
    </row>
    <row r="54" spans="1:16" x14ac:dyDescent="0.25">
      <c r="A54">
        <v>53</v>
      </c>
      <c r="B54">
        <v>227</v>
      </c>
      <c r="C54">
        <v>65</v>
      </c>
      <c r="D54">
        <v>1</v>
      </c>
      <c r="E54">
        <v>65</v>
      </c>
      <c r="F54" s="23">
        <v>45308</v>
      </c>
      <c r="G54" t="s">
        <v>10</v>
      </c>
      <c r="H54">
        <v>493</v>
      </c>
      <c r="I54" t="str">
        <f>VLOOKUP(Продажи[[#This Row],[id товара]],Товары[#All],2,FALSE)</f>
        <v>Макароны</v>
      </c>
      <c r="J54" s="19">
        <f>AVERAGEIF(Продажи[Категория товара],Продажи[[#This Row],[Категория товара]],Продажи[цена за шт в рублях])</f>
        <v>265.47674418604652</v>
      </c>
      <c r="K54" s="20">
        <f>Продажи[[#This Row],[цена за шт в рублях]]/Продажи[[#This Row],[Средняя цена в категории за шт]]-1</f>
        <v>-0.75515746134641493</v>
      </c>
      <c r="L54" t="str">
        <f>VLOOKUP(Продажи[[#This Row],[id товара]],Товары[#All],3,FALSE)</f>
        <v>Макфа</v>
      </c>
      <c r="M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54" s="23">
        <f>VLOOKUP(Продажи[[#This Row],[id клиента]],Таблица4[#All],5,FALSE)</f>
        <v>44855</v>
      </c>
      <c r="O54">
        <f>Продажи[[#This Row],[дата создания чека]]-Продажи[[#This Row],[Дата регистрации клиентов]]</f>
        <v>453</v>
      </c>
      <c r="P54" t="str">
        <f>VLOOKUP(Продажи[[#This Row],[id клиента]],Таблица4[#All],7,FALSE)</f>
        <v>Украина</v>
      </c>
    </row>
    <row r="55" spans="1:16" x14ac:dyDescent="0.25">
      <c r="A55">
        <v>54</v>
      </c>
      <c r="B55">
        <v>167</v>
      </c>
      <c r="C55">
        <v>143</v>
      </c>
      <c r="D55">
        <v>3</v>
      </c>
      <c r="E55">
        <v>429</v>
      </c>
      <c r="F55" s="23">
        <v>45246</v>
      </c>
      <c r="G55" t="s">
        <v>22</v>
      </c>
      <c r="H55">
        <v>34</v>
      </c>
      <c r="I55" t="str">
        <f>VLOOKUP(Продажи[[#This Row],[id товара]],Товары[#All],2,FALSE)</f>
        <v>Мясо</v>
      </c>
      <c r="J55" s="19">
        <f>AVERAGEIF(Продажи[Категория товара],Продажи[[#This Row],[Категория товара]],Продажи[цена за шт в рублях])</f>
        <v>271.74545454545455</v>
      </c>
      <c r="K55" s="20">
        <f>Продажи[[#This Row],[цена за шт в рублях]]/Продажи[[#This Row],[Средняя цена в категории за шт]]-1</f>
        <v>-0.47377224675498464</v>
      </c>
      <c r="L55" t="str">
        <f>VLOOKUP(Продажи[[#This Row],[id товара]],Товары[#All],3,FALSE)</f>
        <v>Сава</v>
      </c>
      <c r="M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55" s="23">
        <f>VLOOKUP(Продажи[[#This Row],[id клиента]],Таблица4[#All],5,FALSE)</f>
        <v>44654</v>
      </c>
      <c r="O55">
        <f>Продажи[[#This Row],[дата создания чека]]-Продажи[[#This Row],[Дата регистрации клиентов]]</f>
        <v>592</v>
      </c>
      <c r="P55" t="str">
        <f>VLOOKUP(Продажи[[#This Row],[id клиента]],Таблица4[#All],7,FALSE)</f>
        <v>Таджикистан</v>
      </c>
    </row>
    <row r="56" spans="1:16" x14ac:dyDescent="0.25">
      <c r="A56">
        <v>55</v>
      </c>
      <c r="B56">
        <v>146</v>
      </c>
      <c r="C56">
        <v>402</v>
      </c>
      <c r="D56">
        <v>5</v>
      </c>
      <c r="E56">
        <v>2010</v>
      </c>
      <c r="F56" s="23">
        <v>45356</v>
      </c>
      <c r="G56" t="s">
        <v>13</v>
      </c>
      <c r="H56">
        <v>190</v>
      </c>
      <c r="I56" t="str">
        <f>VLOOKUP(Продажи[[#This Row],[id товара]],Товары[#All],2,FALSE)</f>
        <v>Сок</v>
      </c>
      <c r="J56" s="19">
        <f>AVERAGEIF(Продажи[Категория товара],Продажи[[#This Row],[Категория товара]],Продажи[цена за шт в рублях])</f>
        <v>268.60344827586209</v>
      </c>
      <c r="K56" s="20">
        <f>Продажи[[#This Row],[цена за шт в рублях]]/Продажи[[#This Row],[Средняя цена в категории за шт]]-1</f>
        <v>0.49663007895243583</v>
      </c>
      <c r="L56" t="str">
        <f>VLOOKUP(Продажи[[#This Row],[id товара]],Товары[#All],3,FALSE)</f>
        <v>Добрый</v>
      </c>
      <c r="M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56" s="23">
        <f>VLOOKUP(Продажи[[#This Row],[id клиента]],Таблица4[#All],5,FALSE)</f>
        <v>44689</v>
      </c>
      <c r="O56">
        <f>Продажи[[#This Row],[дата создания чека]]-Продажи[[#This Row],[Дата регистрации клиентов]]</f>
        <v>667</v>
      </c>
      <c r="P56" t="str">
        <f>VLOOKUP(Продажи[[#This Row],[id клиента]],Таблица4[#All],7,FALSE)</f>
        <v>Беларусь</v>
      </c>
    </row>
    <row r="57" spans="1:16" x14ac:dyDescent="0.25">
      <c r="A57">
        <v>56</v>
      </c>
      <c r="B57">
        <v>338</v>
      </c>
      <c r="C57">
        <v>97</v>
      </c>
      <c r="D57">
        <v>1</v>
      </c>
      <c r="E57">
        <v>97</v>
      </c>
      <c r="F57" s="23">
        <v>45234</v>
      </c>
      <c r="G57" t="s">
        <v>17</v>
      </c>
      <c r="H57">
        <v>266</v>
      </c>
      <c r="I57" t="str">
        <f>VLOOKUP(Продажи[[#This Row],[id товара]],Товары[#All],2,FALSE)</f>
        <v>Сыр</v>
      </c>
      <c r="J57" s="19">
        <f>AVERAGEIF(Продажи[Категория товара],Продажи[[#This Row],[Категория товара]],Продажи[цена за шт в рублях])</f>
        <v>262.63492063492066</v>
      </c>
      <c r="K57" s="20">
        <f>Продажи[[#This Row],[цена за шт в рублях]]/Продажи[[#This Row],[Средняя цена в категории за шт]]-1</f>
        <v>-0.6306660219992748</v>
      </c>
      <c r="L57" t="str">
        <f>VLOOKUP(Продажи[[#This Row],[id товара]],Товары[#All],3,FALSE)</f>
        <v>President</v>
      </c>
      <c r="M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57" s="23">
        <f>VLOOKUP(Продажи[[#This Row],[id клиента]],Таблица4[#All],5,FALSE)</f>
        <v>44795</v>
      </c>
      <c r="O57">
        <f>Продажи[[#This Row],[дата создания чека]]-Продажи[[#This Row],[Дата регистрации клиентов]]</f>
        <v>439</v>
      </c>
      <c r="P57" t="str">
        <f>VLOOKUP(Продажи[[#This Row],[id клиента]],Таблица4[#All],7,FALSE)</f>
        <v>Россия</v>
      </c>
    </row>
    <row r="58" spans="1:16" x14ac:dyDescent="0.25">
      <c r="A58">
        <v>57</v>
      </c>
      <c r="B58">
        <v>155</v>
      </c>
      <c r="C58">
        <v>482</v>
      </c>
      <c r="D58">
        <v>1</v>
      </c>
      <c r="E58">
        <v>482</v>
      </c>
      <c r="F58" s="23">
        <v>45400</v>
      </c>
      <c r="G58" t="s">
        <v>14</v>
      </c>
      <c r="H58">
        <v>222</v>
      </c>
      <c r="I58" t="str">
        <f>VLOOKUP(Продажи[[#This Row],[id товара]],Товары[#All],2,FALSE)</f>
        <v>Йогурт</v>
      </c>
      <c r="J58" s="19">
        <f>AVERAGEIF(Продажи[Категория товара],Продажи[[#This Row],[Категория товара]],Продажи[цена за шт в рублях])</f>
        <v>263.25423728813558</v>
      </c>
      <c r="K58" s="20">
        <f>Продажи[[#This Row],[цена за шт в рублях]]/Продажи[[#This Row],[Средняя цена в категории за шт]]-1</f>
        <v>0.83092969353592583</v>
      </c>
      <c r="L58" t="str">
        <f>VLOOKUP(Продажи[[#This Row],[id товара]],Товары[#All],3,FALSE)</f>
        <v>Эрманн</v>
      </c>
      <c r="M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58" s="23">
        <f>VLOOKUP(Продажи[[#This Row],[id клиента]],Таблица4[#All],5,FALSE)</f>
        <v>44694</v>
      </c>
      <c r="O58">
        <f>Продажи[[#This Row],[дата создания чека]]-Продажи[[#This Row],[Дата регистрации клиентов]]</f>
        <v>706</v>
      </c>
      <c r="P58" t="str">
        <f>VLOOKUP(Продажи[[#This Row],[id клиента]],Таблица4[#All],7,FALSE)</f>
        <v>Украина</v>
      </c>
    </row>
    <row r="59" spans="1:16" x14ac:dyDescent="0.25">
      <c r="A59">
        <v>58</v>
      </c>
      <c r="B59">
        <v>239</v>
      </c>
      <c r="C59">
        <v>59</v>
      </c>
      <c r="D59">
        <v>1</v>
      </c>
      <c r="E59">
        <v>59</v>
      </c>
      <c r="F59" s="23">
        <v>45214</v>
      </c>
      <c r="G59" t="s">
        <v>25</v>
      </c>
      <c r="H59">
        <v>382</v>
      </c>
      <c r="I59" t="str">
        <f>VLOOKUP(Продажи[[#This Row],[id товара]],Товары[#All],2,FALSE)</f>
        <v>Йогурт</v>
      </c>
      <c r="J59" s="19">
        <f>AVERAGEIF(Продажи[Категория товара],Продажи[[#This Row],[Категория товара]],Продажи[цена за шт в рублях])</f>
        <v>263.25423728813558</v>
      </c>
      <c r="K59" s="20">
        <f>Продажи[[#This Row],[цена за шт в рублях]]/Продажи[[#This Row],[Средняя цена в категории за шт]]-1</f>
        <v>-0.77588204996137011</v>
      </c>
      <c r="L59" t="str">
        <f>VLOOKUP(Продажи[[#This Row],[id товара]],Товары[#All],3,FALSE)</f>
        <v>Эрманн</v>
      </c>
      <c r="M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59" s="23">
        <f>VLOOKUP(Продажи[[#This Row],[id клиента]],Таблица4[#All],5,FALSE)</f>
        <v>44850</v>
      </c>
      <c r="O59">
        <f>Продажи[[#This Row],[дата создания чека]]-Продажи[[#This Row],[Дата регистрации клиентов]]</f>
        <v>364</v>
      </c>
      <c r="P59" t="str">
        <f>VLOOKUP(Продажи[[#This Row],[id клиента]],Таблица4[#All],7,FALSE)</f>
        <v>Беларусь</v>
      </c>
    </row>
    <row r="60" spans="1:16" x14ac:dyDescent="0.25">
      <c r="A60">
        <v>59</v>
      </c>
      <c r="B60">
        <v>158</v>
      </c>
      <c r="C60">
        <v>87</v>
      </c>
      <c r="D60">
        <v>4</v>
      </c>
      <c r="E60">
        <v>348</v>
      </c>
      <c r="F60" s="23">
        <v>45423</v>
      </c>
      <c r="G60" t="s">
        <v>16</v>
      </c>
      <c r="H60">
        <v>142</v>
      </c>
      <c r="I60" t="str">
        <f>VLOOKUP(Продажи[[#This Row],[id товара]],Товары[#All],2,FALSE)</f>
        <v>Сахар</v>
      </c>
      <c r="J60" s="19">
        <f>AVERAGEIF(Продажи[Категория товара],Продажи[[#This Row],[Категория товара]],Продажи[цена за шт в рублях])</f>
        <v>252.76271186440678</v>
      </c>
      <c r="K60" s="20">
        <f>Продажи[[#This Row],[цена за шт в рублях]]/Продажи[[#This Row],[Средняя цена в категории за шт]]-1</f>
        <v>-0.65580366123516398</v>
      </c>
      <c r="L60" t="str">
        <f>VLOOKUP(Продажи[[#This Row],[id товара]],Товары[#All],3,FALSE)</f>
        <v>Сладов</v>
      </c>
      <c r="M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60" s="23">
        <f>VLOOKUP(Продажи[[#This Row],[id клиента]],Таблица4[#All],5,FALSE)</f>
        <v>44683</v>
      </c>
      <c r="O60">
        <f>Продажи[[#This Row],[дата создания чека]]-Продажи[[#This Row],[Дата регистрации клиентов]]</f>
        <v>740</v>
      </c>
      <c r="P60" t="str">
        <f>VLOOKUP(Продажи[[#This Row],[id клиента]],Таблица4[#All],7,FALSE)</f>
        <v>Россия</v>
      </c>
    </row>
    <row r="61" spans="1:16" x14ac:dyDescent="0.25">
      <c r="A61">
        <v>60</v>
      </c>
      <c r="B61">
        <v>147</v>
      </c>
      <c r="C61">
        <v>238</v>
      </c>
      <c r="D61">
        <v>5</v>
      </c>
      <c r="E61">
        <v>1190</v>
      </c>
      <c r="F61" s="23">
        <v>44981</v>
      </c>
      <c r="G61" t="s">
        <v>15</v>
      </c>
      <c r="H61">
        <v>270</v>
      </c>
      <c r="I61" t="str">
        <f>VLOOKUP(Продажи[[#This Row],[id товара]],Товары[#All],2,FALSE)</f>
        <v>Конфеты</v>
      </c>
      <c r="J61" s="19">
        <f>AVERAGEIF(Продажи[Категория товара],Продажи[[#This Row],[Категория товара]],Продажи[цена за шт в рублях])</f>
        <v>267.85483870967744</v>
      </c>
      <c r="K61" s="20">
        <f>Продажи[[#This Row],[цена за шт в рублях]]/Продажи[[#This Row],[Средняя цена в категории за шт]]-1</f>
        <v>-0.11145902330342627</v>
      </c>
      <c r="L61" t="str">
        <f>VLOOKUP(Продажи[[#This Row],[id товара]],Товары[#All],3,FALSE)</f>
        <v>Бабаевский</v>
      </c>
      <c r="M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61" s="23">
        <f>VLOOKUP(Продажи[[#This Row],[id клиента]],Таблица4[#All],5,FALSE)</f>
        <v>44827</v>
      </c>
      <c r="O61">
        <f>Продажи[[#This Row],[дата создания чека]]-Продажи[[#This Row],[Дата регистрации клиентов]]</f>
        <v>154</v>
      </c>
      <c r="P61" t="str">
        <f>VLOOKUP(Продажи[[#This Row],[id клиента]],Таблица4[#All],7,FALSE)</f>
        <v>Таджикистан</v>
      </c>
    </row>
    <row r="62" spans="1:16" x14ac:dyDescent="0.25">
      <c r="A62">
        <v>61</v>
      </c>
      <c r="B62">
        <v>311</v>
      </c>
      <c r="C62">
        <v>238</v>
      </c>
      <c r="D62">
        <v>5</v>
      </c>
      <c r="E62">
        <v>1190</v>
      </c>
      <c r="F62" s="23">
        <v>45245</v>
      </c>
      <c r="G62" t="s">
        <v>15</v>
      </c>
      <c r="H62">
        <v>150</v>
      </c>
      <c r="I62" t="str">
        <f>VLOOKUP(Продажи[[#This Row],[id товара]],Товары[#All],2,FALSE)</f>
        <v>Макароны</v>
      </c>
      <c r="J62" s="19">
        <f>AVERAGEIF(Продажи[Категория товара],Продажи[[#This Row],[Категория товара]],Продажи[цена за шт в рублях])</f>
        <v>265.47674418604652</v>
      </c>
      <c r="K62" s="20">
        <f>Продажи[[#This Row],[цена за шт в рублях]]/Продажи[[#This Row],[Средняя цена в категории за шт]]-1</f>
        <v>-0.10349962769918097</v>
      </c>
      <c r="L62" t="str">
        <f>VLOOKUP(Продажи[[#This Row],[id товара]],Товары[#All],3,FALSE)</f>
        <v>Паста Зара</v>
      </c>
      <c r="M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2" s="23">
        <f>VLOOKUP(Продажи[[#This Row],[id клиента]],Таблица4[#All],5,FALSE)</f>
        <v>44622</v>
      </c>
      <c r="O62">
        <f>Продажи[[#This Row],[дата создания чека]]-Продажи[[#This Row],[Дата регистрации клиентов]]</f>
        <v>623</v>
      </c>
      <c r="P62" t="str">
        <f>VLOOKUP(Продажи[[#This Row],[id клиента]],Таблица4[#All],7,FALSE)</f>
        <v>Узбекистан</v>
      </c>
    </row>
    <row r="63" spans="1:16" x14ac:dyDescent="0.25">
      <c r="A63">
        <v>62</v>
      </c>
      <c r="B63">
        <v>465</v>
      </c>
      <c r="C63">
        <v>311</v>
      </c>
      <c r="D63">
        <v>2</v>
      </c>
      <c r="E63">
        <v>622</v>
      </c>
      <c r="F63" s="23">
        <v>44934</v>
      </c>
      <c r="G63" t="s">
        <v>9</v>
      </c>
      <c r="H63">
        <v>14</v>
      </c>
      <c r="I63" t="str">
        <f>VLOOKUP(Продажи[[#This Row],[id товара]],Товары[#All],2,FALSE)</f>
        <v>Йогурт</v>
      </c>
      <c r="J63" s="19">
        <f>AVERAGEIF(Продажи[Категория товара],Продажи[[#This Row],[Категория товара]],Продажи[цена за шт в рублях])</f>
        <v>263.25423728813558</v>
      </c>
      <c r="K63" s="20">
        <f>Продажи[[#This Row],[цена за шт в рублях]]/Продажи[[#This Row],[Средняя цена в категории за шт]]-1</f>
        <v>0.18136749935616803</v>
      </c>
      <c r="L63" t="str">
        <f>VLOOKUP(Продажи[[#This Row],[id товара]],Товары[#All],3,FALSE)</f>
        <v>Ростагроэкспорт</v>
      </c>
      <c r="M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63" s="23">
        <f>VLOOKUP(Продажи[[#This Row],[id клиента]],Таблица4[#All],5,FALSE)</f>
        <v>44775</v>
      </c>
      <c r="O63">
        <f>Продажи[[#This Row],[дата создания чека]]-Продажи[[#This Row],[Дата регистрации клиентов]]</f>
        <v>159</v>
      </c>
      <c r="P63" t="str">
        <f>VLOOKUP(Продажи[[#This Row],[id клиента]],Таблица4[#All],7,FALSE)</f>
        <v>Таджикистан</v>
      </c>
    </row>
    <row r="64" spans="1:16" x14ac:dyDescent="0.25">
      <c r="A64">
        <v>63</v>
      </c>
      <c r="B64">
        <v>449</v>
      </c>
      <c r="C64">
        <v>392</v>
      </c>
      <c r="D64">
        <v>3</v>
      </c>
      <c r="E64">
        <v>1176</v>
      </c>
      <c r="F64" s="23">
        <v>45267</v>
      </c>
      <c r="G64" t="s">
        <v>19</v>
      </c>
      <c r="H64">
        <v>371</v>
      </c>
      <c r="I64" t="str">
        <f>VLOOKUP(Продажи[[#This Row],[id товара]],Товары[#All],2,FALSE)</f>
        <v>Мясо</v>
      </c>
      <c r="J64" s="19">
        <f>AVERAGEIF(Продажи[Категория товара],Продажи[[#This Row],[Категория товара]],Продажи[цена за шт в рублях])</f>
        <v>271.74545454545455</v>
      </c>
      <c r="K64" s="20">
        <f>Продажи[[#This Row],[цена за шт в рублях]]/Продажи[[#This Row],[Средняя цена в категории за шт]]-1</f>
        <v>0.44252642847584633</v>
      </c>
      <c r="L64" t="str">
        <f>VLOOKUP(Продажи[[#This Row],[id товара]],Товары[#All],3,FALSE)</f>
        <v>Агрокомплекс</v>
      </c>
      <c r="M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64" s="23">
        <f>VLOOKUP(Продажи[[#This Row],[id клиента]],Таблица4[#All],5,FALSE)</f>
        <v>44844</v>
      </c>
      <c r="O64">
        <f>Продажи[[#This Row],[дата создания чека]]-Продажи[[#This Row],[Дата регистрации клиентов]]</f>
        <v>423</v>
      </c>
      <c r="P64" t="str">
        <f>VLOOKUP(Продажи[[#This Row],[id клиента]],Таблица4[#All],7,FALSE)</f>
        <v>Украина</v>
      </c>
    </row>
    <row r="65" spans="1:16" x14ac:dyDescent="0.25">
      <c r="A65">
        <v>64</v>
      </c>
      <c r="B65">
        <v>144</v>
      </c>
      <c r="C65">
        <v>473</v>
      </c>
      <c r="D65">
        <v>5</v>
      </c>
      <c r="E65">
        <v>2365</v>
      </c>
      <c r="F65" s="23">
        <v>45280</v>
      </c>
      <c r="G65" t="s">
        <v>17</v>
      </c>
      <c r="H65">
        <v>328</v>
      </c>
      <c r="I65" t="str">
        <f>VLOOKUP(Продажи[[#This Row],[id товара]],Товары[#All],2,FALSE)</f>
        <v>Макароны</v>
      </c>
      <c r="J65" s="19">
        <f>AVERAGEIF(Продажи[Категория товара],Продажи[[#This Row],[Категория товара]],Продажи[цена за шт в рублях])</f>
        <v>265.47674418604652</v>
      </c>
      <c r="K65" s="20">
        <f>Продажи[[#This Row],[цена за шт в рублях]]/Продажи[[#This Row],[Средняя цена в категории за шт]]-1</f>
        <v>0.78170031974070331</v>
      </c>
      <c r="L65" t="str">
        <f>VLOOKUP(Продажи[[#This Row],[id товара]],Товары[#All],3,FALSE)</f>
        <v>Роллтон</v>
      </c>
      <c r="M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65" s="23">
        <f>VLOOKUP(Продажи[[#This Row],[id клиента]],Таблица4[#All],5,FALSE)</f>
        <v>44568</v>
      </c>
      <c r="O65">
        <f>Продажи[[#This Row],[дата создания чека]]-Продажи[[#This Row],[Дата регистрации клиентов]]</f>
        <v>712</v>
      </c>
      <c r="P65" t="str">
        <f>VLOOKUP(Продажи[[#This Row],[id клиента]],Таблица4[#All],7,FALSE)</f>
        <v>Россия</v>
      </c>
    </row>
    <row r="66" spans="1:16" x14ac:dyDescent="0.25">
      <c r="A66">
        <v>65</v>
      </c>
      <c r="B66">
        <v>375</v>
      </c>
      <c r="C66">
        <v>231</v>
      </c>
      <c r="D66">
        <v>2</v>
      </c>
      <c r="E66">
        <v>462</v>
      </c>
      <c r="F66" s="23">
        <v>45114</v>
      </c>
      <c r="G66" t="s">
        <v>18</v>
      </c>
      <c r="H66">
        <v>171</v>
      </c>
      <c r="I66" t="str">
        <f>VLOOKUP(Продажи[[#This Row],[id товара]],Товары[#All],2,FALSE)</f>
        <v>Макароны</v>
      </c>
      <c r="J66" s="19">
        <f>AVERAGEIF(Продажи[Категория товара],Продажи[[#This Row],[Категория товара]],Продажи[цена за шт в рублях])</f>
        <v>265.47674418604652</v>
      </c>
      <c r="K66" s="20">
        <f>Продажи[[#This Row],[цена за шт в рублях]]/Продажи[[#This Row],[Средняя цена в категории за шт]]-1</f>
        <v>-0.12986728570802852</v>
      </c>
      <c r="L66" t="str">
        <f>VLOOKUP(Продажи[[#This Row],[id товара]],Товары[#All],3,FALSE)</f>
        <v>Борилла</v>
      </c>
      <c r="M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66" s="23">
        <f>VLOOKUP(Продажи[[#This Row],[id клиента]],Таблица4[#All],5,FALSE)</f>
        <v>44710</v>
      </c>
      <c r="O66">
        <f>Продажи[[#This Row],[дата создания чека]]-Продажи[[#This Row],[Дата регистрации клиентов]]</f>
        <v>404</v>
      </c>
      <c r="P66" t="str">
        <f>VLOOKUP(Продажи[[#This Row],[id клиента]],Таблица4[#All],7,FALSE)</f>
        <v>Россия</v>
      </c>
    </row>
    <row r="67" spans="1:16" x14ac:dyDescent="0.25">
      <c r="A67">
        <v>66</v>
      </c>
      <c r="B67">
        <v>408</v>
      </c>
      <c r="C67">
        <v>438</v>
      </c>
      <c r="D67">
        <v>3</v>
      </c>
      <c r="E67">
        <v>1314</v>
      </c>
      <c r="F67" s="23">
        <v>44973</v>
      </c>
      <c r="G67" t="s">
        <v>19</v>
      </c>
      <c r="H67">
        <v>68</v>
      </c>
      <c r="I67" t="str">
        <f>VLOOKUP(Продажи[[#This Row],[id товара]],Товары[#All],2,FALSE)</f>
        <v>Йогурт</v>
      </c>
      <c r="J67" s="19">
        <f>AVERAGEIF(Продажи[Категория товара],Продажи[[#This Row],[Категория товара]],Продажи[цена за шт в рублях])</f>
        <v>263.25423728813558</v>
      </c>
      <c r="K67" s="20">
        <f>Продажи[[#This Row],[цена за шт в рублях]]/Продажи[[#This Row],[Средняя цена в категории за шт]]-1</f>
        <v>0.66379088333762559</v>
      </c>
      <c r="L67" t="str">
        <f>VLOOKUP(Продажи[[#This Row],[id товара]],Товары[#All],3,FALSE)</f>
        <v>Эрманн</v>
      </c>
      <c r="M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67" s="23">
        <f>VLOOKUP(Продажи[[#This Row],[id клиента]],Таблица4[#All],5,FALSE)</f>
        <v>44882</v>
      </c>
      <c r="O67">
        <f>Продажи[[#This Row],[дата создания чека]]-Продажи[[#This Row],[Дата регистрации клиентов]]</f>
        <v>91</v>
      </c>
      <c r="P67" t="str">
        <f>VLOOKUP(Продажи[[#This Row],[id клиента]],Таблица4[#All],7,FALSE)</f>
        <v>Узбекистан</v>
      </c>
    </row>
    <row r="68" spans="1:16" x14ac:dyDescent="0.25">
      <c r="A68">
        <v>67</v>
      </c>
      <c r="B68">
        <v>425</v>
      </c>
      <c r="C68">
        <v>365</v>
      </c>
      <c r="D68">
        <v>2</v>
      </c>
      <c r="E68">
        <v>730</v>
      </c>
      <c r="F68" s="23">
        <v>44989</v>
      </c>
      <c r="G68" t="s">
        <v>21</v>
      </c>
      <c r="H68">
        <v>346</v>
      </c>
      <c r="I68" t="str">
        <f>VLOOKUP(Продажи[[#This Row],[id товара]],Товары[#All],2,FALSE)</f>
        <v>Соль</v>
      </c>
      <c r="J68" s="19">
        <f>AVERAGEIF(Продажи[Категория товара],Продажи[[#This Row],[Категория товара]],Продажи[цена за шт в рублях])</f>
        <v>264.8679245283019</v>
      </c>
      <c r="K68" s="20">
        <f>Продажи[[#This Row],[цена за шт в рублях]]/Продажи[[#This Row],[Средняя цена в категории за шт]]-1</f>
        <v>0.37804530559908822</v>
      </c>
      <c r="L68" t="str">
        <f>VLOOKUP(Продажи[[#This Row],[id товара]],Товары[#All],3,FALSE)</f>
        <v>Экстра</v>
      </c>
      <c r="M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68" s="23">
        <f>VLOOKUP(Продажи[[#This Row],[id клиента]],Таблица4[#All],5,FALSE)</f>
        <v>44636</v>
      </c>
      <c r="O68">
        <f>Продажи[[#This Row],[дата создания чека]]-Продажи[[#This Row],[Дата регистрации клиентов]]</f>
        <v>353</v>
      </c>
      <c r="P68" t="str">
        <f>VLOOKUP(Продажи[[#This Row],[id клиента]],Таблица4[#All],7,FALSE)</f>
        <v>Россия</v>
      </c>
    </row>
    <row r="69" spans="1:16" x14ac:dyDescent="0.25">
      <c r="A69">
        <v>68</v>
      </c>
      <c r="B69">
        <v>277</v>
      </c>
      <c r="C69">
        <v>324</v>
      </c>
      <c r="D69">
        <v>2</v>
      </c>
      <c r="E69">
        <v>648</v>
      </c>
      <c r="F69" s="23">
        <v>45287</v>
      </c>
      <c r="G69" t="s">
        <v>21</v>
      </c>
      <c r="H69">
        <v>415</v>
      </c>
      <c r="I69" t="str">
        <f>VLOOKUP(Продажи[[#This Row],[id товара]],Товары[#All],2,FALSE)</f>
        <v>Чай</v>
      </c>
      <c r="J69" s="19">
        <f>AVERAGEIF(Продажи[Категория товара],Продажи[[#This Row],[Категория товара]],Продажи[цена за шт в рублях])</f>
        <v>271.18181818181819</v>
      </c>
      <c r="K69" s="20">
        <f>Продажи[[#This Row],[цена за шт в рублях]]/Продажи[[#This Row],[Средняя цена в категории за шт]]-1</f>
        <v>0.19477036540395565</v>
      </c>
      <c r="L69" t="str">
        <f>VLOOKUP(Продажи[[#This Row],[id товара]],Товары[#All],3,FALSE)</f>
        <v>Greenfield</v>
      </c>
      <c r="M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69" s="23">
        <f>VLOOKUP(Продажи[[#This Row],[id клиента]],Таблица4[#All],5,FALSE)</f>
        <v>44661</v>
      </c>
      <c r="O69">
        <f>Продажи[[#This Row],[дата создания чека]]-Продажи[[#This Row],[Дата регистрации клиентов]]</f>
        <v>626</v>
      </c>
      <c r="P69" t="str">
        <f>VLOOKUP(Продажи[[#This Row],[id клиента]],Таблица4[#All],7,FALSE)</f>
        <v>Украина</v>
      </c>
    </row>
    <row r="70" spans="1:16" x14ac:dyDescent="0.25">
      <c r="A70">
        <v>69</v>
      </c>
      <c r="B70">
        <v>130</v>
      </c>
      <c r="C70">
        <v>208</v>
      </c>
      <c r="D70">
        <v>5</v>
      </c>
      <c r="E70">
        <v>1040</v>
      </c>
      <c r="F70" s="23">
        <v>44975</v>
      </c>
      <c r="G70" t="s">
        <v>15</v>
      </c>
      <c r="H70">
        <v>115</v>
      </c>
      <c r="I70" t="str">
        <f>VLOOKUP(Продажи[[#This Row],[id товара]],Товары[#All],2,FALSE)</f>
        <v>Соль</v>
      </c>
      <c r="J70" s="19">
        <f>AVERAGEIF(Продажи[Категория товара],Продажи[[#This Row],[Категория товара]],Продажи[цена за шт в рублях])</f>
        <v>264.8679245283019</v>
      </c>
      <c r="K70" s="20">
        <f>Продажи[[#This Row],[цена за шт в рублях]]/Продажи[[#This Row],[Средняя цена в категории за шт]]-1</f>
        <v>-0.21470294913805388</v>
      </c>
      <c r="L70" t="str">
        <f>VLOOKUP(Продажи[[#This Row],[id товара]],Товары[#All],3,FALSE)</f>
        <v>Илецкая</v>
      </c>
      <c r="M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0" s="23">
        <f>VLOOKUP(Продажи[[#This Row],[id клиента]],Таблица4[#All],5,FALSE)</f>
        <v>44832</v>
      </c>
      <c r="O70">
        <f>Продажи[[#This Row],[дата создания чека]]-Продажи[[#This Row],[Дата регистрации клиентов]]</f>
        <v>143</v>
      </c>
      <c r="P70" t="str">
        <f>VLOOKUP(Продажи[[#This Row],[id клиента]],Таблица4[#All],7,FALSE)</f>
        <v>Беларусь</v>
      </c>
    </row>
    <row r="71" spans="1:16" x14ac:dyDescent="0.25">
      <c r="A71">
        <v>70</v>
      </c>
      <c r="B71">
        <v>337</v>
      </c>
      <c r="C71">
        <v>115</v>
      </c>
      <c r="D71">
        <v>3</v>
      </c>
      <c r="E71">
        <v>345</v>
      </c>
      <c r="F71" s="23">
        <v>45046</v>
      </c>
      <c r="G71" t="s">
        <v>8</v>
      </c>
      <c r="H71">
        <v>42</v>
      </c>
      <c r="I71" t="str">
        <f>VLOOKUP(Продажи[[#This Row],[id товара]],Товары[#All],2,FALSE)</f>
        <v>Макароны</v>
      </c>
      <c r="J71" s="19">
        <f>AVERAGEIF(Продажи[Категория товара],Продажи[[#This Row],[Категория товара]],Продажи[цена за шт в рублях])</f>
        <v>265.47674418604652</v>
      </c>
      <c r="K71" s="20">
        <f>Продажи[[#This Row],[цена за шт в рублях]]/Продажи[[#This Row],[Средняя цена в категории за шт]]-1</f>
        <v>-0.56681704699750335</v>
      </c>
      <c r="L71" t="str">
        <f>VLOOKUP(Продажи[[#This Row],[id товара]],Товары[#All],3,FALSE)</f>
        <v>Паста Зара</v>
      </c>
      <c r="M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1" s="23">
        <f>VLOOKUP(Продажи[[#This Row],[id клиента]],Таблица4[#All],5,FALSE)</f>
        <v>44783</v>
      </c>
      <c r="O71">
        <f>Продажи[[#This Row],[дата создания чека]]-Продажи[[#This Row],[Дата регистрации клиентов]]</f>
        <v>263</v>
      </c>
      <c r="P71" t="str">
        <f>VLOOKUP(Продажи[[#This Row],[id клиента]],Таблица4[#All],7,FALSE)</f>
        <v>Таджикистан</v>
      </c>
    </row>
    <row r="72" spans="1:16" x14ac:dyDescent="0.25">
      <c r="A72">
        <v>71</v>
      </c>
      <c r="B72">
        <v>30</v>
      </c>
      <c r="C72">
        <v>261</v>
      </c>
      <c r="D72">
        <v>1</v>
      </c>
      <c r="E72">
        <v>261</v>
      </c>
      <c r="F72" s="23">
        <v>45000</v>
      </c>
      <c r="G72" t="s">
        <v>22</v>
      </c>
      <c r="H72">
        <v>378</v>
      </c>
      <c r="I72" t="str">
        <f>VLOOKUP(Продажи[[#This Row],[id товара]],Товары[#All],2,FALSE)</f>
        <v>Чипсы</v>
      </c>
      <c r="J72" s="19">
        <f>AVERAGEIF(Продажи[Категория товара],Продажи[[#This Row],[Категория товара]],Продажи[цена за шт в рублях])</f>
        <v>273.72549019607845</v>
      </c>
      <c r="K72" s="20">
        <f>Продажи[[#This Row],[цена за шт в рублях]]/Продажи[[#This Row],[Средняя цена в категории за шт]]-1</f>
        <v>-4.6489971346704961E-2</v>
      </c>
      <c r="L72" t="str">
        <f>VLOOKUP(Продажи[[#This Row],[id товара]],Товары[#All],3,FALSE)</f>
        <v>Pringles</v>
      </c>
      <c r="M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72" s="23">
        <f>VLOOKUP(Продажи[[#This Row],[id клиента]],Таблица4[#All],5,FALSE)</f>
        <v>44710</v>
      </c>
      <c r="O72">
        <f>Продажи[[#This Row],[дата создания чека]]-Продажи[[#This Row],[Дата регистрации клиентов]]</f>
        <v>290</v>
      </c>
      <c r="P72" t="str">
        <f>VLOOKUP(Продажи[[#This Row],[id клиента]],Таблица4[#All],7,FALSE)</f>
        <v>Россия</v>
      </c>
    </row>
    <row r="73" spans="1:16" x14ac:dyDescent="0.25">
      <c r="A73">
        <v>72</v>
      </c>
      <c r="B73">
        <v>75</v>
      </c>
      <c r="C73">
        <v>257</v>
      </c>
      <c r="D73">
        <v>2</v>
      </c>
      <c r="E73">
        <v>514</v>
      </c>
      <c r="F73" s="23">
        <v>45306</v>
      </c>
      <c r="G73" t="s">
        <v>25</v>
      </c>
      <c r="H73">
        <v>449</v>
      </c>
      <c r="I73" t="str">
        <f>VLOOKUP(Продажи[[#This Row],[id товара]],Товары[#All],2,FALSE)</f>
        <v>Печенье</v>
      </c>
      <c r="J73" s="19">
        <f>AVERAGEIF(Продажи[Категория товара],Продажи[[#This Row],[Категория товара]],Продажи[цена за шт в рублях])</f>
        <v>283.468085106383</v>
      </c>
      <c r="K73" s="20">
        <f>Продажи[[#This Row],[цена за шт в рублях]]/Продажи[[#This Row],[Средняя цена в категории за шт]]-1</f>
        <v>-9.3372363581775919E-2</v>
      </c>
      <c r="L73" t="str">
        <f>VLOOKUP(Продажи[[#This Row],[id товара]],Товары[#All],3,FALSE)</f>
        <v>Белогорье</v>
      </c>
      <c r="M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73" s="23">
        <f>VLOOKUP(Продажи[[#This Row],[id клиента]],Таблица4[#All],5,FALSE)</f>
        <v>44645</v>
      </c>
      <c r="O73">
        <f>Продажи[[#This Row],[дата создания чека]]-Продажи[[#This Row],[Дата регистрации клиентов]]</f>
        <v>661</v>
      </c>
      <c r="P73" t="str">
        <f>VLOOKUP(Продажи[[#This Row],[id клиента]],Таблица4[#All],7,FALSE)</f>
        <v>Таджикистан</v>
      </c>
    </row>
    <row r="74" spans="1:16" x14ac:dyDescent="0.25">
      <c r="A74">
        <v>73</v>
      </c>
      <c r="B74">
        <v>118</v>
      </c>
      <c r="C74">
        <v>459</v>
      </c>
      <c r="D74">
        <v>2</v>
      </c>
      <c r="E74">
        <v>918</v>
      </c>
      <c r="F74" s="23">
        <v>44993</v>
      </c>
      <c r="G74" t="s">
        <v>17</v>
      </c>
      <c r="H74">
        <v>318</v>
      </c>
      <c r="I74" t="str">
        <f>VLOOKUP(Продажи[[#This Row],[id товара]],Товары[#All],2,FALSE)</f>
        <v>Сахар</v>
      </c>
      <c r="J74" s="19">
        <f>AVERAGEIF(Продажи[Категория товара],Продажи[[#This Row],[Категория товара]],Продажи[цена за шт в рублях])</f>
        <v>252.76271186440678</v>
      </c>
      <c r="K74" s="20">
        <f>Продажи[[#This Row],[цена за шт в рублях]]/Продажи[[#This Row],[Средняя цена в категории за шт]]-1</f>
        <v>0.81593240796620403</v>
      </c>
      <c r="L74" t="str">
        <f>VLOOKUP(Продажи[[#This Row],[id товара]],Товары[#All],3,FALSE)</f>
        <v>Продимекс</v>
      </c>
      <c r="M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74" s="23">
        <f>VLOOKUP(Продажи[[#This Row],[id клиента]],Таблица4[#All],5,FALSE)</f>
        <v>44892</v>
      </c>
      <c r="O74">
        <f>Продажи[[#This Row],[дата создания чека]]-Продажи[[#This Row],[Дата регистрации клиентов]]</f>
        <v>101</v>
      </c>
      <c r="P74" t="str">
        <f>VLOOKUP(Продажи[[#This Row],[id клиента]],Таблица4[#All],7,FALSE)</f>
        <v>Узбекистан</v>
      </c>
    </row>
    <row r="75" spans="1:16" x14ac:dyDescent="0.25">
      <c r="A75">
        <v>74</v>
      </c>
      <c r="B75">
        <v>19</v>
      </c>
      <c r="C75">
        <v>112</v>
      </c>
      <c r="D75">
        <v>4</v>
      </c>
      <c r="E75">
        <v>448</v>
      </c>
      <c r="F75" s="23">
        <v>45360</v>
      </c>
      <c r="G75" t="s">
        <v>17</v>
      </c>
      <c r="H75">
        <v>317</v>
      </c>
      <c r="I75" t="str">
        <f>VLOOKUP(Продажи[[#This Row],[id товара]],Товары[#All],2,FALSE)</f>
        <v>Мясо</v>
      </c>
      <c r="J75" s="19">
        <f>AVERAGEIF(Продажи[Категория товара],Продажи[[#This Row],[Категория товара]],Продажи[цена за шт в рублях])</f>
        <v>271.74545454545455</v>
      </c>
      <c r="K75" s="20">
        <f>Продажи[[#This Row],[цена за шт в рублях]]/Продажи[[#This Row],[Средняя цена в категории за шт]]-1</f>
        <v>-0.58784959186404384</v>
      </c>
      <c r="L75" t="str">
        <f>VLOOKUP(Продажи[[#This Row],[id товара]],Товары[#All],3,FALSE)</f>
        <v>Снежана</v>
      </c>
      <c r="M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75" s="23">
        <f>VLOOKUP(Продажи[[#This Row],[id клиента]],Таблица4[#All],5,FALSE)</f>
        <v>44770</v>
      </c>
      <c r="O75">
        <f>Продажи[[#This Row],[дата создания чека]]-Продажи[[#This Row],[Дата регистрации клиентов]]</f>
        <v>590</v>
      </c>
      <c r="P75" t="str">
        <f>VLOOKUP(Продажи[[#This Row],[id клиента]],Таблица4[#All],7,FALSE)</f>
        <v>Россия</v>
      </c>
    </row>
    <row r="76" spans="1:16" x14ac:dyDescent="0.25">
      <c r="A76">
        <v>75</v>
      </c>
      <c r="B76">
        <v>204</v>
      </c>
      <c r="C76">
        <v>491</v>
      </c>
      <c r="D76">
        <v>4</v>
      </c>
      <c r="E76">
        <v>1964</v>
      </c>
      <c r="F76" s="23">
        <v>44930</v>
      </c>
      <c r="G76" t="s">
        <v>18</v>
      </c>
      <c r="H76">
        <v>426</v>
      </c>
      <c r="I76" t="str">
        <f>VLOOKUP(Продажи[[#This Row],[id товара]],Товары[#All],2,FALSE)</f>
        <v>Печенье</v>
      </c>
      <c r="J76" s="19">
        <f>AVERAGEIF(Продажи[Категория товара],Продажи[[#This Row],[Категория товара]],Продажи[цена за шт в рублях])</f>
        <v>283.468085106383</v>
      </c>
      <c r="K76" s="20">
        <f>Продажи[[#This Row],[цена за шт в рублях]]/Продажи[[#This Row],[Средняя цена в категории за шт]]-1</f>
        <v>0.73211739097800788</v>
      </c>
      <c r="L76" t="str">
        <f>VLOOKUP(Продажи[[#This Row],[id товара]],Товары[#All],3,FALSE)</f>
        <v>Юбилейное</v>
      </c>
      <c r="M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76" s="23">
        <f>VLOOKUP(Продажи[[#This Row],[id клиента]],Таблица4[#All],5,FALSE)</f>
        <v>44768</v>
      </c>
      <c r="O76">
        <f>Продажи[[#This Row],[дата создания чека]]-Продажи[[#This Row],[Дата регистрации клиентов]]</f>
        <v>162</v>
      </c>
      <c r="P76" t="str">
        <f>VLOOKUP(Продажи[[#This Row],[id клиента]],Таблица4[#All],7,FALSE)</f>
        <v>Таджикистан</v>
      </c>
    </row>
    <row r="77" spans="1:16" x14ac:dyDescent="0.25">
      <c r="A77">
        <v>76</v>
      </c>
      <c r="B77">
        <v>304</v>
      </c>
      <c r="C77">
        <v>162</v>
      </c>
      <c r="D77">
        <v>1</v>
      </c>
      <c r="E77">
        <v>162</v>
      </c>
      <c r="F77" s="23">
        <v>45316</v>
      </c>
      <c r="G77" t="s">
        <v>15</v>
      </c>
      <c r="H77">
        <v>25</v>
      </c>
      <c r="I77" t="str">
        <f>VLOOKUP(Продажи[[#This Row],[id товара]],Товары[#All],2,FALSE)</f>
        <v>Конфеты</v>
      </c>
      <c r="J77" s="19">
        <f>AVERAGEIF(Продажи[Категория товара],Продажи[[#This Row],[Категория товара]],Продажи[цена за шт в рублях])</f>
        <v>267.85483870967744</v>
      </c>
      <c r="K77" s="20">
        <f>Продажи[[#This Row],[цена за шт в рублях]]/Продажи[[#This Row],[Средняя цена в категории за шт]]-1</f>
        <v>-0.39519479737460106</v>
      </c>
      <c r="L77" t="str">
        <f>VLOOKUP(Продажи[[#This Row],[id товара]],Товары[#All],3,FALSE)</f>
        <v>Рот Фронт</v>
      </c>
      <c r="M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77" s="23">
        <f>VLOOKUP(Продажи[[#This Row],[id клиента]],Таблица4[#All],5,FALSE)</f>
        <v>44582</v>
      </c>
      <c r="O77">
        <f>Продажи[[#This Row],[дата создания чека]]-Продажи[[#This Row],[Дата регистрации клиентов]]</f>
        <v>734</v>
      </c>
      <c r="P77" t="str">
        <f>VLOOKUP(Продажи[[#This Row],[id клиента]],Таблица4[#All],7,FALSE)</f>
        <v>Таджикистан</v>
      </c>
    </row>
    <row r="78" spans="1:16" x14ac:dyDescent="0.25">
      <c r="A78">
        <v>77</v>
      </c>
      <c r="B78">
        <v>189</v>
      </c>
      <c r="C78">
        <v>278</v>
      </c>
      <c r="D78">
        <v>2</v>
      </c>
      <c r="E78">
        <v>556</v>
      </c>
      <c r="F78" s="23">
        <v>45109</v>
      </c>
      <c r="G78" t="s">
        <v>23</v>
      </c>
      <c r="H78">
        <v>462</v>
      </c>
      <c r="I78" t="str">
        <f>VLOOKUP(Продажи[[#This Row],[id товара]],Товары[#All],2,FALSE)</f>
        <v>Хлеб</v>
      </c>
      <c r="J78" s="19">
        <f>AVERAGEIF(Продажи[Категория товара],Продажи[[#This Row],[Категория товара]],Продажи[цена за шт в рублях])</f>
        <v>300.31818181818181</v>
      </c>
      <c r="K78" s="20">
        <f>Продажи[[#This Row],[цена за шт в рублях]]/Продажи[[#This Row],[Средняя цена в категории за шт]]-1</f>
        <v>-7.4315120326925999E-2</v>
      </c>
      <c r="L78" t="str">
        <f>VLOOKUP(Продажи[[#This Row],[id товара]],Товары[#All],3,FALSE)</f>
        <v>Дарница</v>
      </c>
      <c r="M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78" s="23">
        <f>VLOOKUP(Продажи[[#This Row],[id клиента]],Таблица4[#All],5,FALSE)</f>
        <v>44751</v>
      </c>
      <c r="O78">
        <f>Продажи[[#This Row],[дата создания чека]]-Продажи[[#This Row],[Дата регистрации клиентов]]</f>
        <v>358</v>
      </c>
      <c r="P78" t="str">
        <f>VLOOKUP(Продажи[[#This Row],[id клиента]],Таблица4[#All],7,FALSE)</f>
        <v>Россия</v>
      </c>
    </row>
    <row r="79" spans="1:16" x14ac:dyDescent="0.25">
      <c r="A79">
        <v>78</v>
      </c>
      <c r="B79">
        <v>392</v>
      </c>
      <c r="C79">
        <v>484</v>
      </c>
      <c r="D79">
        <v>4</v>
      </c>
      <c r="E79">
        <v>1936</v>
      </c>
      <c r="F79" s="23">
        <v>45302</v>
      </c>
      <c r="G79" t="s">
        <v>10</v>
      </c>
      <c r="H79">
        <v>252</v>
      </c>
      <c r="I79" t="str">
        <f>VLOOKUP(Продажи[[#This Row],[id товара]],Товары[#All],2,FALSE)</f>
        <v>Кофе</v>
      </c>
      <c r="J79" s="19">
        <f>AVERAGEIF(Продажи[Категория товара],Продажи[[#This Row],[Категория товара]],Продажи[цена за шт в рублях])</f>
        <v>249.02380952380952</v>
      </c>
      <c r="K79" s="20">
        <f>Продажи[[#This Row],[цена за шт в рублях]]/Продажи[[#This Row],[Средняя цена в категории за шт]]-1</f>
        <v>0.94358925327469167</v>
      </c>
      <c r="L79" t="str">
        <f>VLOOKUP(Продажи[[#This Row],[id товара]],Товары[#All],3,FALSE)</f>
        <v>Черная Карта</v>
      </c>
      <c r="M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79" s="23">
        <f>VLOOKUP(Продажи[[#This Row],[id клиента]],Таблица4[#All],5,FALSE)</f>
        <v>44643</v>
      </c>
      <c r="O79">
        <f>Продажи[[#This Row],[дата создания чека]]-Продажи[[#This Row],[Дата регистрации клиентов]]</f>
        <v>659</v>
      </c>
      <c r="P79" t="str">
        <f>VLOOKUP(Продажи[[#This Row],[id клиента]],Таблица4[#All],7,FALSE)</f>
        <v>Россия</v>
      </c>
    </row>
    <row r="80" spans="1:16" x14ac:dyDescent="0.25">
      <c r="A80">
        <v>79</v>
      </c>
      <c r="B80">
        <v>10</v>
      </c>
      <c r="C80">
        <v>53</v>
      </c>
      <c r="D80">
        <v>1</v>
      </c>
      <c r="E80">
        <v>53</v>
      </c>
      <c r="F80" s="23">
        <v>45164</v>
      </c>
      <c r="G80" t="s">
        <v>25</v>
      </c>
      <c r="H80">
        <v>392</v>
      </c>
      <c r="I80" t="str">
        <f>VLOOKUP(Продажи[[#This Row],[id товара]],Товары[#All],2,FALSE)</f>
        <v>Сок</v>
      </c>
      <c r="J80" s="19">
        <f>AVERAGEIF(Продажи[Категория товара],Продажи[[#This Row],[Категория товара]],Продажи[цена за шт в рублях])</f>
        <v>268.60344827586209</v>
      </c>
      <c r="K80" s="20">
        <f>Продажи[[#This Row],[цена за шт в рублях]]/Продажи[[#This Row],[Средняя цена в категории за шт]]-1</f>
        <v>-0.80268309904358437</v>
      </c>
      <c r="L80" t="str">
        <f>VLOOKUP(Продажи[[#This Row],[id товара]],Товары[#All],3,FALSE)</f>
        <v>Фруктовый сад</v>
      </c>
      <c r="M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0" s="23">
        <f>VLOOKUP(Продажи[[#This Row],[id клиента]],Таблица4[#All],5,FALSE)</f>
        <v>44919</v>
      </c>
      <c r="O80">
        <f>Продажи[[#This Row],[дата создания чека]]-Продажи[[#This Row],[Дата регистрации клиентов]]</f>
        <v>245</v>
      </c>
      <c r="P80" t="str">
        <f>VLOOKUP(Продажи[[#This Row],[id клиента]],Таблица4[#All],7,FALSE)</f>
        <v>Россия</v>
      </c>
    </row>
    <row r="81" spans="1:16" x14ac:dyDescent="0.25">
      <c r="A81">
        <v>80</v>
      </c>
      <c r="B81">
        <v>64</v>
      </c>
      <c r="C81">
        <v>131</v>
      </c>
      <c r="D81">
        <v>5</v>
      </c>
      <c r="E81">
        <v>655</v>
      </c>
      <c r="F81" s="23">
        <v>44946</v>
      </c>
      <c r="G81" t="s">
        <v>15</v>
      </c>
      <c r="H81">
        <v>487</v>
      </c>
      <c r="I81" t="str">
        <f>VLOOKUP(Продажи[[#This Row],[id товара]],Товары[#All],2,FALSE)</f>
        <v>Колбаса</v>
      </c>
      <c r="J81" s="19">
        <f>AVERAGEIF(Продажи[Категория товара],Продажи[[#This Row],[Категория товара]],Продажи[цена за шт в рублях])</f>
        <v>286.92307692307691</v>
      </c>
      <c r="K81" s="20">
        <f>Продажи[[#This Row],[цена за шт в рублях]]/Продажи[[#This Row],[Средняя цена в категории за шт]]-1</f>
        <v>-0.54343163538873984</v>
      </c>
      <c r="L81" t="str">
        <f>VLOOKUP(Продажи[[#This Row],[id товара]],Товары[#All],3,FALSE)</f>
        <v>Окраина</v>
      </c>
      <c r="M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81" s="23">
        <f>VLOOKUP(Продажи[[#This Row],[id клиента]],Таблица4[#All],5,FALSE)</f>
        <v>44815</v>
      </c>
      <c r="O81">
        <f>Продажи[[#This Row],[дата создания чека]]-Продажи[[#This Row],[Дата регистрации клиентов]]</f>
        <v>131</v>
      </c>
      <c r="P81" t="str">
        <f>VLOOKUP(Продажи[[#This Row],[id клиента]],Таблица4[#All],7,FALSE)</f>
        <v>Россия</v>
      </c>
    </row>
    <row r="82" spans="1:16" x14ac:dyDescent="0.25">
      <c r="A82">
        <v>81</v>
      </c>
      <c r="B82">
        <v>116</v>
      </c>
      <c r="C82">
        <v>120</v>
      </c>
      <c r="D82">
        <v>2</v>
      </c>
      <c r="E82">
        <v>240</v>
      </c>
      <c r="F82" s="23">
        <v>45326</v>
      </c>
      <c r="G82" t="s">
        <v>26</v>
      </c>
      <c r="H82">
        <v>332</v>
      </c>
      <c r="I82" t="str">
        <f>VLOOKUP(Продажи[[#This Row],[id товара]],Товары[#All],2,FALSE)</f>
        <v>Соль</v>
      </c>
      <c r="J82" s="19">
        <f>AVERAGEIF(Продажи[Категория товара],Продажи[[#This Row],[Категория товара]],Продажи[цена за шт в рублях])</f>
        <v>264.8679245283019</v>
      </c>
      <c r="K82" s="20">
        <f>Продажи[[#This Row],[цена за шт в рублях]]/Продажи[[#This Row],[Средняя цена в категории за шт]]-1</f>
        <v>-0.54694400911810803</v>
      </c>
      <c r="L82" t="str">
        <f>VLOOKUP(Продажи[[#This Row],[id товара]],Товары[#All],3,FALSE)</f>
        <v>Экстра</v>
      </c>
      <c r="M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82" s="23">
        <f>VLOOKUP(Продажи[[#This Row],[id клиента]],Таблица4[#All],5,FALSE)</f>
        <v>44858</v>
      </c>
      <c r="O82">
        <f>Продажи[[#This Row],[дата создания чека]]-Продажи[[#This Row],[Дата регистрации клиентов]]</f>
        <v>468</v>
      </c>
      <c r="P82" t="str">
        <f>VLOOKUP(Продажи[[#This Row],[id клиента]],Таблица4[#All],7,FALSE)</f>
        <v>Узбекистан</v>
      </c>
    </row>
    <row r="83" spans="1:16" x14ac:dyDescent="0.25">
      <c r="A83">
        <v>82</v>
      </c>
      <c r="B83">
        <v>334</v>
      </c>
      <c r="C83">
        <v>396</v>
      </c>
      <c r="D83">
        <v>4</v>
      </c>
      <c r="E83">
        <v>1584</v>
      </c>
      <c r="F83" s="23">
        <v>45173</v>
      </c>
      <c r="G83" t="s">
        <v>25</v>
      </c>
      <c r="H83">
        <v>134</v>
      </c>
      <c r="I83" t="str">
        <f>VLOOKUP(Продажи[[#This Row],[id товара]],Товары[#All],2,FALSE)</f>
        <v>Молоко</v>
      </c>
      <c r="J83" s="19">
        <f>AVERAGEIF(Продажи[Категория товара],Продажи[[#This Row],[Категория товара]],Продажи[цена за шт в рублях])</f>
        <v>294.95238095238096</v>
      </c>
      <c r="K83" s="20">
        <f>Продажи[[#This Row],[цена за шт в рублях]]/Продажи[[#This Row],[Средняя цена в категории за шт]]-1</f>
        <v>0.34258960284145945</v>
      </c>
      <c r="L83" t="str">
        <f>VLOOKUP(Продажи[[#This Row],[id товара]],Товары[#All],3,FALSE)</f>
        <v>Домик в деревне</v>
      </c>
      <c r="M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83" s="23">
        <f>VLOOKUP(Продажи[[#This Row],[id клиента]],Таблица4[#All],5,FALSE)</f>
        <v>44753</v>
      </c>
      <c r="O83">
        <f>Продажи[[#This Row],[дата создания чека]]-Продажи[[#This Row],[Дата регистрации клиентов]]</f>
        <v>420</v>
      </c>
      <c r="P83" t="str">
        <f>VLOOKUP(Продажи[[#This Row],[id клиента]],Таблица4[#All],7,FALSE)</f>
        <v>Россия</v>
      </c>
    </row>
    <row r="84" spans="1:16" x14ac:dyDescent="0.25">
      <c r="A84">
        <v>83</v>
      </c>
      <c r="B84">
        <v>345</v>
      </c>
      <c r="C84">
        <v>267</v>
      </c>
      <c r="D84">
        <v>5</v>
      </c>
      <c r="E84">
        <v>1335</v>
      </c>
      <c r="F84" s="23">
        <v>45004</v>
      </c>
      <c r="G84" t="s">
        <v>9</v>
      </c>
      <c r="H84">
        <v>287</v>
      </c>
      <c r="I84" t="str">
        <f>VLOOKUP(Продажи[[#This Row],[id товара]],Товары[#All],2,FALSE)</f>
        <v>Конфеты</v>
      </c>
      <c r="J84" s="19">
        <f>AVERAGEIF(Продажи[Категория товара],Продажи[[#This Row],[Категория товара]],Продажи[цена за шт в рублях])</f>
        <v>267.85483870967744</v>
      </c>
      <c r="K84" s="20">
        <f>Продажи[[#This Row],[цена за шт в рублях]]/Продажи[[#This Row],[Средняя цена в категории за шт]]-1</f>
        <v>-3.1914253025833172E-3</v>
      </c>
      <c r="L84" t="str">
        <f>VLOOKUP(Продажи[[#This Row],[id товара]],Товары[#All],3,FALSE)</f>
        <v>Рот Фронт</v>
      </c>
      <c r="M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84" s="23">
        <f>VLOOKUP(Продажи[[#This Row],[id клиента]],Таблица4[#All],5,FALSE)</f>
        <v>44608</v>
      </c>
      <c r="O84">
        <f>Продажи[[#This Row],[дата создания чека]]-Продажи[[#This Row],[Дата регистрации клиентов]]</f>
        <v>396</v>
      </c>
      <c r="P84" t="str">
        <f>VLOOKUP(Продажи[[#This Row],[id клиента]],Таблица4[#All],7,FALSE)</f>
        <v>Россия</v>
      </c>
    </row>
    <row r="85" spans="1:16" x14ac:dyDescent="0.25">
      <c r="A85">
        <v>84</v>
      </c>
      <c r="B85">
        <v>281</v>
      </c>
      <c r="C85">
        <v>371</v>
      </c>
      <c r="D85">
        <v>1</v>
      </c>
      <c r="E85">
        <v>371</v>
      </c>
      <c r="F85" s="23">
        <v>44993</v>
      </c>
      <c r="G85" t="s">
        <v>22</v>
      </c>
      <c r="H85">
        <v>11</v>
      </c>
      <c r="I85" t="str">
        <f>VLOOKUP(Продажи[[#This Row],[id товара]],Товары[#All],2,FALSE)</f>
        <v>Чай</v>
      </c>
      <c r="J85" s="19">
        <f>AVERAGEIF(Продажи[Категория товара],Продажи[[#This Row],[Категория товара]],Продажи[цена за шт в рублях])</f>
        <v>271.18181818181819</v>
      </c>
      <c r="K85" s="20">
        <f>Продажи[[#This Row],[цена за шт в рублях]]/Продажи[[#This Row],[Средняя цена в категории за шт]]-1</f>
        <v>0.36808581964465303</v>
      </c>
      <c r="L85" t="str">
        <f>VLOOKUP(Продажи[[#This Row],[id товара]],Товары[#All],3,FALSE)</f>
        <v>Lipton</v>
      </c>
      <c r="M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85" s="23">
        <f>VLOOKUP(Продажи[[#This Row],[id клиента]],Таблица4[#All],5,FALSE)</f>
        <v>44690</v>
      </c>
      <c r="O85">
        <f>Продажи[[#This Row],[дата создания чека]]-Продажи[[#This Row],[Дата регистрации клиентов]]</f>
        <v>303</v>
      </c>
      <c r="P85" t="str">
        <f>VLOOKUP(Продажи[[#This Row],[id клиента]],Таблица4[#All],7,FALSE)</f>
        <v>Таджикистан</v>
      </c>
    </row>
    <row r="86" spans="1:16" x14ac:dyDescent="0.25">
      <c r="A86">
        <v>85</v>
      </c>
      <c r="B86">
        <v>276</v>
      </c>
      <c r="C86">
        <v>295</v>
      </c>
      <c r="D86">
        <v>1</v>
      </c>
      <c r="E86">
        <v>295</v>
      </c>
      <c r="F86" s="23">
        <v>45272</v>
      </c>
      <c r="G86" t="s">
        <v>17</v>
      </c>
      <c r="H86">
        <v>458</v>
      </c>
      <c r="I86" t="str">
        <f>VLOOKUP(Продажи[[#This Row],[id товара]],Товары[#All],2,FALSE)</f>
        <v>Колбаса</v>
      </c>
      <c r="J86" s="19">
        <f>AVERAGEIF(Продажи[Категория товара],Продажи[[#This Row],[Категория товара]],Продажи[цена за шт в рублях])</f>
        <v>286.92307692307691</v>
      </c>
      <c r="K86" s="20">
        <f>Продажи[[#This Row],[цена за шт в рублях]]/Продажи[[#This Row],[Средняя цена в категории за шт]]-1</f>
        <v>2.8150134048257502E-2</v>
      </c>
      <c r="L86" t="str">
        <f>VLOOKUP(Продажи[[#This Row],[id товара]],Товары[#All],3,FALSE)</f>
        <v>Дымов</v>
      </c>
      <c r="M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86" s="23">
        <f>VLOOKUP(Продажи[[#This Row],[id клиента]],Таблица4[#All],5,FALSE)</f>
        <v>44694</v>
      </c>
      <c r="O86">
        <f>Продажи[[#This Row],[дата создания чека]]-Продажи[[#This Row],[Дата регистрации клиентов]]</f>
        <v>578</v>
      </c>
      <c r="P86" t="str">
        <f>VLOOKUP(Продажи[[#This Row],[id клиента]],Таблица4[#All],7,FALSE)</f>
        <v>Россия</v>
      </c>
    </row>
    <row r="87" spans="1:16" x14ac:dyDescent="0.25">
      <c r="A87">
        <v>86</v>
      </c>
      <c r="B87">
        <v>234</v>
      </c>
      <c r="C87">
        <v>75</v>
      </c>
      <c r="D87">
        <v>5</v>
      </c>
      <c r="E87">
        <v>375</v>
      </c>
      <c r="F87" s="23">
        <v>44939</v>
      </c>
      <c r="G87" t="s">
        <v>23</v>
      </c>
      <c r="H87">
        <v>130</v>
      </c>
      <c r="I87" t="str">
        <f>VLOOKUP(Продажи[[#This Row],[id товара]],Товары[#All],2,FALSE)</f>
        <v>Чай</v>
      </c>
      <c r="J87" s="19">
        <f>AVERAGEIF(Продажи[Категория товара],Продажи[[#This Row],[Категория товара]],Продажи[цена за шт в рублях])</f>
        <v>271.18181818181819</v>
      </c>
      <c r="K87" s="20">
        <f>Продажи[[#This Row],[цена за шт в рублях]]/Продажи[[#This Row],[Средняя цена в категории за шт]]-1</f>
        <v>-0.72343278578612136</v>
      </c>
      <c r="L87" t="str">
        <f>VLOOKUP(Продажи[[#This Row],[id товара]],Товары[#All],3,FALSE)</f>
        <v>Greenfield</v>
      </c>
      <c r="M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87" s="23">
        <f>VLOOKUP(Продажи[[#This Row],[id клиента]],Таблица4[#All],5,FALSE)</f>
        <v>44863</v>
      </c>
      <c r="O87">
        <f>Продажи[[#This Row],[дата создания чека]]-Продажи[[#This Row],[Дата регистрации клиентов]]</f>
        <v>76</v>
      </c>
      <c r="P87" t="str">
        <f>VLOOKUP(Продажи[[#This Row],[id клиента]],Таблица4[#All],7,FALSE)</f>
        <v>Таджикистан</v>
      </c>
    </row>
    <row r="88" spans="1:16" x14ac:dyDescent="0.25">
      <c r="A88">
        <v>87</v>
      </c>
      <c r="B88">
        <v>319</v>
      </c>
      <c r="C88">
        <v>247</v>
      </c>
      <c r="D88">
        <v>2</v>
      </c>
      <c r="E88">
        <v>494</v>
      </c>
      <c r="F88" s="23">
        <v>45189</v>
      </c>
      <c r="G88" t="s">
        <v>8</v>
      </c>
      <c r="H88">
        <v>330</v>
      </c>
      <c r="I88" t="str">
        <f>VLOOKUP(Продажи[[#This Row],[id товара]],Товары[#All],2,FALSE)</f>
        <v>Йогурт</v>
      </c>
      <c r="J88" s="19">
        <f>AVERAGEIF(Продажи[Категория товара],Продажи[[#This Row],[Категория товара]],Продажи[цена за шт в рублях])</f>
        <v>263.25423728813558</v>
      </c>
      <c r="K88" s="20">
        <f>Продажи[[#This Row],[цена за шт в рублях]]/Продажи[[#This Row],[Средняя цена в категории за шт]]-1</f>
        <v>-6.1743497295905225E-2</v>
      </c>
      <c r="L88" t="str">
        <f>VLOOKUP(Продажи[[#This Row],[id товара]],Товары[#All],3,FALSE)</f>
        <v>Эрманн</v>
      </c>
      <c r="M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88" s="23">
        <f>VLOOKUP(Продажи[[#This Row],[id клиента]],Таблица4[#All],5,FALSE)</f>
        <v>44815</v>
      </c>
      <c r="O88">
        <f>Продажи[[#This Row],[дата создания чека]]-Продажи[[#This Row],[Дата регистрации клиентов]]</f>
        <v>374</v>
      </c>
      <c r="P88" t="str">
        <f>VLOOKUP(Продажи[[#This Row],[id клиента]],Таблица4[#All],7,FALSE)</f>
        <v>Узбекистан</v>
      </c>
    </row>
    <row r="89" spans="1:16" x14ac:dyDescent="0.25">
      <c r="A89">
        <v>88</v>
      </c>
      <c r="B89">
        <v>375</v>
      </c>
      <c r="C89">
        <v>281</v>
      </c>
      <c r="D89">
        <v>2</v>
      </c>
      <c r="E89">
        <v>562</v>
      </c>
      <c r="F89" s="23">
        <v>45079</v>
      </c>
      <c r="G89" t="s">
        <v>17</v>
      </c>
      <c r="H89">
        <v>167</v>
      </c>
      <c r="I89" t="str">
        <f>VLOOKUP(Продажи[[#This Row],[id товара]],Товары[#All],2,FALSE)</f>
        <v>Макароны</v>
      </c>
      <c r="J89" s="19">
        <f>AVERAGEIF(Продажи[Категория товара],Продажи[[#This Row],[Категория товара]],Продажи[цена за шт в рублях])</f>
        <v>265.47674418604652</v>
      </c>
      <c r="K89" s="20">
        <f>Продажи[[#This Row],[цена за шт в рублях]]/Продажи[[#This Row],[Средняя цена в категории за шт]]-1</f>
        <v>5.8473128640883054E-2</v>
      </c>
      <c r="L89" t="str">
        <f>VLOOKUP(Продажи[[#This Row],[id товара]],Товары[#All],3,FALSE)</f>
        <v>Борилла</v>
      </c>
      <c r="M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89" s="23">
        <f>VLOOKUP(Продажи[[#This Row],[id клиента]],Таблица4[#All],5,FALSE)</f>
        <v>44563</v>
      </c>
      <c r="O89">
        <f>Продажи[[#This Row],[дата создания чека]]-Продажи[[#This Row],[Дата регистрации клиентов]]</f>
        <v>516</v>
      </c>
      <c r="P89" t="str">
        <f>VLOOKUP(Продажи[[#This Row],[id клиента]],Таблица4[#All],7,FALSE)</f>
        <v>Узбекистан</v>
      </c>
    </row>
    <row r="90" spans="1:16" x14ac:dyDescent="0.25">
      <c r="A90">
        <v>89</v>
      </c>
      <c r="B90">
        <v>443</v>
      </c>
      <c r="C90">
        <v>136</v>
      </c>
      <c r="D90">
        <v>2</v>
      </c>
      <c r="E90">
        <v>272</v>
      </c>
      <c r="F90" s="23">
        <v>44927</v>
      </c>
      <c r="G90" t="s">
        <v>25</v>
      </c>
      <c r="H90">
        <v>140</v>
      </c>
      <c r="I90" t="str">
        <f>VLOOKUP(Продажи[[#This Row],[id товара]],Товары[#All],2,FALSE)</f>
        <v>Кофе</v>
      </c>
      <c r="J90" s="19">
        <f>AVERAGEIF(Продажи[Категория товара],Продажи[[#This Row],[Категория товара]],Продажи[цена за шт в рублях])</f>
        <v>249.02380952380952</v>
      </c>
      <c r="K90" s="20">
        <f>Продажи[[#This Row],[цена за шт в рублях]]/Продажи[[#This Row],[Средняя цена в категории за шт]]-1</f>
        <v>-0.45386748255091303</v>
      </c>
      <c r="L90" t="str">
        <f>VLOOKUP(Продажи[[#This Row],[id товара]],Товары[#All],3,FALSE)</f>
        <v>Jacobs</v>
      </c>
      <c r="M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90" s="23">
        <f>VLOOKUP(Продажи[[#This Row],[id клиента]],Таблица4[#All],5,FALSE)</f>
        <v>44627</v>
      </c>
      <c r="O90">
        <f>Продажи[[#This Row],[дата создания чека]]-Продажи[[#This Row],[Дата регистрации клиентов]]</f>
        <v>300</v>
      </c>
      <c r="P90" t="str">
        <f>VLOOKUP(Продажи[[#This Row],[id клиента]],Таблица4[#All],7,FALSE)</f>
        <v>Россия</v>
      </c>
    </row>
    <row r="91" spans="1:16" x14ac:dyDescent="0.25">
      <c r="A91">
        <v>90</v>
      </c>
      <c r="B91">
        <v>30</v>
      </c>
      <c r="C91">
        <v>142</v>
      </c>
      <c r="D91">
        <v>5</v>
      </c>
      <c r="E91">
        <v>710</v>
      </c>
      <c r="F91" s="23">
        <v>45226</v>
      </c>
      <c r="G91" t="s">
        <v>23</v>
      </c>
      <c r="H91">
        <v>423</v>
      </c>
      <c r="I91" t="str">
        <f>VLOOKUP(Продажи[[#This Row],[id товара]],Товары[#All],2,FALSE)</f>
        <v>Чипсы</v>
      </c>
      <c r="J91" s="19">
        <f>AVERAGEIF(Продажи[Категория товара],Продажи[[#This Row],[Категория товара]],Продажи[цена за шт в рублях])</f>
        <v>273.72549019607845</v>
      </c>
      <c r="K91" s="20">
        <f>Продажи[[#This Row],[цена за шт в рублях]]/Продажи[[#This Row],[Средняя цена в категории за шт]]-1</f>
        <v>-0.48123209169054448</v>
      </c>
      <c r="L91" t="str">
        <f>VLOOKUP(Продажи[[#This Row],[id товара]],Товары[#All],3,FALSE)</f>
        <v>Pringles</v>
      </c>
      <c r="M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91" s="23">
        <f>VLOOKUP(Продажи[[#This Row],[id клиента]],Таблица4[#All],5,FALSE)</f>
        <v>44841</v>
      </c>
      <c r="O91">
        <f>Продажи[[#This Row],[дата создания чека]]-Продажи[[#This Row],[Дата регистрации клиентов]]</f>
        <v>385</v>
      </c>
      <c r="P91" t="str">
        <f>VLOOKUP(Продажи[[#This Row],[id клиента]],Таблица4[#All],7,FALSE)</f>
        <v>Беларусь</v>
      </c>
    </row>
    <row r="92" spans="1:16" x14ac:dyDescent="0.25">
      <c r="A92">
        <v>91</v>
      </c>
      <c r="B92">
        <v>24</v>
      </c>
      <c r="C92">
        <v>414</v>
      </c>
      <c r="D92">
        <v>1</v>
      </c>
      <c r="E92">
        <v>414</v>
      </c>
      <c r="F92" s="23">
        <v>45388</v>
      </c>
      <c r="G92" t="s">
        <v>12</v>
      </c>
      <c r="H92">
        <v>365</v>
      </c>
      <c r="I92" t="str">
        <f>VLOOKUP(Продажи[[#This Row],[id товара]],Товары[#All],2,FALSE)</f>
        <v>Йогурт</v>
      </c>
      <c r="J92" s="19">
        <f>AVERAGEIF(Продажи[Категория товара],Продажи[[#This Row],[Категория товара]],Продажи[цена за шт в рублях])</f>
        <v>263.25423728813558</v>
      </c>
      <c r="K92" s="20">
        <f>Продажи[[#This Row],[цена за шт в рублях]]/Продажи[[#This Row],[Средняя цена в категории за шт]]-1</f>
        <v>0.57262425959309815</v>
      </c>
      <c r="L92" t="str">
        <f>VLOOKUP(Продажи[[#This Row],[id товара]],Товары[#All],3,FALSE)</f>
        <v>Чудо</v>
      </c>
      <c r="M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92" s="23">
        <f>VLOOKUP(Продажи[[#This Row],[id клиента]],Таблица4[#All],5,FALSE)</f>
        <v>44841</v>
      </c>
      <c r="O92">
        <f>Продажи[[#This Row],[дата создания чека]]-Продажи[[#This Row],[Дата регистрации клиентов]]</f>
        <v>547</v>
      </c>
      <c r="P92" t="str">
        <f>VLOOKUP(Продажи[[#This Row],[id клиента]],Таблица4[#All],7,FALSE)</f>
        <v>Беларусь</v>
      </c>
    </row>
    <row r="93" spans="1:16" x14ac:dyDescent="0.25">
      <c r="A93">
        <v>92</v>
      </c>
      <c r="B93">
        <v>357</v>
      </c>
      <c r="C93">
        <v>206</v>
      </c>
      <c r="D93">
        <v>2</v>
      </c>
      <c r="E93">
        <v>412</v>
      </c>
      <c r="F93" s="23">
        <v>45424</v>
      </c>
      <c r="G93" t="s">
        <v>26</v>
      </c>
      <c r="H93">
        <v>452</v>
      </c>
      <c r="I93" t="str">
        <f>VLOOKUP(Продажи[[#This Row],[id товара]],Товары[#All],2,FALSE)</f>
        <v>Мясо</v>
      </c>
      <c r="J93" s="19">
        <f>AVERAGEIF(Продажи[Категория товара],Продажи[[#This Row],[Категория товара]],Продажи[цена за шт в рублях])</f>
        <v>271.74545454545455</v>
      </c>
      <c r="K93" s="20">
        <f>Продажи[[#This Row],[цена за шт в рублях]]/Продажи[[#This Row],[Средняя цена в категории за шт]]-1</f>
        <v>-0.24193764217850933</v>
      </c>
      <c r="L93" t="str">
        <f>VLOOKUP(Продажи[[#This Row],[id товара]],Товары[#All],3,FALSE)</f>
        <v>Снежана</v>
      </c>
      <c r="M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93" s="23">
        <f>VLOOKUP(Продажи[[#This Row],[id клиента]],Таблица4[#All],5,FALSE)</f>
        <v>44769</v>
      </c>
      <c r="O93">
        <f>Продажи[[#This Row],[дата создания чека]]-Продажи[[#This Row],[Дата регистрации клиентов]]</f>
        <v>655</v>
      </c>
      <c r="P93" t="str">
        <f>VLOOKUP(Продажи[[#This Row],[id клиента]],Таблица4[#All],7,FALSE)</f>
        <v>Россия</v>
      </c>
    </row>
    <row r="94" spans="1:16" x14ac:dyDescent="0.25">
      <c r="A94">
        <v>93</v>
      </c>
      <c r="B94">
        <v>265</v>
      </c>
      <c r="C94">
        <v>66</v>
      </c>
      <c r="D94">
        <v>1</v>
      </c>
      <c r="E94">
        <v>66</v>
      </c>
      <c r="F94" s="23">
        <v>45183</v>
      </c>
      <c r="G94" t="s">
        <v>24</v>
      </c>
      <c r="H94">
        <v>424</v>
      </c>
      <c r="I94" t="str">
        <f>VLOOKUP(Продажи[[#This Row],[id товара]],Товары[#All],2,FALSE)</f>
        <v>Мясо</v>
      </c>
      <c r="J94" s="19">
        <f>AVERAGEIF(Продажи[Категория товара],Продажи[[#This Row],[Категория товара]],Продажи[цена за шт в рублях])</f>
        <v>271.74545454545455</v>
      </c>
      <c r="K94" s="20">
        <f>Продажи[[#This Row],[цена за шт в рублях]]/Продажи[[#This Row],[Средняя цена в категории за шт]]-1</f>
        <v>-0.75712565234845441</v>
      </c>
      <c r="L94" t="str">
        <f>VLOOKUP(Продажи[[#This Row],[id товара]],Товары[#All],3,FALSE)</f>
        <v>Мираторг</v>
      </c>
      <c r="M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94" s="23">
        <f>VLOOKUP(Продажи[[#This Row],[id клиента]],Таблица4[#All],5,FALSE)</f>
        <v>44585</v>
      </c>
      <c r="O94">
        <f>Продажи[[#This Row],[дата создания чека]]-Продажи[[#This Row],[Дата регистрации клиентов]]</f>
        <v>598</v>
      </c>
      <c r="P94" t="str">
        <f>VLOOKUP(Продажи[[#This Row],[id клиента]],Таблица4[#All],7,FALSE)</f>
        <v>Россия</v>
      </c>
    </row>
    <row r="95" spans="1:16" x14ac:dyDescent="0.25">
      <c r="A95">
        <v>94</v>
      </c>
      <c r="B95">
        <v>102</v>
      </c>
      <c r="C95">
        <v>452</v>
      </c>
      <c r="D95">
        <v>1</v>
      </c>
      <c r="E95">
        <v>452</v>
      </c>
      <c r="F95" s="23">
        <v>45218</v>
      </c>
      <c r="G95" t="s">
        <v>21</v>
      </c>
      <c r="H95">
        <v>75</v>
      </c>
      <c r="I95" t="str">
        <f>VLOOKUP(Продажи[[#This Row],[id товара]],Товары[#All],2,FALSE)</f>
        <v>Печенье</v>
      </c>
      <c r="J95" s="19">
        <f>AVERAGEIF(Продажи[Категория товара],Продажи[[#This Row],[Категория товара]],Продажи[цена за шт в рублях])</f>
        <v>283.468085106383</v>
      </c>
      <c r="K95" s="20">
        <f>Продажи[[#This Row],[цена за шт в рублях]]/Продажи[[#This Row],[Средняя цена в категории за шт]]-1</f>
        <v>0.59453576521804385</v>
      </c>
      <c r="L95" t="str">
        <f>VLOOKUP(Продажи[[#This Row],[id товара]],Товары[#All],3,FALSE)</f>
        <v>Белогорье</v>
      </c>
      <c r="M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95" s="23">
        <f>VLOOKUP(Продажи[[#This Row],[id клиента]],Таблица4[#All],5,FALSE)</f>
        <v>44796</v>
      </c>
      <c r="O95">
        <f>Продажи[[#This Row],[дата создания чека]]-Продажи[[#This Row],[Дата регистрации клиентов]]</f>
        <v>422</v>
      </c>
      <c r="P95" t="str">
        <f>VLOOKUP(Продажи[[#This Row],[id клиента]],Таблица4[#All],7,FALSE)</f>
        <v>Украина</v>
      </c>
    </row>
    <row r="96" spans="1:16" x14ac:dyDescent="0.25">
      <c r="A96">
        <v>95</v>
      </c>
      <c r="B96">
        <v>212</v>
      </c>
      <c r="C96">
        <v>175</v>
      </c>
      <c r="D96">
        <v>1</v>
      </c>
      <c r="E96">
        <v>175</v>
      </c>
      <c r="F96" s="23">
        <v>45290</v>
      </c>
      <c r="G96" t="s">
        <v>27</v>
      </c>
      <c r="H96">
        <v>385</v>
      </c>
      <c r="I96" t="str">
        <f>VLOOKUP(Продажи[[#This Row],[id товара]],Товары[#All],2,FALSE)</f>
        <v>Чипсы</v>
      </c>
      <c r="J96" s="19">
        <f>AVERAGEIF(Продажи[Категория товара],Продажи[[#This Row],[Категория товара]],Продажи[цена за шт в рублях])</f>
        <v>273.72549019607845</v>
      </c>
      <c r="K96" s="20">
        <f>Продажи[[#This Row],[цена за шт в рублях]]/Продажи[[#This Row],[Средняя цена в категории за шт]]-1</f>
        <v>-0.36067335243553011</v>
      </c>
      <c r="L96" t="str">
        <f>VLOOKUP(Продажи[[#This Row],[id товара]],Товары[#All],3,FALSE)</f>
        <v>Lay's</v>
      </c>
      <c r="M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96" s="23">
        <f>VLOOKUP(Продажи[[#This Row],[id клиента]],Таблица4[#All],5,FALSE)</f>
        <v>44753</v>
      </c>
      <c r="O96">
        <f>Продажи[[#This Row],[дата создания чека]]-Продажи[[#This Row],[Дата регистрации клиентов]]</f>
        <v>537</v>
      </c>
      <c r="P96" t="str">
        <f>VLOOKUP(Продажи[[#This Row],[id клиента]],Таблица4[#All],7,FALSE)</f>
        <v>Украина</v>
      </c>
    </row>
    <row r="97" spans="1:16" x14ac:dyDescent="0.25">
      <c r="A97">
        <v>96</v>
      </c>
      <c r="B97">
        <v>215</v>
      </c>
      <c r="C97">
        <v>109</v>
      </c>
      <c r="D97">
        <v>1</v>
      </c>
      <c r="E97">
        <v>109</v>
      </c>
      <c r="F97" s="23">
        <v>45235</v>
      </c>
      <c r="G97" t="s">
        <v>17</v>
      </c>
      <c r="H97">
        <v>71</v>
      </c>
      <c r="I97" t="str">
        <f>VLOOKUP(Продажи[[#This Row],[id товара]],Товары[#All],2,FALSE)</f>
        <v>Сок</v>
      </c>
      <c r="J97" s="19">
        <f>AVERAGEIF(Продажи[Категория товара],Продажи[[#This Row],[Категория товара]],Продажи[цена за шт в рублях])</f>
        <v>268.60344827586209</v>
      </c>
      <c r="K97" s="20">
        <f>Продажи[[#This Row],[цена за шт в рублях]]/Продажи[[#This Row],[Средняя цена в категории за шт]]-1</f>
        <v>-0.59419731690095645</v>
      </c>
      <c r="L97" t="str">
        <f>VLOOKUP(Продажи[[#This Row],[id товара]],Товары[#All],3,FALSE)</f>
        <v>Фруктовый сад</v>
      </c>
      <c r="M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97" s="23">
        <f>VLOOKUP(Продажи[[#This Row],[id клиента]],Таблица4[#All],5,FALSE)</f>
        <v>44762</v>
      </c>
      <c r="O97">
        <f>Продажи[[#This Row],[дата создания чека]]-Продажи[[#This Row],[Дата регистрации клиентов]]</f>
        <v>473</v>
      </c>
      <c r="P97" t="str">
        <f>VLOOKUP(Продажи[[#This Row],[id клиента]],Таблица4[#All],7,FALSE)</f>
        <v>Украина</v>
      </c>
    </row>
    <row r="98" spans="1:16" x14ac:dyDescent="0.25">
      <c r="A98">
        <v>97</v>
      </c>
      <c r="B98">
        <v>364</v>
      </c>
      <c r="C98">
        <v>323</v>
      </c>
      <c r="D98">
        <v>2</v>
      </c>
      <c r="E98">
        <v>646</v>
      </c>
      <c r="F98" s="23">
        <v>45197</v>
      </c>
      <c r="G98" t="s">
        <v>25</v>
      </c>
      <c r="H98">
        <v>313</v>
      </c>
      <c r="I98" t="str">
        <f>VLOOKUP(Продажи[[#This Row],[id товара]],Товары[#All],2,FALSE)</f>
        <v>Сахар</v>
      </c>
      <c r="J98" s="19">
        <f>AVERAGEIF(Продажи[Категория товара],Продажи[[#This Row],[Категория товара]],Продажи[цена за шт в рублях])</f>
        <v>252.76271186440678</v>
      </c>
      <c r="K98" s="20">
        <f>Продажи[[#This Row],[цена за шт в рублях]]/Продажи[[#This Row],[Средняя цена в категории за шт]]-1</f>
        <v>0.27787836116140285</v>
      </c>
      <c r="L98" t="str">
        <f>VLOOKUP(Продажи[[#This Row],[id товара]],Товары[#All],3,FALSE)</f>
        <v>Русский сахар</v>
      </c>
      <c r="M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98" s="23">
        <f>VLOOKUP(Продажи[[#This Row],[id клиента]],Таблица4[#All],5,FALSE)</f>
        <v>44896</v>
      </c>
      <c r="O98">
        <f>Продажи[[#This Row],[дата создания чека]]-Продажи[[#This Row],[Дата регистрации клиентов]]</f>
        <v>301</v>
      </c>
      <c r="P98" t="str">
        <f>VLOOKUP(Продажи[[#This Row],[id клиента]],Таблица4[#All],7,FALSE)</f>
        <v>Узбекистан</v>
      </c>
    </row>
    <row r="99" spans="1:16" x14ac:dyDescent="0.25">
      <c r="A99">
        <v>98</v>
      </c>
      <c r="B99">
        <v>499</v>
      </c>
      <c r="C99">
        <v>96</v>
      </c>
      <c r="D99">
        <v>1</v>
      </c>
      <c r="E99">
        <v>96</v>
      </c>
      <c r="F99" s="23">
        <v>44942</v>
      </c>
      <c r="G99" t="s">
        <v>13</v>
      </c>
      <c r="H99">
        <v>239</v>
      </c>
      <c r="I99" t="str">
        <f>VLOOKUP(Продажи[[#This Row],[id товара]],Товары[#All],2,FALSE)</f>
        <v>Печенье</v>
      </c>
      <c r="J99" s="19">
        <f>AVERAGEIF(Продажи[Категория товара],Продажи[[#This Row],[Категория товара]],Продажи[цена за шт в рублях])</f>
        <v>283.468085106383</v>
      </c>
      <c r="K99" s="20">
        <f>Продажи[[#This Row],[цена за шт в рублях]]/Продажи[[#This Row],[Средняя цена в категории за шт]]-1</f>
        <v>-0.66133753659085792</v>
      </c>
      <c r="L99" t="str">
        <f>VLOOKUP(Продажи[[#This Row],[id товара]],Товары[#All],3,FALSE)</f>
        <v>Посиделкино</v>
      </c>
      <c r="M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99" s="23">
        <f>VLOOKUP(Продажи[[#This Row],[id клиента]],Таблица4[#All],5,FALSE)</f>
        <v>44767</v>
      </c>
      <c r="O99">
        <f>Продажи[[#This Row],[дата создания чека]]-Продажи[[#This Row],[Дата регистрации клиентов]]</f>
        <v>175</v>
      </c>
      <c r="P99" t="str">
        <f>VLOOKUP(Продажи[[#This Row],[id клиента]],Таблица4[#All],7,FALSE)</f>
        <v>Узбекистан</v>
      </c>
    </row>
    <row r="100" spans="1:16" x14ac:dyDescent="0.25">
      <c r="A100">
        <v>99</v>
      </c>
      <c r="B100">
        <v>202</v>
      </c>
      <c r="C100">
        <v>422</v>
      </c>
      <c r="D100">
        <v>2</v>
      </c>
      <c r="E100">
        <v>844</v>
      </c>
      <c r="F100" s="23">
        <v>45077</v>
      </c>
      <c r="G100" t="s">
        <v>13</v>
      </c>
      <c r="H100">
        <v>301</v>
      </c>
      <c r="I100" t="str">
        <f>VLOOKUP(Продажи[[#This Row],[id товара]],Товары[#All],2,FALSE)</f>
        <v>Овощи</v>
      </c>
      <c r="J100" s="19">
        <f>AVERAGEIF(Продажи[Категория товара],Продажи[[#This Row],[Категория товара]],Продажи[цена за шт в рублях])</f>
        <v>250.48780487804879</v>
      </c>
      <c r="K100" s="20">
        <f>Продажи[[#This Row],[цена за шт в рублях]]/Продажи[[#This Row],[Средняя цена в категории за шт]]-1</f>
        <v>0.68471275559883149</v>
      </c>
      <c r="L100" t="str">
        <f>VLOOKUP(Продажи[[#This Row],[id товара]],Товары[#All],3,FALSE)</f>
        <v>Овощной ряд</v>
      </c>
      <c r="M1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100" s="23">
        <f>VLOOKUP(Продажи[[#This Row],[id клиента]],Таблица4[#All],5,FALSE)</f>
        <v>44714</v>
      </c>
      <c r="O100">
        <f>Продажи[[#This Row],[дата создания чека]]-Продажи[[#This Row],[Дата регистрации клиентов]]</f>
        <v>363</v>
      </c>
      <c r="P100" t="str">
        <f>VLOOKUP(Продажи[[#This Row],[id клиента]],Таблица4[#All],7,FALSE)</f>
        <v>Россия</v>
      </c>
    </row>
    <row r="101" spans="1:16" x14ac:dyDescent="0.25">
      <c r="A101">
        <v>100</v>
      </c>
      <c r="B101">
        <v>244</v>
      </c>
      <c r="C101">
        <v>57</v>
      </c>
      <c r="D101">
        <v>3</v>
      </c>
      <c r="E101">
        <v>171</v>
      </c>
      <c r="F101" s="23">
        <v>45331</v>
      </c>
      <c r="G101" t="s">
        <v>26</v>
      </c>
      <c r="H101">
        <v>359</v>
      </c>
      <c r="I101" t="str">
        <f>VLOOKUP(Продажи[[#This Row],[id товара]],Товары[#All],2,FALSE)</f>
        <v>Мясо</v>
      </c>
      <c r="J101" s="19">
        <f>AVERAGEIF(Продажи[Категория товара],Продажи[[#This Row],[Категория товара]],Продажи[цена за шт в рублях])</f>
        <v>271.74545454545455</v>
      </c>
      <c r="K101" s="20">
        <f>Продажи[[#This Row],[цена за шт в рублях]]/Продажи[[#This Row],[Средняя цена в категории за шт]]-1</f>
        <v>-0.79024488157366524</v>
      </c>
      <c r="L101" t="str">
        <f>VLOOKUP(Продажи[[#This Row],[id товара]],Товары[#All],3,FALSE)</f>
        <v>Сава</v>
      </c>
      <c r="M1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101" s="23">
        <f>VLOOKUP(Продажи[[#This Row],[id клиента]],Таблица4[#All],5,FALSE)</f>
        <v>44584</v>
      </c>
      <c r="O101">
        <f>Продажи[[#This Row],[дата создания чека]]-Продажи[[#This Row],[Дата регистрации клиентов]]</f>
        <v>747</v>
      </c>
      <c r="P101" t="str">
        <f>VLOOKUP(Продажи[[#This Row],[id клиента]],Таблица4[#All],7,FALSE)</f>
        <v>Россия</v>
      </c>
    </row>
    <row r="102" spans="1:16" x14ac:dyDescent="0.25">
      <c r="A102">
        <v>101</v>
      </c>
      <c r="B102">
        <v>363</v>
      </c>
      <c r="C102">
        <v>414</v>
      </c>
      <c r="D102">
        <v>4</v>
      </c>
      <c r="E102">
        <v>1656</v>
      </c>
      <c r="F102" s="23">
        <v>45210</v>
      </c>
      <c r="G102" t="s">
        <v>25</v>
      </c>
      <c r="H102">
        <v>474</v>
      </c>
      <c r="I102" t="str">
        <f>VLOOKUP(Продажи[[#This Row],[id товара]],Товары[#All],2,FALSE)</f>
        <v>Хлеб</v>
      </c>
      <c r="J102" s="19">
        <f>AVERAGEIF(Продажи[Категория товара],Продажи[[#This Row],[Категория товара]],Продажи[цена за шт в рублях])</f>
        <v>300.31818181818181</v>
      </c>
      <c r="K102" s="20">
        <f>Продажи[[#This Row],[цена за шт в рублях]]/Продажи[[#This Row],[Средняя цена в категории за шт]]-1</f>
        <v>0.37853791433328299</v>
      </c>
      <c r="L102" t="str">
        <f>VLOOKUP(Продажи[[#This Row],[id товара]],Товары[#All],3,FALSE)</f>
        <v>Дарница</v>
      </c>
      <c r="M1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102" s="23">
        <f>VLOOKUP(Продажи[[#This Row],[id клиента]],Таблица4[#All],5,FALSE)</f>
        <v>44605</v>
      </c>
      <c r="O102">
        <f>Продажи[[#This Row],[дата создания чека]]-Продажи[[#This Row],[Дата регистрации клиентов]]</f>
        <v>605</v>
      </c>
      <c r="P102" t="str">
        <f>VLOOKUP(Продажи[[#This Row],[id клиента]],Таблица4[#All],7,FALSE)</f>
        <v>Россия</v>
      </c>
    </row>
    <row r="103" spans="1:16" x14ac:dyDescent="0.25">
      <c r="A103">
        <v>102</v>
      </c>
      <c r="B103">
        <v>212</v>
      </c>
      <c r="C103">
        <v>320</v>
      </c>
      <c r="D103">
        <v>5</v>
      </c>
      <c r="E103">
        <v>1600</v>
      </c>
      <c r="F103" s="23">
        <v>45082</v>
      </c>
      <c r="G103" t="s">
        <v>10</v>
      </c>
      <c r="H103">
        <v>111</v>
      </c>
      <c r="I103" t="str">
        <f>VLOOKUP(Продажи[[#This Row],[id товара]],Товары[#All],2,FALSE)</f>
        <v>Чипсы</v>
      </c>
      <c r="J103" s="19">
        <f>AVERAGEIF(Продажи[Категория товара],Продажи[[#This Row],[Категория товара]],Продажи[цена за шт в рублях])</f>
        <v>273.72549019607845</v>
      </c>
      <c r="K103" s="20">
        <f>Продажи[[#This Row],[цена за шт в рублях]]/Продажи[[#This Row],[Средняя цена в категории за шт]]-1</f>
        <v>0.16905444126074487</v>
      </c>
      <c r="L103" t="str">
        <f>VLOOKUP(Продажи[[#This Row],[id товара]],Товары[#All],3,FALSE)</f>
        <v>Lay's</v>
      </c>
      <c r="M1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103" s="23">
        <f>VLOOKUP(Продажи[[#This Row],[id клиента]],Таблица4[#All],5,FALSE)</f>
        <v>44804</v>
      </c>
      <c r="O103">
        <f>Продажи[[#This Row],[дата создания чека]]-Продажи[[#This Row],[Дата регистрации клиентов]]</f>
        <v>278</v>
      </c>
      <c r="P103" t="str">
        <f>VLOOKUP(Продажи[[#This Row],[id клиента]],Таблица4[#All],7,FALSE)</f>
        <v>Узбекистан</v>
      </c>
    </row>
    <row r="104" spans="1:16" x14ac:dyDescent="0.25">
      <c r="A104">
        <v>103</v>
      </c>
      <c r="B104">
        <v>434</v>
      </c>
      <c r="C104">
        <v>272</v>
      </c>
      <c r="D104">
        <v>2</v>
      </c>
      <c r="E104">
        <v>544</v>
      </c>
      <c r="F104" s="23">
        <v>45174</v>
      </c>
      <c r="G104" t="s">
        <v>13</v>
      </c>
      <c r="H104">
        <v>126</v>
      </c>
      <c r="I104" t="str">
        <f>VLOOKUP(Продажи[[#This Row],[id товара]],Товары[#All],2,FALSE)</f>
        <v>Сыр</v>
      </c>
      <c r="J104" s="19">
        <f>AVERAGEIF(Продажи[Категория товара],Продажи[[#This Row],[Категория товара]],Продажи[цена за шт в рублях])</f>
        <v>262.63492063492066</v>
      </c>
      <c r="K104" s="20">
        <f>Продажи[[#This Row],[цена за шт в рублях]]/Продажи[[#This Row],[Средняя цена в категории за шт]]-1</f>
        <v>3.5658165115435736E-2</v>
      </c>
      <c r="L104" t="str">
        <f>VLOOKUP(Продажи[[#This Row],[id товара]],Товары[#All],3,FALSE)</f>
        <v>Сырная долина</v>
      </c>
      <c r="M1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104" s="23">
        <f>VLOOKUP(Продажи[[#This Row],[id клиента]],Таблица4[#All],5,FALSE)</f>
        <v>44822</v>
      </c>
      <c r="O104">
        <f>Продажи[[#This Row],[дата создания чека]]-Продажи[[#This Row],[Дата регистрации клиентов]]</f>
        <v>352</v>
      </c>
      <c r="P104" t="str">
        <f>VLOOKUP(Продажи[[#This Row],[id клиента]],Таблица4[#All],7,FALSE)</f>
        <v>Узбекистан</v>
      </c>
    </row>
    <row r="105" spans="1:16" x14ac:dyDescent="0.25">
      <c r="A105">
        <v>104</v>
      </c>
      <c r="B105">
        <v>305</v>
      </c>
      <c r="C105">
        <v>419</v>
      </c>
      <c r="D105">
        <v>4</v>
      </c>
      <c r="E105">
        <v>1676</v>
      </c>
      <c r="F105" s="23">
        <v>45171</v>
      </c>
      <c r="G105" t="s">
        <v>27</v>
      </c>
      <c r="H105">
        <v>356</v>
      </c>
      <c r="I105" t="str">
        <f>VLOOKUP(Продажи[[#This Row],[id товара]],Товары[#All],2,FALSE)</f>
        <v>Печенье</v>
      </c>
      <c r="J105" s="19">
        <f>AVERAGEIF(Продажи[Категория товара],Продажи[[#This Row],[Категория товара]],Продажи[цена за шт в рублях])</f>
        <v>283.468085106383</v>
      </c>
      <c r="K105" s="20">
        <f>Продажи[[#This Row],[цена за шт в рублях]]/Продажи[[#This Row],[Средняя цена в категории за шт]]-1</f>
        <v>0.47812054342115129</v>
      </c>
      <c r="L105" t="str">
        <f>VLOOKUP(Продажи[[#This Row],[id товара]],Товары[#All],3,FALSE)</f>
        <v>Посиделкино</v>
      </c>
      <c r="M1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105" s="23">
        <f>VLOOKUP(Продажи[[#This Row],[id клиента]],Таблица4[#All],5,FALSE)</f>
        <v>44570</v>
      </c>
      <c r="O105">
        <f>Продажи[[#This Row],[дата создания чека]]-Продажи[[#This Row],[Дата регистрации клиентов]]</f>
        <v>601</v>
      </c>
      <c r="P105" t="str">
        <f>VLOOKUP(Продажи[[#This Row],[id клиента]],Таблица4[#All],7,FALSE)</f>
        <v>Таджикистан</v>
      </c>
    </row>
    <row r="106" spans="1:16" x14ac:dyDescent="0.25">
      <c r="A106">
        <v>105</v>
      </c>
      <c r="B106">
        <v>37</v>
      </c>
      <c r="C106">
        <v>478</v>
      </c>
      <c r="D106">
        <v>4</v>
      </c>
      <c r="E106">
        <v>1912</v>
      </c>
      <c r="F106" s="23">
        <v>45259</v>
      </c>
      <c r="G106" t="s">
        <v>12</v>
      </c>
      <c r="H106">
        <v>166</v>
      </c>
      <c r="I106" t="str">
        <f>VLOOKUP(Продажи[[#This Row],[id товара]],Товары[#All],2,FALSE)</f>
        <v>Соль</v>
      </c>
      <c r="J106" s="19">
        <f>AVERAGEIF(Продажи[Категория товара],Продажи[[#This Row],[Категория товара]],Продажи[цена за шт в рублях])</f>
        <v>264.8679245283019</v>
      </c>
      <c r="K106" s="20">
        <f>Продажи[[#This Row],[цена за шт в рублях]]/Продажи[[#This Row],[Средняя цена в категории за шт]]-1</f>
        <v>0.80467303034620308</v>
      </c>
      <c r="L106" t="str">
        <f>VLOOKUP(Продажи[[#This Row],[id товара]],Товары[#All],3,FALSE)</f>
        <v>Илецкая</v>
      </c>
      <c r="M1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106" s="23">
        <f>VLOOKUP(Продажи[[#This Row],[id клиента]],Таблица4[#All],5,FALSE)</f>
        <v>44796</v>
      </c>
      <c r="O106">
        <f>Продажи[[#This Row],[дата создания чека]]-Продажи[[#This Row],[Дата регистрации клиентов]]</f>
        <v>463</v>
      </c>
      <c r="P106" t="str">
        <f>VLOOKUP(Продажи[[#This Row],[id клиента]],Таблица4[#All],7,FALSE)</f>
        <v>Узбекистан</v>
      </c>
    </row>
    <row r="107" spans="1:16" x14ac:dyDescent="0.25">
      <c r="A107">
        <v>106</v>
      </c>
      <c r="B107">
        <v>242</v>
      </c>
      <c r="C107">
        <v>333</v>
      </c>
      <c r="D107">
        <v>3</v>
      </c>
      <c r="E107">
        <v>999</v>
      </c>
      <c r="F107" s="23">
        <v>45287</v>
      </c>
      <c r="G107" t="s">
        <v>10</v>
      </c>
      <c r="H107">
        <v>162</v>
      </c>
      <c r="I107" t="str">
        <f>VLOOKUP(Продажи[[#This Row],[id товара]],Товары[#All],2,FALSE)</f>
        <v>Овощи</v>
      </c>
      <c r="J107" s="19">
        <f>AVERAGEIF(Продажи[Категория товара],Продажи[[#This Row],[Категория товара]],Продажи[цена за шт в рублях])</f>
        <v>250.48780487804879</v>
      </c>
      <c r="K107" s="20">
        <f>Продажи[[#This Row],[цена за шт в рублях]]/Продажи[[#This Row],[Средняя цена в категории за шт]]-1</f>
        <v>0.32940603700097371</v>
      </c>
      <c r="L107" t="str">
        <f>VLOOKUP(Продажи[[#This Row],[id товара]],Товары[#All],3,FALSE)</f>
        <v>Овощной ряд</v>
      </c>
      <c r="M1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107" s="23">
        <f>VLOOKUP(Продажи[[#This Row],[id клиента]],Таблица4[#All],5,FALSE)</f>
        <v>44639</v>
      </c>
      <c r="O107">
        <f>Продажи[[#This Row],[дата создания чека]]-Продажи[[#This Row],[Дата регистрации клиентов]]</f>
        <v>648</v>
      </c>
      <c r="P107" t="str">
        <f>VLOOKUP(Продажи[[#This Row],[id клиента]],Таблица4[#All],7,FALSE)</f>
        <v>Таджикистан</v>
      </c>
    </row>
    <row r="108" spans="1:16" x14ac:dyDescent="0.25">
      <c r="A108">
        <v>107</v>
      </c>
      <c r="B108">
        <v>332</v>
      </c>
      <c r="C108">
        <v>327</v>
      </c>
      <c r="D108">
        <v>2</v>
      </c>
      <c r="E108">
        <v>654</v>
      </c>
      <c r="F108" s="23">
        <v>45095</v>
      </c>
      <c r="G108" t="s">
        <v>19</v>
      </c>
      <c r="H108">
        <v>459</v>
      </c>
      <c r="I108" t="str">
        <f>VLOOKUP(Продажи[[#This Row],[id товара]],Товары[#All],2,FALSE)</f>
        <v>Чай</v>
      </c>
      <c r="J108" s="19">
        <f>AVERAGEIF(Продажи[Категория товара],Продажи[[#This Row],[Категория товара]],Продажи[цена за шт в рублях])</f>
        <v>271.18181818181819</v>
      </c>
      <c r="K108" s="20">
        <f>Продажи[[#This Row],[цена за шт в рублях]]/Продажи[[#This Row],[Средняя цена в категории за шт]]-1</f>
        <v>0.20583305397251084</v>
      </c>
      <c r="L108" t="str">
        <f>VLOOKUP(Продажи[[#This Row],[id товара]],Товары[#All],3,FALSE)</f>
        <v>Тесс</v>
      </c>
      <c r="M1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281.75</v>
      </c>
      <c r="N108" s="23">
        <f>VLOOKUP(Продажи[[#This Row],[id клиента]],Таблица4[#All],5,FALSE)</f>
        <v>44743</v>
      </c>
      <c r="O108">
        <f>Продажи[[#This Row],[дата создания чека]]-Продажи[[#This Row],[Дата регистрации клиентов]]</f>
        <v>352</v>
      </c>
      <c r="P108" t="str">
        <f>VLOOKUP(Продажи[[#This Row],[id клиента]],Таблица4[#All],7,FALSE)</f>
        <v>Россия</v>
      </c>
    </row>
    <row r="109" spans="1:16" x14ac:dyDescent="0.25">
      <c r="A109">
        <v>108</v>
      </c>
      <c r="B109">
        <v>452</v>
      </c>
      <c r="C109">
        <v>89</v>
      </c>
      <c r="D109">
        <v>3</v>
      </c>
      <c r="E109">
        <v>267</v>
      </c>
      <c r="F109" s="23">
        <v>45033</v>
      </c>
      <c r="G109" t="s">
        <v>22</v>
      </c>
      <c r="H109">
        <v>211</v>
      </c>
      <c r="I109" t="str">
        <f>VLOOKUP(Продажи[[#This Row],[id товара]],Товары[#All],2,FALSE)</f>
        <v>Фрукты</v>
      </c>
      <c r="J109" s="19">
        <f>AVERAGEIF(Продажи[Категория товара],Продажи[[#This Row],[Категория товара]],Продажи[цена за шт в рублях])</f>
        <v>274.16279069767444</v>
      </c>
      <c r="K109" s="20">
        <f>Продажи[[#This Row],[цена за шт в рублях]]/Продажи[[#This Row],[Средняя цена в категории за шт]]-1</f>
        <v>-0.67537534990245152</v>
      </c>
      <c r="L109" t="str">
        <f>VLOOKUP(Продажи[[#This Row],[id товара]],Товары[#All],3,FALSE)</f>
        <v>Экзотик</v>
      </c>
      <c r="M1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109" s="23">
        <f>VLOOKUP(Продажи[[#This Row],[id клиента]],Таблица4[#All],5,FALSE)</f>
        <v>44621</v>
      </c>
      <c r="O109">
        <f>Продажи[[#This Row],[дата создания чека]]-Продажи[[#This Row],[Дата регистрации клиентов]]</f>
        <v>412</v>
      </c>
      <c r="P109" t="str">
        <f>VLOOKUP(Продажи[[#This Row],[id клиента]],Таблица4[#All],7,FALSE)</f>
        <v>Украина</v>
      </c>
    </row>
    <row r="110" spans="1:16" x14ac:dyDescent="0.25">
      <c r="A110">
        <v>109</v>
      </c>
      <c r="B110">
        <v>452</v>
      </c>
      <c r="C110">
        <v>78</v>
      </c>
      <c r="D110">
        <v>3</v>
      </c>
      <c r="E110">
        <v>234</v>
      </c>
      <c r="F110" s="23">
        <v>45285</v>
      </c>
      <c r="G110" t="s">
        <v>10</v>
      </c>
      <c r="H110">
        <v>132</v>
      </c>
      <c r="I110" t="str">
        <f>VLOOKUP(Продажи[[#This Row],[id товара]],Товары[#All],2,FALSE)</f>
        <v>Фрукты</v>
      </c>
      <c r="J110" s="19">
        <f>AVERAGEIF(Продажи[Категория товара],Продажи[[#This Row],[Категория товара]],Продажи[цена за шт в рублях])</f>
        <v>274.16279069767444</v>
      </c>
      <c r="K110" s="20">
        <f>Продажи[[#This Row],[цена за шт в рублях]]/Продажи[[#This Row],[Средняя цена в категории за шт]]-1</f>
        <v>-0.71549749766731696</v>
      </c>
      <c r="L110" t="str">
        <f>VLOOKUP(Продажи[[#This Row],[id товара]],Товары[#All],3,FALSE)</f>
        <v>Экзотик</v>
      </c>
      <c r="M1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110" s="23">
        <f>VLOOKUP(Продажи[[#This Row],[id клиента]],Таблица4[#All],5,FALSE)</f>
        <v>44601</v>
      </c>
      <c r="O110">
        <f>Продажи[[#This Row],[дата создания чека]]-Продажи[[#This Row],[Дата регистрации клиентов]]</f>
        <v>684</v>
      </c>
      <c r="P110" t="str">
        <f>VLOOKUP(Продажи[[#This Row],[id клиента]],Таблица4[#All],7,FALSE)</f>
        <v>Украина</v>
      </c>
    </row>
    <row r="111" spans="1:16" x14ac:dyDescent="0.25">
      <c r="A111">
        <v>110</v>
      </c>
      <c r="B111">
        <v>132</v>
      </c>
      <c r="C111">
        <v>278</v>
      </c>
      <c r="D111">
        <v>3</v>
      </c>
      <c r="E111">
        <v>834</v>
      </c>
      <c r="F111" s="23">
        <v>45013</v>
      </c>
      <c r="G111" t="s">
        <v>11</v>
      </c>
      <c r="H111">
        <v>236</v>
      </c>
      <c r="I111" t="str">
        <f>VLOOKUP(Продажи[[#This Row],[id товара]],Товары[#All],2,FALSE)</f>
        <v>Рыба</v>
      </c>
      <c r="J111" s="19">
        <f>AVERAGEIF(Продажи[Категория товара],Продажи[[#This Row],[Категория товара]],Продажи[цена за шт в рублях])</f>
        <v>258.5128205128205</v>
      </c>
      <c r="K111" s="20">
        <f>Продажи[[#This Row],[цена за шт в рублях]]/Продажи[[#This Row],[Средняя цена в категории за шт]]-1</f>
        <v>7.5381868676849928E-2</v>
      </c>
      <c r="L111" t="str">
        <f>VLOOKUP(Продажи[[#This Row],[id товара]],Товары[#All],3,FALSE)</f>
        <v>Меридиан</v>
      </c>
      <c r="M1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111" s="23">
        <f>VLOOKUP(Продажи[[#This Row],[id клиента]],Таблица4[#All],5,FALSE)</f>
        <v>44820</v>
      </c>
      <c r="O111">
        <f>Продажи[[#This Row],[дата создания чека]]-Продажи[[#This Row],[Дата регистрации клиентов]]</f>
        <v>193</v>
      </c>
      <c r="P111" t="str">
        <f>VLOOKUP(Продажи[[#This Row],[id клиента]],Таблица4[#All],7,FALSE)</f>
        <v>Узбекистан</v>
      </c>
    </row>
    <row r="112" spans="1:16" x14ac:dyDescent="0.25">
      <c r="A112">
        <v>111</v>
      </c>
      <c r="B112">
        <v>457</v>
      </c>
      <c r="C112">
        <v>211</v>
      </c>
      <c r="D112">
        <v>4</v>
      </c>
      <c r="E112">
        <v>844</v>
      </c>
      <c r="F112" s="23">
        <v>45039</v>
      </c>
      <c r="G112" t="s">
        <v>17</v>
      </c>
      <c r="H112">
        <v>333</v>
      </c>
      <c r="I112" t="str">
        <f>VLOOKUP(Продажи[[#This Row],[id товара]],Товары[#All],2,FALSE)</f>
        <v>Сок</v>
      </c>
      <c r="J112" s="19">
        <f>AVERAGEIF(Продажи[Категория товара],Продажи[[#This Row],[Категория товара]],Продажи[цена за шт в рублях])</f>
        <v>268.60344827586209</v>
      </c>
      <c r="K112" s="20">
        <f>Продажи[[#This Row],[цена за шт в рублях]]/Продажи[[#This Row],[Средняя цена в категории за шт]]-1</f>
        <v>-0.21445535656974135</v>
      </c>
      <c r="L112" t="str">
        <f>VLOOKUP(Продажи[[#This Row],[id товара]],Товары[#All],3,FALSE)</f>
        <v>Rich</v>
      </c>
      <c r="M1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272.25</v>
      </c>
      <c r="N112" s="23">
        <f>VLOOKUP(Продажи[[#This Row],[id клиента]],Таблица4[#All],5,FALSE)</f>
        <v>44857</v>
      </c>
      <c r="O112">
        <f>Продажи[[#This Row],[дата создания чека]]-Продажи[[#This Row],[Дата регистрации клиентов]]</f>
        <v>182</v>
      </c>
      <c r="P112" t="str">
        <f>VLOOKUP(Продажи[[#This Row],[id клиента]],Таблица4[#All],7,FALSE)</f>
        <v>Россия</v>
      </c>
    </row>
    <row r="113" spans="1:16" x14ac:dyDescent="0.25">
      <c r="A113">
        <v>112</v>
      </c>
      <c r="B113">
        <v>250</v>
      </c>
      <c r="C113">
        <v>97</v>
      </c>
      <c r="D113">
        <v>5</v>
      </c>
      <c r="E113">
        <v>485</v>
      </c>
      <c r="F113" s="23">
        <v>45214</v>
      </c>
      <c r="G113" t="s">
        <v>27</v>
      </c>
      <c r="H113">
        <v>298</v>
      </c>
      <c r="I113" t="str">
        <f>VLOOKUP(Продажи[[#This Row],[id товара]],Товары[#All],2,FALSE)</f>
        <v>Фрукты</v>
      </c>
      <c r="J113" s="19">
        <f>AVERAGEIF(Продажи[Категория товара],Продажи[[#This Row],[Категория товара]],Продажи[цена за шт в рублях])</f>
        <v>274.16279069767444</v>
      </c>
      <c r="K113" s="20">
        <f>Продажи[[#This Row],[цена за шт в рублях]]/Продажи[[#This Row],[Средняя цена в категории за шт]]-1</f>
        <v>-0.64619560607345838</v>
      </c>
      <c r="L113" t="str">
        <f>VLOOKUP(Продажи[[#This Row],[id товара]],Товары[#All],3,FALSE)</f>
        <v>Фрукты-Ягоды</v>
      </c>
      <c r="M1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113" s="23">
        <f>VLOOKUP(Продажи[[#This Row],[id клиента]],Таблица4[#All],5,FALSE)</f>
        <v>44821</v>
      </c>
      <c r="O113">
        <f>Продажи[[#This Row],[дата создания чека]]-Продажи[[#This Row],[Дата регистрации клиентов]]</f>
        <v>393</v>
      </c>
      <c r="P113" t="str">
        <f>VLOOKUP(Продажи[[#This Row],[id клиента]],Таблица4[#All],7,FALSE)</f>
        <v>Украина</v>
      </c>
    </row>
    <row r="114" spans="1:16" x14ac:dyDescent="0.25">
      <c r="A114">
        <v>113</v>
      </c>
      <c r="B114">
        <v>195</v>
      </c>
      <c r="C114">
        <v>240</v>
      </c>
      <c r="D114">
        <v>2</v>
      </c>
      <c r="E114">
        <v>480</v>
      </c>
      <c r="F114" s="23">
        <v>45277</v>
      </c>
      <c r="G114" t="s">
        <v>14</v>
      </c>
      <c r="H114">
        <v>273</v>
      </c>
      <c r="I114" t="str">
        <f>VLOOKUP(Продажи[[#This Row],[id товара]],Товары[#All],2,FALSE)</f>
        <v>Хлеб</v>
      </c>
      <c r="J114" s="19">
        <f>AVERAGEIF(Продажи[Категория товара],Продажи[[#This Row],[Категория товара]],Продажи[цена за шт в рублях])</f>
        <v>300.31818181818181</v>
      </c>
      <c r="K114" s="20">
        <f>Продажи[[#This Row],[цена за шт в рублях]]/Продажи[[#This Row],[Средняя цена в категории за шт]]-1</f>
        <v>-0.20084758589374907</v>
      </c>
      <c r="L114" t="str">
        <f>VLOOKUP(Продажи[[#This Row],[id товара]],Товары[#All],3,FALSE)</f>
        <v>Каравай</v>
      </c>
      <c r="M1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114" s="23">
        <f>VLOOKUP(Продажи[[#This Row],[id клиента]],Таблица4[#All],5,FALSE)</f>
        <v>44599</v>
      </c>
      <c r="O114">
        <f>Продажи[[#This Row],[дата создания чека]]-Продажи[[#This Row],[Дата регистрации клиентов]]</f>
        <v>678</v>
      </c>
      <c r="P114" t="str">
        <f>VLOOKUP(Продажи[[#This Row],[id клиента]],Таблица4[#All],7,FALSE)</f>
        <v>Узбекистан</v>
      </c>
    </row>
    <row r="115" spans="1:16" x14ac:dyDescent="0.25">
      <c r="A115">
        <v>114</v>
      </c>
      <c r="B115">
        <v>186</v>
      </c>
      <c r="C115">
        <v>244</v>
      </c>
      <c r="D115">
        <v>1</v>
      </c>
      <c r="E115">
        <v>244</v>
      </c>
      <c r="F115" s="23">
        <v>45176</v>
      </c>
      <c r="G115" t="s">
        <v>17</v>
      </c>
      <c r="H115">
        <v>321</v>
      </c>
      <c r="I115" t="str">
        <f>VLOOKUP(Продажи[[#This Row],[id товара]],Товары[#All],2,FALSE)</f>
        <v>Сыр</v>
      </c>
      <c r="J115" s="19">
        <f>AVERAGEIF(Продажи[Категория товара],Продажи[[#This Row],[Категория товара]],Продажи[цена за шт в рублях])</f>
        <v>262.63492063492066</v>
      </c>
      <c r="K115" s="20">
        <f>Продажи[[#This Row],[цена за шт в рублях]]/Продажи[[#This Row],[Средняя цена в категории за шт]]-1</f>
        <v>-7.0953704822918073E-2</v>
      </c>
      <c r="L115" t="str">
        <f>VLOOKUP(Продажи[[#This Row],[id товара]],Товары[#All],3,FALSE)</f>
        <v>President</v>
      </c>
      <c r="M1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115" s="23">
        <f>VLOOKUP(Продажи[[#This Row],[id клиента]],Таблица4[#All],5,FALSE)</f>
        <v>44756</v>
      </c>
      <c r="O115">
        <f>Продажи[[#This Row],[дата создания чека]]-Продажи[[#This Row],[Дата регистрации клиентов]]</f>
        <v>420</v>
      </c>
      <c r="P115" t="str">
        <f>VLOOKUP(Продажи[[#This Row],[id клиента]],Таблица4[#All],7,FALSE)</f>
        <v>Таджикистан</v>
      </c>
    </row>
    <row r="116" spans="1:16" x14ac:dyDescent="0.25">
      <c r="A116">
        <v>115</v>
      </c>
      <c r="B116">
        <v>490</v>
      </c>
      <c r="C116">
        <v>219</v>
      </c>
      <c r="D116">
        <v>1</v>
      </c>
      <c r="E116">
        <v>219</v>
      </c>
      <c r="F116" s="23">
        <v>44948</v>
      </c>
      <c r="G116" t="s">
        <v>20</v>
      </c>
      <c r="H116">
        <v>119</v>
      </c>
      <c r="I116" t="str">
        <f>VLOOKUP(Продажи[[#This Row],[id товара]],Товары[#All],2,FALSE)</f>
        <v>Сыр</v>
      </c>
      <c r="J116" s="19">
        <f>AVERAGEIF(Продажи[Категория товара],Продажи[[#This Row],[Категория товара]],Продажи[цена за шт в рублях])</f>
        <v>262.63492063492066</v>
      </c>
      <c r="K116" s="20">
        <f>Продажи[[#This Row],[цена за шт в рублях]]/Продажи[[#This Row],[Средняя цена в категории за шт]]-1</f>
        <v>-0.16614287441073383</v>
      </c>
      <c r="L116" t="str">
        <f>VLOOKUP(Продажи[[#This Row],[id товара]],Товары[#All],3,FALSE)</f>
        <v>Сырная долина</v>
      </c>
      <c r="M1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116" s="23">
        <f>VLOOKUP(Продажи[[#This Row],[id клиента]],Таблица4[#All],5,FALSE)</f>
        <v>44690</v>
      </c>
      <c r="O116">
        <f>Продажи[[#This Row],[дата создания чека]]-Продажи[[#This Row],[Дата регистрации клиентов]]</f>
        <v>258</v>
      </c>
      <c r="P116" t="str">
        <f>VLOOKUP(Продажи[[#This Row],[id клиента]],Таблица4[#All],7,FALSE)</f>
        <v>Россия</v>
      </c>
    </row>
    <row r="117" spans="1:16" x14ac:dyDescent="0.25">
      <c r="A117">
        <v>116</v>
      </c>
      <c r="B117">
        <v>72</v>
      </c>
      <c r="C117">
        <v>162</v>
      </c>
      <c r="D117">
        <v>1</v>
      </c>
      <c r="E117">
        <v>162</v>
      </c>
      <c r="F117" s="23">
        <v>44959</v>
      </c>
      <c r="G117" t="s">
        <v>17</v>
      </c>
      <c r="H117">
        <v>472</v>
      </c>
      <c r="I117" t="str">
        <f>VLOOKUP(Продажи[[#This Row],[id товара]],Товары[#All],2,FALSE)</f>
        <v>Конфеты</v>
      </c>
      <c r="J117" s="19">
        <f>AVERAGEIF(Продажи[Категория товара],Продажи[[#This Row],[Категория товара]],Продажи[цена за шт в рублях])</f>
        <v>267.85483870967744</v>
      </c>
      <c r="K117" s="20">
        <f>Продажи[[#This Row],[цена за шт в рублях]]/Продажи[[#This Row],[Средняя цена в категории за шт]]-1</f>
        <v>-0.39519479737460106</v>
      </c>
      <c r="L117" t="str">
        <f>VLOOKUP(Продажи[[#This Row],[id товара]],Товары[#All],3,FALSE)</f>
        <v>Бабаевский</v>
      </c>
      <c r="M1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117" s="23">
        <f>VLOOKUP(Продажи[[#This Row],[id клиента]],Таблица4[#All],5,FALSE)</f>
        <v>44901</v>
      </c>
      <c r="O117">
        <f>Продажи[[#This Row],[дата создания чека]]-Продажи[[#This Row],[Дата регистрации клиентов]]</f>
        <v>58</v>
      </c>
      <c r="P117" t="str">
        <f>VLOOKUP(Продажи[[#This Row],[id клиента]],Таблица4[#All],7,FALSE)</f>
        <v>Украина</v>
      </c>
    </row>
    <row r="118" spans="1:16" x14ac:dyDescent="0.25">
      <c r="A118">
        <v>117</v>
      </c>
      <c r="B118">
        <v>430</v>
      </c>
      <c r="C118">
        <v>119</v>
      </c>
      <c r="D118">
        <v>3</v>
      </c>
      <c r="E118">
        <v>357</v>
      </c>
      <c r="F118" s="23">
        <v>45241</v>
      </c>
      <c r="G118" t="s">
        <v>24</v>
      </c>
      <c r="H118">
        <v>396</v>
      </c>
      <c r="I118" t="str">
        <f>VLOOKUP(Продажи[[#This Row],[id товара]],Товары[#All],2,FALSE)</f>
        <v>Чай</v>
      </c>
      <c r="J118" s="19">
        <f>AVERAGEIF(Продажи[Категория товара],Продажи[[#This Row],[Категория товара]],Продажи[цена за шт в рублях])</f>
        <v>271.18181818181819</v>
      </c>
      <c r="K118" s="20">
        <f>Продажи[[#This Row],[цена за шт в рублях]]/Продажи[[#This Row],[Средняя цена в категории за шт]]-1</f>
        <v>-0.56118002011397916</v>
      </c>
      <c r="L118" t="str">
        <f>VLOOKUP(Продажи[[#This Row],[id товара]],Товары[#All],3,FALSE)</f>
        <v>Ахмад</v>
      </c>
      <c r="M1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118" s="23">
        <f>VLOOKUP(Продажи[[#This Row],[id клиента]],Таблица4[#All],5,FALSE)</f>
        <v>44871</v>
      </c>
      <c r="O118">
        <f>Продажи[[#This Row],[дата создания чека]]-Продажи[[#This Row],[Дата регистрации клиентов]]</f>
        <v>370</v>
      </c>
      <c r="P118" t="str">
        <f>VLOOKUP(Продажи[[#This Row],[id клиента]],Таблица4[#All],7,FALSE)</f>
        <v>Украина</v>
      </c>
    </row>
    <row r="119" spans="1:16" x14ac:dyDescent="0.25">
      <c r="A119">
        <v>118</v>
      </c>
      <c r="B119">
        <v>223</v>
      </c>
      <c r="C119">
        <v>174</v>
      </c>
      <c r="D119">
        <v>2</v>
      </c>
      <c r="E119">
        <v>348</v>
      </c>
      <c r="F119" s="23">
        <v>45338</v>
      </c>
      <c r="G119" t="s">
        <v>14</v>
      </c>
      <c r="H119">
        <v>269</v>
      </c>
      <c r="I119" t="str">
        <f>VLOOKUP(Продажи[[#This Row],[id товара]],Товары[#All],2,FALSE)</f>
        <v>Чай</v>
      </c>
      <c r="J119" s="19">
        <f>AVERAGEIF(Продажи[Категория товара],Продажи[[#This Row],[Категория товара]],Продажи[цена за шт в рублях])</f>
        <v>271.18181818181819</v>
      </c>
      <c r="K119" s="20">
        <f>Продажи[[#This Row],[цена за шт в рублях]]/Продажи[[#This Row],[Средняя цена в категории за шт]]-1</f>
        <v>-0.35836406302380153</v>
      </c>
      <c r="L119" t="str">
        <f>VLOOKUP(Продажи[[#This Row],[id товара]],Товары[#All],3,FALSE)</f>
        <v>Greenfield</v>
      </c>
      <c r="M1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119" s="23">
        <f>VLOOKUP(Продажи[[#This Row],[id клиента]],Таблица4[#All],5,FALSE)</f>
        <v>44720</v>
      </c>
      <c r="O119">
        <f>Продажи[[#This Row],[дата создания чека]]-Продажи[[#This Row],[Дата регистрации клиентов]]</f>
        <v>618</v>
      </c>
      <c r="P119" t="str">
        <f>VLOOKUP(Продажи[[#This Row],[id клиента]],Таблица4[#All],7,FALSE)</f>
        <v>Россия</v>
      </c>
    </row>
    <row r="120" spans="1:16" x14ac:dyDescent="0.25">
      <c r="A120">
        <v>119</v>
      </c>
      <c r="B120">
        <v>164</v>
      </c>
      <c r="C120">
        <v>229</v>
      </c>
      <c r="D120">
        <v>3</v>
      </c>
      <c r="E120">
        <v>687</v>
      </c>
      <c r="F120" s="23">
        <v>45343</v>
      </c>
      <c r="G120" t="s">
        <v>22</v>
      </c>
      <c r="H120">
        <v>16</v>
      </c>
      <c r="I120" t="str">
        <f>VLOOKUP(Продажи[[#This Row],[id товара]],Товары[#All],2,FALSE)</f>
        <v>Молоко</v>
      </c>
      <c r="J120" s="19">
        <f>AVERAGEIF(Продажи[Категория товара],Продажи[[#This Row],[Категория товара]],Продажи[цена за шт в рублях])</f>
        <v>294.95238095238096</v>
      </c>
      <c r="K120" s="20">
        <f>Продажи[[#This Row],[цена за шт в рублях]]/Продажи[[#This Row],[Средняя цена в категории за шт]]-1</f>
        <v>-0.22360348724572165</v>
      </c>
      <c r="L120" t="str">
        <f>VLOOKUP(Продажи[[#This Row],[id товара]],Товары[#All],3,FALSE)</f>
        <v>Беллакт</v>
      </c>
      <c r="M1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120" s="23">
        <f>VLOOKUP(Продажи[[#This Row],[id клиента]],Таблица4[#All],5,FALSE)</f>
        <v>44713</v>
      </c>
      <c r="O120">
        <f>Продажи[[#This Row],[дата создания чека]]-Продажи[[#This Row],[Дата регистрации клиентов]]</f>
        <v>630</v>
      </c>
      <c r="P120" t="str">
        <f>VLOOKUP(Продажи[[#This Row],[id клиента]],Таблица4[#All],7,FALSE)</f>
        <v>Украина</v>
      </c>
    </row>
    <row r="121" spans="1:16" x14ac:dyDescent="0.25">
      <c r="A121">
        <v>120</v>
      </c>
      <c r="B121">
        <v>223</v>
      </c>
      <c r="C121">
        <v>411</v>
      </c>
      <c r="D121">
        <v>5</v>
      </c>
      <c r="E121">
        <v>2055</v>
      </c>
      <c r="F121" s="23">
        <v>45244</v>
      </c>
      <c r="G121" t="s">
        <v>23</v>
      </c>
      <c r="H121">
        <v>281</v>
      </c>
      <c r="I121" t="str">
        <f>VLOOKUP(Продажи[[#This Row],[id товара]],Товары[#All],2,FALSE)</f>
        <v>Чай</v>
      </c>
      <c r="J121" s="19">
        <f>AVERAGEIF(Продажи[Категория товара],Продажи[[#This Row],[Категория товара]],Продажи[цена за шт в рублях])</f>
        <v>271.18181818181819</v>
      </c>
      <c r="K121" s="20">
        <f>Продажи[[#This Row],[цена за шт в рублях]]/Продажи[[#This Row],[Средняя цена в категории за шт]]-1</f>
        <v>0.51558833389205505</v>
      </c>
      <c r="L121" t="str">
        <f>VLOOKUP(Продажи[[#This Row],[id товара]],Товары[#All],3,FALSE)</f>
        <v>Greenfield</v>
      </c>
      <c r="M1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121" s="23">
        <f>VLOOKUP(Продажи[[#This Row],[id клиента]],Таблица4[#All],5,FALSE)</f>
        <v>44711</v>
      </c>
      <c r="O121">
        <f>Продажи[[#This Row],[дата создания чека]]-Продажи[[#This Row],[Дата регистрации клиентов]]</f>
        <v>533</v>
      </c>
      <c r="P121" t="str">
        <f>VLOOKUP(Продажи[[#This Row],[id клиента]],Таблица4[#All],7,FALSE)</f>
        <v>Узбекистан</v>
      </c>
    </row>
    <row r="122" spans="1:16" x14ac:dyDescent="0.25">
      <c r="A122">
        <v>121</v>
      </c>
      <c r="B122">
        <v>244</v>
      </c>
      <c r="C122">
        <v>245</v>
      </c>
      <c r="D122">
        <v>4</v>
      </c>
      <c r="E122">
        <v>980</v>
      </c>
      <c r="F122" s="23">
        <v>44960</v>
      </c>
      <c r="G122" t="s">
        <v>25</v>
      </c>
      <c r="H122">
        <v>149</v>
      </c>
      <c r="I122" t="str">
        <f>VLOOKUP(Продажи[[#This Row],[id товара]],Товары[#All],2,FALSE)</f>
        <v>Мясо</v>
      </c>
      <c r="J122" s="19">
        <f>AVERAGEIF(Продажи[Категория товара],Продажи[[#This Row],[Категория товара]],Продажи[цена за шт в рублях])</f>
        <v>271.74545454545455</v>
      </c>
      <c r="K122" s="20">
        <f>Продажи[[#This Row],[цена за шт в рублях]]/Продажи[[#This Row],[Средняя цена в категории за шт]]-1</f>
        <v>-9.8420982202595986E-2</v>
      </c>
      <c r="L122" t="str">
        <f>VLOOKUP(Продажи[[#This Row],[id товара]],Товары[#All],3,FALSE)</f>
        <v>Сава</v>
      </c>
      <c r="M1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122" s="23">
        <f>VLOOKUP(Продажи[[#This Row],[id клиента]],Таблица4[#All],5,FALSE)</f>
        <v>44882</v>
      </c>
      <c r="O122">
        <f>Продажи[[#This Row],[дата создания чека]]-Продажи[[#This Row],[Дата регистрации клиентов]]</f>
        <v>78</v>
      </c>
      <c r="P122" t="str">
        <f>VLOOKUP(Продажи[[#This Row],[id клиента]],Таблица4[#All],7,FALSE)</f>
        <v>Таджикистан</v>
      </c>
    </row>
    <row r="123" spans="1:16" x14ac:dyDescent="0.25">
      <c r="A123">
        <v>122</v>
      </c>
      <c r="B123">
        <v>393</v>
      </c>
      <c r="C123">
        <v>113</v>
      </c>
      <c r="D123">
        <v>5</v>
      </c>
      <c r="E123">
        <v>565</v>
      </c>
      <c r="F123" s="23">
        <v>45433</v>
      </c>
      <c r="G123" t="s">
        <v>19</v>
      </c>
      <c r="H123">
        <v>71</v>
      </c>
      <c r="I123" t="str">
        <f>VLOOKUP(Продажи[[#This Row],[id товара]],Товары[#All],2,FALSE)</f>
        <v>Рыба</v>
      </c>
      <c r="J123" s="19">
        <f>AVERAGEIF(Продажи[Категория товара],Продажи[[#This Row],[Категория товара]],Продажи[цена за шт в рублях])</f>
        <v>258.5128205128205</v>
      </c>
      <c r="K123" s="20">
        <f>Продажи[[#This Row],[цена за шт в рублях]]/Продажи[[#This Row],[Средняя цена в категории за шт]]-1</f>
        <v>-0.56288434834358259</v>
      </c>
      <c r="L123" t="str">
        <f>VLOOKUP(Продажи[[#This Row],[id товара]],Товары[#All],3,FALSE)</f>
        <v>Русское море</v>
      </c>
      <c r="M1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292.66666666666669</v>
      </c>
      <c r="N123" s="23">
        <f>VLOOKUP(Продажи[[#This Row],[id клиента]],Таблица4[#All],5,FALSE)</f>
        <v>44762</v>
      </c>
      <c r="O123">
        <f>Продажи[[#This Row],[дата создания чека]]-Продажи[[#This Row],[Дата регистрации клиентов]]</f>
        <v>671</v>
      </c>
      <c r="P123" t="str">
        <f>VLOOKUP(Продажи[[#This Row],[id клиента]],Таблица4[#All],7,FALSE)</f>
        <v>Украина</v>
      </c>
    </row>
    <row r="124" spans="1:16" x14ac:dyDescent="0.25">
      <c r="A124">
        <v>123</v>
      </c>
      <c r="B124">
        <v>166</v>
      </c>
      <c r="C124">
        <v>73</v>
      </c>
      <c r="D124">
        <v>4</v>
      </c>
      <c r="E124">
        <v>292</v>
      </c>
      <c r="F124" s="23">
        <v>45316</v>
      </c>
      <c r="G124" t="s">
        <v>24</v>
      </c>
      <c r="H124">
        <v>126</v>
      </c>
      <c r="I124" t="str">
        <f>VLOOKUP(Продажи[[#This Row],[id товара]],Товары[#All],2,FALSE)</f>
        <v>Сок</v>
      </c>
      <c r="J124" s="19">
        <f>AVERAGEIF(Продажи[Категория товара],Продажи[[#This Row],[Категория товара]],Продажи[цена за шт в рублях])</f>
        <v>268.60344827586209</v>
      </c>
      <c r="K124" s="20">
        <f>Продажи[[#This Row],[цена за шт в рублях]]/Продажи[[#This Row],[Средняя цена в категории за шт]]-1</f>
        <v>-0.72822389113550301</v>
      </c>
      <c r="L124" t="str">
        <f>VLOOKUP(Продажи[[#This Row],[id товара]],Товары[#All],3,FALSE)</f>
        <v>Добрый</v>
      </c>
      <c r="M1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124" s="23">
        <f>VLOOKUP(Продажи[[#This Row],[id клиента]],Таблица4[#All],5,FALSE)</f>
        <v>44822</v>
      </c>
      <c r="O124">
        <f>Продажи[[#This Row],[дата создания чека]]-Продажи[[#This Row],[Дата регистрации клиентов]]</f>
        <v>494</v>
      </c>
      <c r="P124" t="str">
        <f>VLOOKUP(Продажи[[#This Row],[id клиента]],Таблица4[#All],7,FALSE)</f>
        <v>Узбекистан</v>
      </c>
    </row>
    <row r="125" spans="1:16" x14ac:dyDescent="0.25">
      <c r="A125">
        <v>124</v>
      </c>
      <c r="B125">
        <v>249</v>
      </c>
      <c r="C125">
        <v>368</v>
      </c>
      <c r="D125">
        <v>2</v>
      </c>
      <c r="E125">
        <v>736</v>
      </c>
      <c r="F125" s="23">
        <v>45313</v>
      </c>
      <c r="G125" t="s">
        <v>22</v>
      </c>
      <c r="H125">
        <v>380</v>
      </c>
      <c r="I125" t="str">
        <f>VLOOKUP(Продажи[[#This Row],[id товара]],Товары[#All],2,FALSE)</f>
        <v>Чай</v>
      </c>
      <c r="J125" s="19">
        <f>AVERAGEIF(Продажи[Категория товара],Продажи[[#This Row],[Категория товара]],Продажи[цена за шт в рублях])</f>
        <v>271.18181818181819</v>
      </c>
      <c r="K125" s="20">
        <f>Продажи[[#This Row],[цена за шт в рублях]]/Продажи[[#This Row],[Средняя цена в категории за шт]]-1</f>
        <v>0.35702313107609784</v>
      </c>
      <c r="L125" t="str">
        <f>VLOOKUP(Продажи[[#This Row],[id товара]],Товары[#All],3,FALSE)</f>
        <v>Lipton</v>
      </c>
      <c r="M1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125" s="23">
        <f>VLOOKUP(Продажи[[#This Row],[id клиента]],Таблица4[#All],5,FALSE)</f>
        <v>44563</v>
      </c>
      <c r="O125">
        <f>Продажи[[#This Row],[дата создания чека]]-Продажи[[#This Row],[Дата регистрации клиентов]]</f>
        <v>750</v>
      </c>
      <c r="P125" t="str">
        <f>VLOOKUP(Продажи[[#This Row],[id клиента]],Таблица4[#All],7,FALSE)</f>
        <v>Россия</v>
      </c>
    </row>
    <row r="126" spans="1:16" x14ac:dyDescent="0.25">
      <c r="A126">
        <v>125</v>
      </c>
      <c r="B126">
        <v>83</v>
      </c>
      <c r="C126">
        <v>351</v>
      </c>
      <c r="D126">
        <v>1</v>
      </c>
      <c r="E126">
        <v>351</v>
      </c>
      <c r="F126" s="23">
        <v>45361</v>
      </c>
      <c r="G126" t="s">
        <v>15</v>
      </c>
      <c r="H126">
        <v>11</v>
      </c>
      <c r="I126" t="str">
        <f>VLOOKUP(Продажи[[#This Row],[id товара]],Товары[#All],2,FALSE)</f>
        <v>Сок</v>
      </c>
      <c r="J126" s="19">
        <f>AVERAGEIF(Продажи[Категория товара],Продажи[[#This Row],[Категория товара]],Продажи[цена за шт в рублях])</f>
        <v>268.60344827586209</v>
      </c>
      <c r="K126" s="20">
        <f>Продажи[[#This Row],[цена за шт в рублях]]/Продажи[[#This Row],[Средняя цена в категории за шт]]-1</f>
        <v>0.30675909878682828</v>
      </c>
      <c r="L126" t="str">
        <f>VLOOKUP(Продажи[[#This Row],[id товара]],Товары[#All],3,FALSE)</f>
        <v>Сады Придонья</v>
      </c>
      <c r="M1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126" s="23">
        <f>VLOOKUP(Продажи[[#This Row],[id клиента]],Таблица4[#All],5,FALSE)</f>
        <v>44690</v>
      </c>
      <c r="O126">
        <f>Продажи[[#This Row],[дата создания чека]]-Продажи[[#This Row],[Дата регистрации клиентов]]</f>
        <v>671</v>
      </c>
      <c r="P126" t="str">
        <f>VLOOKUP(Продажи[[#This Row],[id клиента]],Таблица4[#All],7,FALSE)</f>
        <v>Таджикистан</v>
      </c>
    </row>
    <row r="127" spans="1:16" x14ac:dyDescent="0.25">
      <c r="A127">
        <v>126</v>
      </c>
      <c r="B127">
        <v>242</v>
      </c>
      <c r="C127">
        <v>221</v>
      </c>
      <c r="D127">
        <v>5</v>
      </c>
      <c r="E127">
        <v>1105</v>
      </c>
      <c r="F127" s="23">
        <v>45025</v>
      </c>
      <c r="G127" t="s">
        <v>20</v>
      </c>
      <c r="H127">
        <v>114</v>
      </c>
      <c r="I127" t="str">
        <f>VLOOKUP(Продажи[[#This Row],[id товара]],Товары[#All],2,FALSE)</f>
        <v>Овощи</v>
      </c>
      <c r="J127" s="19">
        <f>AVERAGEIF(Продажи[Категория товара],Продажи[[#This Row],[Категория товара]],Продажи[цена за шт в рублях])</f>
        <v>250.48780487804879</v>
      </c>
      <c r="K127" s="20">
        <f>Продажи[[#This Row],[цена за шт в рублях]]/Продажи[[#This Row],[Средняя цена в категории за шт]]-1</f>
        <v>-0.11772151898734184</v>
      </c>
      <c r="L127" t="str">
        <f>VLOOKUP(Продажи[[#This Row],[id товара]],Товары[#All],3,FALSE)</f>
        <v>Овощной ряд</v>
      </c>
      <c r="M1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127" s="23">
        <f>VLOOKUP(Продажи[[#This Row],[id клиента]],Таблица4[#All],5,FALSE)</f>
        <v>44889</v>
      </c>
      <c r="O127">
        <f>Продажи[[#This Row],[дата создания чека]]-Продажи[[#This Row],[Дата регистрации клиентов]]</f>
        <v>136</v>
      </c>
      <c r="P127" t="str">
        <f>VLOOKUP(Продажи[[#This Row],[id клиента]],Таблица4[#All],7,FALSE)</f>
        <v>Россия</v>
      </c>
    </row>
    <row r="128" spans="1:16" x14ac:dyDescent="0.25">
      <c r="A128">
        <v>127</v>
      </c>
      <c r="B128">
        <v>281</v>
      </c>
      <c r="C128">
        <v>442</v>
      </c>
      <c r="D128">
        <v>5</v>
      </c>
      <c r="E128">
        <v>2210</v>
      </c>
      <c r="F128" s="23">
        <v>45379</v>
      </c>
      <c r="G128" t="s">
        <v>10</v>
      </c>
      <c r="H128">
        <v>381</v>
      </c>
      <c r="I128" t="str">
        <f>VLOOKUP(Продажи[[#This Row],[id товара]],Товары[#All],2,FALSE)</f>
        <v>Чай</v>
      </c>
      <c r="J128" s="19">
        <f>AVERAGEIF(Продажи[Категория товара],Продажи[[#This Row],[Категория товара]],Продажи[цена за шт в рублях])</f>
        <v>271.18181818181819</v>
      </c>
      <c r="K128" s="20">
        <f>Продажи[[#This Row],[цена за шт в рублях]]/Продажи[[#This Row],[Средняя цена в категории за шт]]-1</f>
        <v>0.6299027824337915</v>
      </c>
      <c r="L128" t="str">
        <f>VLOOKUP(Продажи[[#This Row],[id товара]],Товары[#All],3,FALSE)</f>
        <v>Lipton</v>
      </c>
      <c r="M1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128" s="23">
        <f>VLOOKUP(Продажи[[#This Row],[id клиента]],Таблица4[#All],5,FALSE)</f>
        <v>44714</v>
      </c>
      <c r="O128">
        <f>Продажи[[#This Row],[дата создания чека]]-Продажи[[#This Row],[Дата регистрации клиентов]]</f>
        <v>665</v>
      </c>
      <c r="P128" t="str">
        <f>VLOOKUP(Продажи[[#This Row],[id клиента]],Таблица4[#All],7,FALSE)</f>
        <v>Узбекистан</v>
      </c>
    </row>
    <row r="129" spans="1:16" x14ac:dyDescent="0.25">
      <c r="A129">
        <v>128</v>
      </c>
      <c r="B129">
        <v>236</v>
      </c>
      <c r="C129">
        <v>465</v>
      </c>
      <c r="D129">
        <v>1</v>
      </c>
      <c r="E129">
        <v>465</v>
      </c>
      <c r="F129" s="23">
        <v>45176</v>
      </c>
      <c r="G129" t="s">
        <v>26</v>
      </c>
      <c r="H129">
        <v>342</v>
      </c>
      <c r="I129" t="str">
        <f>VLOOKUP(Продажи[[#This Row],[id товара]],Товары[#All],2,FALSE)</f>
        <v>Печенье</v>
      </c>
      <c r="J129" s="19">
        <f>AVERAGEIF(Продажи[Категория товара],Продажи[[#This Row],[Категория товара]],Продажи[цена за шт в рублях])</f>
        <v>283.468085106383</v>
      </c>
      <c r="K129" s="20">
        <f>Продажи[[#This Row],[цена за шт в рублях]]/Продажи[[#This Row],[Средняя цена в категории за шт]]-1</f>
        <v>0.64039630713803186</v>
      </c>
      <c r="L129" t="str">
        <f>VLOOKUP(Продажи[[#This Row],[id товара]],Товары[#All],3,FALSE)</f>
        <v>Посиделкино</v>
      </c>
      <c r="M1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129" s="23">
        <f>VLOOKUP(Продажи[[#This Row],[id клиента]],Таблица4[#All],5,FALSE)</f>
        <v>44570</v>
      </c>
      <c r="O129">
        <f>Продажи[[#This Row],[дата создания чека]]-Продажи[[#This Row],[Дата регистрации клиентов]]</f>
        <v>606</v>
      </c>
      <c r="P129" t="str">
        <f>VLOOKUP(Продажи[[#This Row],[id клиента]],Таблица4[#All],7,FALSE)</f>
        <v>Таджикистан</v>
      </c>
    </row>
    <row r="130" spans="1:16" x14ac:dyDescent="0.25">
      <c r="A130">
        <v>129</v>
      </c>
      <c r="B130">
        <v>379</v>
      </c>
      <c r="C130">
        <v>380</v>
      </c>
      <c r="D130">
        <v>1</v>
      </c>
      <c r="E130">
        <v>380</v>
      </c>
      <c r="F130" s="23">
        <v>45260</v>
      </c>
      <c r="G130" t="s">
        <v>26</v>
      </c>
      <c r="H130">
        <v>276</v>
      </c>
      <c r="I130" t="str">
        <f>VLOOKUP(Продажи[[#This Row],[id товара]],Товары[#All],2,FALSE)</f>
        <v>Йогурт</v>
      </c>
      <c r="J130" s="19">
        <f>AVERAGEIF(Продажи[Категория товара],Продажи[[#This Row],[Категория товара]],Продажи[цена за шт в рублях])</f>
        <v>263.25423728813558</v>
      </c>
      <c r="K130" s="20">
        <f>Продажи[[#This Row],[цена за шт в рублях]]/Продажи[[#This Row],[Средняя цена в категории за шт]]-1</f>
        <v>0.44347154262168442</v>
      </c>
      <c r="L130" t="str">
        <f>VLOOKUP(Продажи[[#This Row],[id товара]],Товары[#All],3,FALSE)</f>
        <v>Активиа</v>
      </c>
      <c r="M1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130" s="23">
        <f>VLOOKUP(Продажи[[#This Row],[id клиента]],Таблица4[#All],5,FALSE)</f>
        <v>44632</v>
      </c>
      <c r="O130">
        <f>Продажи[[#This Row],[дата создания чека]]-Продажи[[#This Row],[Дата регистрации клиентов]]</f>
        <v>628</v>
      </c>
      <c r="P130" t="str">
        <f>VLOOKUP(Продажи[[#This Row],[id клиента]],Таблица4[#All],7,FALSE)</f>
        <v>Таджикистан</v>
      </c>
    </row>
    <row r="131" spans="1:16" x14ac:dyDescent="0.25">
      <c r="A131">
        <v>130</v>
      </c>
      <c r="B131">
        <v>37</v>
      </c>
      <c r="C131">
        <v>313</v>
      </c>
      <c r="D131">
        <v>1</v>
      </c>
      <c r="E131">
        <v>313</v>
      </c>
      <c r="F131" s="23">
        <v>45009</v>
      </c>
      <c r="G131" t="s">
        <v>16</v>
      </c>
      <c r="H131">
        <v>293</v>
      </c>
      <c r="I131" t="str">
        <f>VLOOKUP(Продажи[[#This Row],[id товара]],Товары[#All],2,FALSE)</f>
        <v>Соль</v>
      </c>
      <c r="J131" s="19">
        <f>AVERAGEIF(Продажи[Категория товара],Продажи[[#This Row],[Категория товара]],Продажи[цена за шт в рублях])</f>
        <v>264.8679245283019</v>
      </c>
      <c r="K131" s="20">
        <f>Продажи[[#This Row],[цена за шт в рублях]]/Продажи[[#This Row],[Средняя цена в категории за шт]]-1</f>
        <v>0.18172104288360158</v>
      </c>
      <c r="L131" t="str">
        <f>VLOOKUP(Продажи[[#This Row],[id товара]],Товары[#All],3,FALSE)</f>
        <v>Илецкая</v>
      </c>
      <c r="M1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131" s="23">
        <f>VLOOKUP(Продажи[[#This Row],[id клиента]],Таблица4[#All],5,FALSE)</f>
        <v>44573</v>
      </c>
      <c r="O131">
        <f>Продажи[[#This Row],[дата создания чека]]-Продажи[[#This Row],[Дата регистрации клиентов]]</f>
        <v>436</v>
      </c>
      <c r="P131" t="str">
        <f>VLOOKUP(Продажи[[#This Row],[id клиента]],Таблица4[#All],7,FALSE)</f>
        <v>Беларусь</v>
      </c>
    </row>
    <row r="132" spans="1:16" x14ac:dyDescent="0.25">
      <c r="A132">
        <v>131</v>
      </c>
      <c r="B132">
        <v>431</v>
      </c>
      <c r="C132">
        <v>141</v>
      </c>
      <c r="D132">
        <v>5</v>
      </c>
      <c r="E132">
        <v>705</v>
      </c>
      <c r="F132" s="23">
        <v>45029</v>
      </c>
      <c r="G132" t="s">
        <v>18</v>
      </c>
      <c r="H132">
        <v>386</v>
      </c>
      <c r="I132" t="str">
        <f>VLOOKUP(Продажи[[#This Row],[id товара]],Товары[#All],2,FALSE)</f>
        <v>Овощи</v>
      </c>
      <c r="J132" s="19">
        <f>AVERAGEIF(Продажи[Категория товара],Продажи[[#This Row],[Категория товара]],Продажи[цена за шт в рублях])</f>
        <v>250.48780487804879</v>
      </c>
      <c r="K132" s="20">
        <f>Продажи[[#This Row],[цена за шт в рублях]]/Продажи[[#This Row],[Средняя цена в категории за шт]]-1</f>
        <v>-0.43709834469328146</v>
      </c>
      <c r="L132" t="str">
        <f>VLOOKUP(Продажи[[#This Row],[id товара]],Товары[#All],3,FALSE)</f>
        <v>Гавриш</v>
      </c>
      <c r="M1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132" s="23">
        <f>VLOOKUP(Продажи[[#This Row],[id клиента]],Таблица4[#All],5,FALSE)</f>
        <v>44734</v>
      </c>
      <c r="O132">
        <f>Продажи[[#This Row],[дата создания чека]]-Продажи[[#This Row],[Дата регистрации клиентов]]</f>
        <v>295</v>
      </c>
      <c r="P132" t="str">
        <f>VLOOKUP(Продажи[[#This Row],[id клиента]],Таблица4[#All],7,FALSE)</f>
        <v>Узбекистан</v>
      </c>
    </row>
    <row r="133" spans="1:16" x14ac:dyDescent="0.25">
      <c r="A133">
        <v>132</v>
      </c>
      <c r="B133">
        <v>237</v>
      </c>
      <c r="C133">
        <v>348</v>
      </c>
      <c r="D133">
        <v>2</v>
      </c>
      <c r="E133">
        <v>696</v>
      </c>
      <c r="F133" s="23">
        <v>45384</v>
      </c>
      <c r="G133" t="s">
        <v>9</v>
      </c>
      <c r="H133">
        <v>362</v>
      </c>
      <c r="I133" t="str">
        <f>VLOOKUP(Продажи[[#This Row],[id товара]],Товары[#All],2,FALSE)</f>
        <v>Конфеты</v>
      </c>
      <c r="J133" s="19">
        <f>AVERAGEIF(Продажи[Категория товара],Продажи[[#This Row],[Категория товара]],Продажи[цена за шт в рублях])</f>
        <v>267.85483870967744</v>
      </c>
      <c r="K133" s="20">
        <f>Продажи[[#This Row],[цена за шт в рублях]]/Продажи[[#This Row],[Средняя цена в категории за шт]]-1</f>
        <v>0.29921117601011615</v>
      </c>
      <c r="L133" t="str">
        <f>VLOOKUP(Продажи[[#This Row],[id товара]],Товары[#All],3,FALSE)</f>
        <v>Рот Фронт</v>
      </c>
      <c r="M1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133" s="23">
        <f>VLOOKUP(Продажи[[#This Row],[id клиента]],Таблица4[#All],5,FALSE)</f>
        <v>44916</v>
      </c>
      <c r="O133">
        <f>Продажи[[#This Row],[дата создания чека]]-Продажи[[#This Row],[Дата регистрации клиентов]]</f>
        <v>468</v>
      </c>
      <c r="P133" t="str">
        <f>VLOOKUP(Продажи[[#This Row],[id клиента]],Таблица4[#All],7,FALSE)</f>
        <v>Россия</v>
      </c>
    </row>
    <row r="134" spans="1:16" x14ac:dyDescent="0.25">
      <c r="A134">
        <v>133</v>
      </c>
      <c r="B134">
        <v>452</v>
      </c>
      <c r="C134">
        <v>349</v>
      </c>
      <c r="D134">
        <v>1</v>
      </c>
      <c r="E134">
        <v>349</v>
      </c>
      <c r="F134" s="23">
        <v>45000</v>
      </c>
      <c r="G134" t="s">
        <v>11</v>
      </c>
      <c r="H134">
        <v>283</v>
      </c>
      <c r="I134" t="str">
        <f>VLOOKUP(Продажи[[#This Row],[id товара]],Товары[#All],2,FALSE)</f>
        <v>Фрукты</v>
      </c>
      <c r="J134" s="19">
        <f>AVERAGEIF(Продажи[Категория товара],Продажи[[#This Row],[Категория товара]],Продажи[цена за шт в рублях])</f>
        <v>274.16279069767444</v>
      </c>
      <c r="K134" s="20">
        <f>Продажи[[#This Row],[цена за шт в рублях]]/Продажи[[#This Row],[Средняя цена в категории за шт]]-1</f>
        <v>0.27296632453982528</v>
      </c>
      <c r="L134" t="str">
        <f>VLOOKUP(Продажи[[#This Row],[id товара]],Товары[#All],3,FALSE)</f>
        <v>Экзотик</v>
      </c>
      <c r="M1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134" s="23">
        <f>VLOOKUP(Продажи[[#This Row],[id клиента]],Таблица4[#All],5,FALSE)</f>
        <v>44889</v>
      </c>
      <c r="O134">
        <f>Продажи[[#This Row],[дата создания чека]]-Продажи[[#This Row],[Дата регистрации клиентов]]</f>
        <v>111</v>
      </c>
      <c r="P134" t="str">
        <f>VLOOKUP(Продажи[[#This Row],[id клиента]],Таблица4[#All],7,FALSE)</f>
        <v>Таджикистан</v>
      </c>
    </row>
    <row r="135" spans="1:16" x14ac:dyDescent="0.25">
      <c r="A135">
        <v>134</v>
      </c>
      <c r="B135">
        <v>382</v>
      </c>
      <c r="C135">
        <v>379</v>
      </c>
      <c r="D135">
        <v>5</v>
      </c>
      <c r="E135">
        <v>1895</v>
      </c>
      <c r="F135" s="23">
        <v>45314</v>
      </c>
      <c r="G135" t="s">
        <v>16</v>
      </c>
      <c r="H135">
        <v>388</v>
      </c>
      <c r="I135" t="str">
        <f>VLOOKUP(Продажи[[#This Row],[id товара]],Товары[#All],2,FALSE)</f>
        <v>Овощи</v>
      </c>
      <c r="J135" s="19">
        <f>AVERAGEIF(Продажи[Категория товара],Продажи[[#This Row],[Категория товара]],Продажи[цена за шт в рублях])</f>
        <v>250.48780487804879</v>
      </c>
      <c r="K135" s="20">
        <f>Продажи[[#This Row],[цена за шт в рублях]]/Продажи[[#This Row],[Средняя цена в категории за шт]]-1</f>
        <v>0.51304771178188902</v>
      </c>
      <c r="L135" t="str">
        <f>VLOOKUP(Продажи[[#This Row],[id товара]],Товары[#All],3,FALSE)</f>
        <v>Овощной ряд</v>
      </c>
      <c r="M1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135" s="23">
        <f>VLOOKUP(Продажи[[#This Row],[id клиента]],Таблица4[#All],5,FALSE)</f>
        <v>44581</v>
      </c>
      <c r="O135">
        <f>Продажи[[#This Row],[дата создания чека]]-Продажи[[#This Row],[Дата регистрации клиентов]]</f>
        <v>733</v>
      </c>
      <c r="P135" t="str">
        <f>VLOOKUP(Продажи[[#This Row],[id клиента]],Таблица4[#All],7,FALSE)</f>
        <v>Россия</v>
      </c>
    </row>
    <row r="136" spans="1:16" x14ac:dyDescent="0.25">
      <c r="A136">
        <v>135</v>
      </c>
      <c r="B136">
        <v>452</v>
      </c>
      <c r="C136">
        <v>448</v>
      </c>
      <c r="D136">
        <v>4</v>
      </c>
      <c r="E136">
        <v>1792</v>
      </c>
      <c r="F136" s="23">
        <v>45434</v>
      </c>
      <c r="G136" t="s">
        <v>26</v>
      </c>
      <c r="H136">
        <v>437</v>
      </c>
      <c r="I136" t="str">
        <f>VLOOKUP(Продажи[[#This Row],[id товара]],Товары[#All],2,FALSE)</f>
        <v>Фрукты</v>
      </c>
      <c r="J136" s="19">
        <f>AVERAGEIF(Продажи[Категория товара],Продажи[[#This Row],[Категория товара]],Продажи[цена за шт в рублях])</f>
        <v>274.16279069767444</v>
      </c>
      <c r="K136" s="20">
        <f>Продажи[[#This Row],[цена за шт в рублях]]/Продажи[[#This Row],[Средняя цена в категории за шт]]-1</f>
        <v>0.63406565442361518</v>
      </c>
      <c r="L136" t="str">
        <f>VLOOKUP(Продажи[[#This Row],[id товара]],Товары[#All],3,FALSE)</f>
        <v>Экзотик</v>
      </c>
      <c r="M1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136" s="23">
        <f>VLOOKUP(Продажи[[#This Row],[id клиента]],Таблица4[#All],5,FALSE)</f>
        <v>44576</v>
      </c>
      <c r="O136">
        <f>Продажи[[#This Row],[дата создания чека]]-Продажи[[#This Row],[Дата регистрации клиентов]]</f>
        <v>858</v>
      </c>
      <c r="P136" t="str">
        <f>VLOOKUP(Продажи[[#This Row],[id клиента]],Таблица4[#All],7,FALSE)</f>
        <v>Узбекистан</v>
      </c>
    </row>
    <row r="137" spans="1:16" x14ac:dyDescent="0.25">
      <c r="A137">
        <v>136</v>
      </c>
      <c r="B137">
        <v>463</v>
      </c>
      <c r="C137">
        <v>173</v>
      </c>
      <c r="D137">
        <v>2</v>
      </c>
      <c r="E137">
        <v>346</v>
      </c>
      <c r="F137" s="23">
        <v>45038</v>
      </c>
      <c r="G137" t="s">
        <v>22</v>
      </c>
      <c r="H137">
        <v>450</v>
      </c>
      <c r="I137" t="str">
        <f>VLOOKUP(Продажи[[#This Row],[id товара]],Товары[#All],2,FALSE)</f>
        <v>Кофе</v>
      </c>
      <c r="J137" s="19">
        <f>AVERAGEIF(Продажи[Категория товара],Продажи[[#This Row],[Категория товара]],Продажи[цена за шт в рублях])</f>
        <v>249.02380952380952</v>
      </c>
      <c r="K137" s="20">
        <f>Продажи[[#This Row],[цена за шт в рублях]]/Продажи[[#This Row],[Средняя цена в категории за шт]]-1</f>
        <v>-0.30528731236255857</v>
      </c>
      <c r="L137" t="str">
        <f>VLOOKUP(Продажи[[#This Row],[id товара]],Товары[#All],3,FALSE)</f>
        <v>Черная Карта</v>
      </c>
      <c r="M1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137" s="23">
        <f>VLOOKUP(Продажи[[#This Row],[id клиента]],Таблица4[#All],5,FALSE)</f>
        <v>44619</v>
      </c>
      <c r="O137">
        <f>Продажи[[#This Row],[дата создания чека]]-Продажи[[#This Row],[Дата регистрации клиентов]]</f>
        <v>419</v>
      </c>
      <c r="P137" t="str">
        <f>VLOOKUP(Продажи[[#This Row],[id клиента]],Таблица4[#All],7,FALSE)</f>
        <v>Россия</v>
      </c>
    </row>
    <row r="138" spans="1:16" x14ac:dyDescent="0.25">
      <c r="A138">
        <v>137</v>
      </c>
      <c r="B138">
        <v>494</v>
      </c>
      <c r="C138">
        <v>304</v>
      </c>
      <c r="D138">
        <v>3</v>
      </c>
      <c r="E138">
        <v>912</v>
      </c>
      <c r="F138" s="23">
        <v>45070</v>
      </c>
      <c r="G138" t="s">
        <v>14</v>
      </c>
      <c r="H138">
        <v>136</v>
      </c>
      <c r="I138" t="str">
        <f>VLOOKUP(Продажи[[#This Row],[id товара]],Товары[#All],2,FALSE)</f>
        <v>Сыр</v>
      </c>
      <c r="J138" s="19">
        <f>AVERAGEIF(Продажи[Категория товара],Продажи[[#This Row],[Категория товара]],Продажи[цена за шт в рублях])</f>
        <v>262.63492063492066</v>
      </c>
      <c r="K138" s="20">
        <f>Продажи[[#This Row],[цена за шт в рублях]]/Продажи[[#This Row],[Средняя цена в категории за шт]]-1</f>
        <v>0.15750030218783984</v>
      </c>
      <c r="L138" t="str">
        <f>VLOOKUP(Продажи[[#This Row],[id товара]],Товары[#All],3,FALSE)</f>
        <v>Сырная долина</v>
      </c>
      <c r="M1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138" s="23">
        <f>VLOOKUP(Продажи[[#This Row],[id клиента]],Таблица4[#All],5,FALSE)</f>
        <v>44860</v>
      </c>
      <c r="O138">
        <f>Продажи[[#This Row],[дата создания чека]]-Продажи[[#This Row],[Дата регистрации клиентов]]</f>
        <v>210</v>
      </c>
      <c r="P138" t="str">
        <f>VLOOKUP(Продажи[[#This Row],[id клиента]],Таблица4[#All],7,FALSE)</f>
        <v>Украина</v>
      </c>
    </row>
    <row r="139" spans="1:16" x14ac:dyDescent="0.25">
      <c r="A139">
        <v>138</v>
      </c>
      <c r="B139">
        <v>394</v>
      </c>
      <c r="C139">
        <v>493</v>
      </c>
      <c r="D139">
        <v>3</v>
      </c>
      <c r="E139">
        <v>1479</v>
      </c>
      <c r="F139" s="23">
        <v>45032</v>
      </c>
      <c r="G139" t="s">
        <v>12</v>
      </c>
      <c r="H139">
        <v>61</v>
      </c>
      <c r="I139" t="str">
        <f>VLOOKUP(Продажи[[#This Row],[id товара]],Товары[#All],2,FALSE)</f>
        <v>Кофе</v>
      </c>
      <c r="J139" s="19">
        <f>AVERAGEIF(Продажи[Категория товара],Продажи[[#This Row],[Категория товара]],Продажи[цена за шт в рублях])</f>
        <v>249.02380952380952</v>
      </c>
      <c r="K139" s="20">
        <f>Продажи[[#This Row],[цена за шт в рублях]]/Продажи[[#This Row],[Средняя цена в категории за шт]]-1</f>
        <v>0.97973037575294009</v>
      </c>
      <c r="L139" t="str">
        <f>VLOOKUP(Продажи[[#This Row],[id товара]],Товары[#All],3,FALSE)</f>
        <v>Черная Карта</v>
      </c>
      <c r="M1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139" s="23">
        <f>VLOOKUP(Продажи[[#This Row],[id клиента]],Таблица4[#All],5,FALSE)</f>
        <v>44769</v>
      </c>
      <c r="O139">
        <f>Продажи[[#This Row],[дата создания чека]]-Продажи[[#This Row],[Дата регистрации клиентов]]</f>
        <v>263</v>
      </c>
      <c r="P139" t="str">
        <f>VLOOKUP(Продажи[[#This Row],[id клиента]],Таблица4[#All],7,FALSE)</f>
        <v>Таджикистан</v>
      </c>
    </row>
    <row r="140" spans="1:16" x14ac:dyDescent="0.25">
      <c r="A140">
        <v>139</v>
      </c>
      <c r="B140">
        <v>380</v>
      </c>
      <c r="C140">
        <v>344</v>
      </c>
      <c r="D140">
        <v>5</v>
      </c>
      <c r="E140">
        <v>1720</v>
      </c>
      <c r="F140" s="23">
        <v>45189</v>
      </c>
      <c r="G140" t="s">
        <v>12</v>
      </c>
      <c r="H140">
        <v>364</v>
      </c>
      <c r="I140" t="str">
        <f>VLOOKUP(Продажи[[#This Row],[id товара]],Товары[#All],2,FALSE)</f>
        <v>Конфеты</v>
      </c>
      <c r="J140" s="19">
        <f>AVERAGEIF(Продажи[Категория товара],Продажи[[#This Row],[Категория товара]],Продажи[цена за шт в рублях])</f>
        <v>267.85483870967744</v>
      </c>
      <c r="K140" s="20">
        <f>Продажи[[#This Row],[цена за шт в рублях]]/Продажи[[#This Row],[Средняя цена в категории за шт]]-1</f>
        <v>0.2842777142168964</v>
      </c>
      <c r="L140" t="str">
        <f>VLOOKUP(Продажи[[#This Row],[id товара]],Товары[#All],3,FALSE)</f>
        <v>Бабаевский</v>
      </c>
      <c r="M1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140" s="23">
        <f>VLOOKUP(Продажи[[#This Row],[id клиента]],Таблица4[#All],5,FALSE)</f>
        <v>44883</v>
      </c>
      <c r="O140">
        <f>Продажи[[#This Row],[дата создания чека]]-Продажи[[#This Row],[Дата регистрации клиентов]]</f>
        <v>306</v>
      </c>
      <c r="P140" t="str">
        <f>VLOOKUP(Продажи[[#This Row],[id клиента]],Таблица4[#All],7,FALSE)</f>
        <v>Россия</v>
      </c>
    </row>
    <row r="141" spans="1:16" x14ac:dyDescent="0.25">
      <c r="A141">
        <v>140</v>
      </c>
      <c r="B141">
        <v>449</v>
      </c>
      <c r="C141">
        <v>470</v>
      </c>
      <c r="D141">
        <v>4</v>
      </c>
      <c r="E141">
        <v>1880</v>
      </c>
      <c r="F141" s="23">
        <v>45110</v>
      </c>
      <c r="G141" t="s">
        <v>18</v>
      </c>
      <c r="H141">
        <v>496</v>
      </c>
      <c r="I141" t="str">
        <f>VLOOKUP(Продажи[[#This Row],[id товара]],Товары[#All],2,FALSE)</f>
        <v>Мясо</v>
      </c>
      <c r="J141" s="19">
        <f>AVERAGEIF(Продажи[Категория товара],Продажи[[#This Row],[Категория товара]],Продажи[цена за шт в рублях])</f>
        <v>271.74545454545455</v>
      </c>
      <c r="K141" s="20">
        <f>Продажи[[#This Row],[цена за шт в рублях]]/Продажи[[#This Row],[Средняя цена в категории за шт]]-1</f>
        <v>0.72955974842767302</v>
      </c>
      <c r="L141" t="str">
        <f>VLOOKUP(Продажи[[#This Row],[id товара]],Товары[#All],3,FALSE)</f>
        <v>Агрокомплекс</v>
      </c>
      <c r="M1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141" s="23">
        <f>VLOOKUP(Продажи[[#This Row],[id клиента]],Таблица4[#All],5,FALSE)</f>
        <v>44867</v>
      </c>
      <c r="O141">
        <f>Продажи[[#This Row],[дата создания чека]]-Продажи[[#This Row],[Дата регистрации клиентов]]</f>
        <v>243</v>
      </c>
      <c r="P141" t="str">
        <f>VLOOKUP(Продажи[[#This Row],[id клиента]],Таблица4[#All],7,FALSE)</f>
        <v>Украина</v>
      </c>
    </row>
    <row r="142" spans="1:16" x14ac:dyDescent="0.25">
      <c r="A142">
        <v>141</v>
      </c>
      <c r="B142">
        <v>309</v>
      </c>
      <c r="C142">
        <v>498</v>
      </c>
      <c r="D142">
        <v>1</v>
      </c>
      <c r="E142">
        <v>498</v>
      </c>
      <c r="F142" s="23">
        <v>45372</v>
      </c>
      <c r="G142" t="s">
        <v>18</v>
      </c>
      <c r="H142">
        <v>464</v>
      </c>
      <c r="I142" t="str">
        <f>VLOOKUP(Продажи[[#This Row],[id товара]],Товары[#All],2,FALSE)</f>
        <v>Конфеты</v>
      </c>
      <c r="J142" s="19">
        <f>AVERAGEIF(Продажи[Категория товара],Продажи[[#This Row],[Категория товара]],Продажи[цена за шт в рублях])</f>
        <v>267.85483870967744</v>
      </c>
      <c r="K142" s="20">
        <f>Продажи[[#This Row],[цена за шт в рублях]]/Продажи[[#This Row],[Средняя цена в категории за шт]]-1</f>
        <v>0.85921599325585585</v>
      </c>
      <c r="L142" t="str">
        <f>VLOOKUP(Продажи[[#This Row],[id товара]],Товары[#All],3,FALSE)</f>
        <v>Рот Фронт</v>
      </c>
      <c r="M1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142" s="23">
        <f>VLOOKUP(Продажи[[#This Row],[id клиента]],Таблица4[#All],5,FALSE)</f>
        <v>44827</v>
      </c>
      <c r="O142">
        <f>Продажи[[#This Row],[дата создания чека]]-Продажи[[#This Row],[Дата регистрации клиентов]]</f>
        <v>545</v>
      </c>
      <c r="P142" t="str">
        <f>VLOOKUP(Продажи[[#This Row],[id клиента]],Таблица4[#All],7,FALSE)</f>
        <v>Россия</v>
      </c>
    </row>
    <row r="143" spans="1:16" x14ac:dyDescent="0.25">
      <c r="A143">
        <v>142</v>
      </c>
      <c r="B143">
        <v>112</v>
      </c>
      <c r="C143">
        <v>351</v>
      </c>
      <c r="D143">
        <v>3</v>
      </c>
      <c r="E143">
        <v>1053</v>
      </c>
      <c r="F143" s="23">
        <v>45368</v>
      </c>
      <c r="G143" t="s">
        <v>18</v>
      </c>
      <c r="H143">
        <v>419</v>
      </c>
      <c r="I143" t="str">
        <f>VLOOKUP(Продажи[[#This Row],[id товара]],Товары[#All],2,FALSE)</f>
        <v>Молоко</v>
      </c>
      <c r="J143" s="19">
        <f>AVERAGEIF(Продажи[Категория товара],Продажи[[#This Row],[Категория товара]],Продажи[цена за шт в рублях])</f>
        <v>294.95238095238096</v>
      </c>
      <c r="K143" s="20">
        <f>Продажи[[#This Row],[цена за шт в рублях]]/Продажи[[#This Row],[Средняя цена в категории за шт]]-1</f>
        <v>0.19002260251856629</v>
      </c>
      <c r="L143" t="str">
        <f>VLOOKUP(Продажи[[#This Row],[id товара]],Товары[#All],3,FALSE)</f>
        <v>Беллакт</v>
      </c>
      <c r="M1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143" s="23">
        <f>VLOOKUP(Продажи[[#This Row],[id клиента]],Таблица4[#All],5,FALSE)</f>
        <v>44869</v>
      </c>
      <c r="O143">
        <f>Продажи[[#This Row],[дата создания чека]]-Продажи[[#This Row],[Дата регистрации клиентов]]</f>
        <v>499</v>
      </c>
      <c r="P143" t="str">
        <f>VLOOKUP(Продажи[[#This Row],[id клиента]],Таблица4[#All],7,FALSE)</f>
        <v>Таджикистан</v>
      </c>
    </row>
    <row r="144" spans="1:16" x14ac:dyDescent="0.25">
      <c r="A144">
        <v>143</v>
      </c>
      <c r="B144">
        <v>81</v>
      </c>
      <c r="C144">
        <v>116</v>
      </c>
      <c r="D144">
        <v>1</v>
      </c>
      <c r="E144">
        <v>116</v>
      </c>
      <c r="F144" s="23">
        <v>45356</v>
      </c>
      <c r="G144" t="s">
        <v>27</v>
      </c>
      <c r="H144">
        <v>247</v>
      </c>
      <c r="I144" t="str">
        <f>VLOOKUP(Продажи[[#This Row],[id товара]],Товары[#All],2,FALSE)</f>
        <v>Чай</v>
      </c>
      <c r="J144" s="19">
        <f>AVERAGEIF(Продажи[Категория товара],Продажи[[#This Row],[Категория товара]],Продажи[цена за шт в рублях])</f>
        <v>271.18181818181819</v>
      </c>
      <c r="K144" s="20">
        <f>Продажи[[#This Row],[цена за шт в рублях]]/Продажи[[#This Row],[Средняя цена в категории за шт]]-1</f>
        <v>-0.57224270868253435</v>
      </c>
      <c r="L144" t="str">
        <f>VLOOKUP(Продажи[[#This Row],[id товара]],Товары[#All],3,FALSE)</f>
        <v>Тесс</v>
      </c>
      <c r="M1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281.75</v>
      </c>
      <c r="N144" s="23">
        <f>VLOOKUP(Продажи[[#This Row],[id клиента]],Таблица4[#All],5,FALSE)</f>
        <v>44762</v>
      </c>
      <c r="O144">
        <f>Продажи[[#This Row],[дата создания чека]]-Продажи[[#This Row],[Дата регистрации клиентов]]</f>
        <v>594</v>
      </c>
      <c r="P144" t="str">
        <f>VLOOKUP(Продажи[[#This Row],[id клиента]],Таблица4[#All],7,FALSE)</f>
        <v>Узбекистан</v>
      </c>
    </row>
    <row r="145" spans="1:16" x14ac:dyDescent="0.25">
      <c r="A145">
        <v>144</v>
      </c>
      <c r="B145">
        <v>4</v>
      </c>
      <c r="C145">
        <v>314</v>
      </c>
      <c r="D145">
        <v>4</v>
      </c>
      <c r="E145">
        <v>1256</v>
      </c>
      <c r="F145" s="23">
        <v>45336</v>
      </c>
      <c r="G145" t="s">
        <v>14</v>
      </c>
      <c r="H145">
        <v>380</v>
      </c>
      <c r="I145" t="str">
        <f>VLOOKUP(Продажи[[#This Row],[id товара]],Товары[#All],2,FALSE)</f>
        <v>Рис</v>
      </c>
      <c r="J145" s="19">
        <f>AVERAGEIF(Продажи[Категория товара],Продажи[[#This Row],[Категория товара]],Продажи[цена за шт в рублях])</f>
        <v>258.375</v>
      </c>
      <c r="K145" s="20">
        <f>Продажи[[#This Row],[цена за шт в рублях]]/Продажи[[#This Row],[Средняя цена в категории за шт]]-1</f>
        <v>0.21528785679729068</v>
      </c>
      <c r="L145" t="str">
        <f>VLOOKUP(Продажи[[#This Row],[id товара]],Товары[#All],3,FALSE)</f>
        <v>Белый Злат</v>
      </c>
      <c r="M1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145" s="23">
        <f>VLOOKUP(Продажи[[#This Row],[id клиента]],Таблица4[#All],5,FALSE)</f>
        <v>44563</v>
      </c>
      <c r="O145">
        <f>Продажи[[#This Row],[дата создания чека]]-Продажи[[#This Row],[Дата регистрации клиентов]]</f>
        <v>773</v>
      </c>
      <c r="P145" t="str">
        <f>VLOOKUP(Продажи[[#This Row],[id клиента]],Таблица4[#All],7,FALSE)</f>
        <v>Россия</v>
      </c>
    </row>
    <row r="146" spans="1:16" x14ac:dyDescent="0.25">
      <c r="A146">
        <v>145</v>
      </c>
      <c r="B146">
        <v>209</v>
      </c>
      <c r="C146">
        <v>284</v>
      </c>
      <c r="D146">
        <v>5</v>
      </c>
      <c r="E146">
        <v>1420</v>
      </c>
      <c r="F146" s="23">
        <v>45167</v>
      </c>
      <c r="G146" t="s">
        <v>12</v>
      </c>
      <c r="H146">
        <v>75</v>
      </c>
      <c r="I146" t="str">
        <f>VLOOKUP(Продажи[[#This Row],[id товара]],Товары[#All],2,FALSE)</f>
        <v>Хлеб</v>
      </c>
      <c r="J146" s="19">
        <f>AVERAGEIF(Продажи[Категория товара],Продажи[[#This Row],[Категория товара]],Продажи[цена за шт в рублях])</f>
        <v>300.31818181818181</v>
      </c>
      <c r="K146" s="20">
        <f>Продажи[[#This Row],[цена за шт в рублях]]/Продажи[[#This Row],[Средняя цена в категории за шт]]-1</f>
        <v>-5.4336309974269748E-2</v>
      </c>
      <c r="L146" t="str">
        <f>VLOOKUP(Продажи[[#This Row],[id товара]],Товары[#All],3,FALSE)</f>
        <v>Русский Хлеб</v>
      </c>
      <c r="M1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146" s="23">
        <f>VLOOKUP(Продажи[[#This Row],[id клиента]],Таблица4[#All],5,FALSE)</f>
        <v>44796</v>
      </c>
      <c r="O146">
        <f>Продажи[[#This Row],[дата создания чека]]-Продажи[[#This Row],[Дата регистрации клиентов]]</f>
        <v>371</v>
      </c>
      <c r="P146" t="str">
        <f>VLOOKUP(Продажи[[#This Row],[id клиента]],Таблица4[#All],7,FALSE)</f>
        <v>Украина</v>
      </c>
    </row>
    <row r="147" spans="1:16" x14ac:dyDescent="0.25">
      <c r="A147">
        <v>146</v>
      </c>
      <c r="B147">
        <v>156</v>
      </c>
      <c r="C147">
        <v>332</v>
      </c>
      <c r="D147">
        <v>1</v>
      </c>
      <c r="E147">
        <v>332</v>
      </c>
      <c r="F147" s="23">
        <v>45069</v>
      </c>
      <c r="G147" t="s">
        <v>17</v>
      </c>
      <c r="H147">
        <v>356</v>
      </c>
      <c r="I147" t="str">
        <f>VLOOKUP(Продажи[[#This Row],[id товара]],Товары[#All],2,FALSE)</f>
        <v>Фрукты</v>
      </c>
      <c r="J147" s="19">
        <f>AVERAGEIF(Продажи[Категория товара],Продажи[[#This Row],[Категория товара]],Продажи[цена за шт в рублях])</f>
        <v>274.16279069767444</v>
      </c>
      <c r="K147" s="20">
        <f>Продажи[[#This Row],[цена за шт в рублях]]/Продажи[[#This Row],[Средняя цена в категории за шт]]-1</f>
        <v>0.21095936890321476</v>
      </c>
      <c r="L147" t="str">
        <f>VLOOKUP(Продажи[[#This Row],[id товара]],Товары[#All],3,FALSE)</f>
        <v>Фрукты-Ягоды</v>
      </c>
      <c r="M1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147" s="23">
        <f>VLOOKUP(Продажи[[#This Row],[id клиента]],Таблица4[#All],5,FALSE)</f>
        <v>44570</v>
      </c>
      <c r="O147">
        <f>Продажи[[#This Row],[дата создания чека]]-Продажи[[#This Row],[Дата регистрации клиентов]]</f>
        <v>499</v>
      </c>
      <c r="P147" t="str">
        <f>VLOOKUP(Продажи[[#This Row],[id клиента]],Таблица4[#All],7,FALSE)</f>
        <v>Таджикистан</v>
      </c>
    </row>
    <row r="148" spans="1:16" x14ac:dyDescent="0.25">
      <c r="A148">
        <v>147</v>
      </c>
      <c r="B148">
        <v>441</v>
      </c>
      <c r="C148">
        <v>239</v>
      </c>
      <c r="D148">
        <v>2</v>
      </c>
      <c r="E148">
        <v>478</v>
      </c>
      <c r="F148" s="23">
        <v>45103</v>
      </c>
      <c r="G148" t="s">
        <v>24</v>
      </c>
      <c r="H148">
        <v>487</v>
      </c>
      <c r="I148" t="str">
        <f>VLOOKUP(Продажи[[#This Row],[id товара]],Товары[#All],2,FALSE)</f>
        <v>Чай</v>
      </c>
      <c r="J148" s="19">
        <f>AVERAGEIF(Продажи[Категория товара],Продажи[[#This Row],[Категория товара]],Продажи[цена за шт в рублях])</f>
        <v>271.18181818181819</v>
      </c>
      <c r="K148" s="20">
        <f>Продажи[[#This Row],[цена за шт в рублях]]/Продажи[[#This Row],[Средняя цена в категории за шт]]-1</f>
        <v>-0.11867247737177344</v>
      </c>
      <c r="L148" t="str">
        <f>VLOOKUP(Продажи[[#This Row],[id товара]],Товары[#All],3,FALSE)</f>
        <v>Lipton</v>
      </c>
      <c r="M1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148" s="23">
        <f>VLOOKUP(Продажи[[#This Row],[id клиента]],Таблица4[#All],5,FALSE)</f>
        <v>44815</v>
      </c>
      <c r="O148">
        <f>Продажи[[#This Row],[дата создания чека]]-Продажи[[#This Row],[Дата регистрации клиентов]]</f>
        <v>288</v>
      </c>
      <c r="P148" t="str">
        <f>VLOOKUP(Продажи[[#This Row],[id клиента]],Таблица4[#All],7,FALSE)</f>
        <v>Россия</v>
      </c>
    </row>
    <row r="149" spans="1:16" x14ac:dyDescent="0.25">
      <c r="A149">
        <v>148</v>
      </c>
      <c r="B149">
        <v>180</v>
      </c>
      <c r="C149">
        <v>86</v>
      </c>
      <c r="D149">
        <v>4</v>
      </c>
      <c r="E149">
        <v>344</v>
      </c>
      <c r="F149" s="23">
        <v>45326</v>
      </c>
      <c r="G149" t="s">
        <v>17</v>
      </c>
      <c r="H149">
        <v>73</v>
      </c>
      <c r="I149" t="str">
        <f>VLOOKUP(Продажи[[#This Row],[id товара]],Товары[#All],2,FALSE)</f>
        <v>Чипсы</v>
      </c>
      <c r="J149" s="19">
        <f>AVERAGEIF(Продажи[Категория товара],Продажи[[#This Row],[Категория товара]],Продажи[цена за шт в рублях])</f>
        <v>273.72549019607845</v>
      </c>
      <c r="K149" s="20">
        <f>Продажи[[#This Row],[цена за шт в рублях]]/Продажи[[#This Row],[Средняя цена в категории за шт]]-1</f>
        <v>-0.68581661891117474</v>
      </c>
      <c r="L149" t="str">
        <f>VLOOKUP(Продажи[[#This Row],[id товара]],Товары[#All],3,FALSE)</f>
        <v>Русская картошка</v>
      </c>
      <c r="M1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149" s="23">
        <f>VLOOKUP(Продажи[[#This Row],[id клиента]],Таблица4[#All],5,FALSE)</f>
        <v>44665</v>
      </c>
      <c r="O149">
        <f>Продажи[[#This Row],[дата создания чека]]-Продажи[[#This Row],[Дата регистрации клиентов]]</f>
        <v>661</v>
      </c>
      <c r="P149" t="str">
        <f>VLOOKUP(Продажи[[#This Row],[id клиента]],Таблица4[#All],7,FALSE)</f>
        <v>Украина</v>
      </c>
    </row>
    <row r="150" spans="1:16" x14ac:dyDescent="0.25">
      <c r="A150">
        <v>149</v>
      </c>
      <c r="B150">
        <v>438</v>
      </c>
      <c r="C150">
        <v>154</v>
      </c>
      <c r="D150">
        <v>4</v>
      </c>
      <c r="E150">
        <v>616</v>
      </c>
      <c r="F150" s="23">
        <v>45264</v>
      </c>
      <c r="G150" t="s">
        <v>12</v>
      </c>
      <c r="H150">
        <v>139</v>
      </c>
      <c r="I150" t="str">
        <f>VLOOKUP(Продажи[[#This Row],[id товара]],Товары[#All],2,FALSE)</f>
        <v>Кофе</v>
      </c>
      <c r="J150" s="19">
        <f>AVERAGEIF(Продажи[Категория товара],Продажи[[#This Row],[Категория товара]],Продажи[цена за шт в рублях])</f>
        <v>249.02380952380952</v>
      </c>
      <c r="K150" s="20">
        <f>Продажи[[#This Row],[цена за шт в рублях]]/Продажи[[#This Row],[Средняя цена в категории за шт]]-1</f>
        <v>-0.38158523759441632</v>
      </c>
      <c r="L150" t="str">
        <f>VLOOKUP(Продажи[[#This Row],[id товара]],Товары[#All],3,FALSE)</f>
        <v>Nescafe</v>
      </c>
      <c r="M1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150" s="23">
        <f>VLOOKUP(Продажи[[#This Row],[id клиента]],Таблица4[#All],5,FALSE)</f>
        <v>44648</v>
      </c>
      <c r="O150">
        <f>Продажи[[#This Row],[дата создания чека]]-Продажи[[#This Row],[Дата регистрации клиентов]]</f>
        <v>616</v>
      </c>
      <c r="P150" t="str">
        <f>VLOOKUP(Продажи[[#This Row],[id клиента]],Таблица4[#All],7,FALSE)</f>
        <v>Беларусь</v>
      </c>
    </row>
    <row r="151" spans="1:16" x14ac:dyDescent="0.25">
      <c r="A151">
        <v>150</v>
      </c>
      <c r="B151">
        <v>232</v>
      </c>
      <c r="C151">
        <v>109</v>
      </c>
      <c r="D151">
        <v>4</v>
      </c>
      <c r="E151">
        <v>436</v>
      </c>
      <c r="F151" s="23">
        <v>45387</v>
      </c>
      <c r="G151" t="s">
        <v>20</v>
      </c>
      <c r="H151">
        <v>407</v>
      </c>
      <c r="I151" t="str">
        <f>VLOOKUP(Продажи[[#This Row],[id товара]],Товары[#All],2,FALSE)</f>
        <v>Молоко</v>
      </c>
      <c r="J151" s="19">
        <f>AVERAGEIF(Продажи[Категория товара],Продажи[[#This Row],[Категория товара]],Продажи[цена за шт в рублях])</f>
        <v>294.95238095238096</v>
      </c>
      <c r="K151" s="20">
        <f>Продажи[[#This Row],[цена за шт в рублях]]/Продажи[[#This Row],[Средняя цена в категории за шт]]-1</f>
        <v>-0.63044882144010339</v>
      </c>
      <c r="L151" t="str">
        <f>VLOOKUP(Продажи[[#This Row],[id товара]],Товары[#All],3,FALSE)</f>
        <v>Простоквашино</v>
      </c>
      <c r="M1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151" s="23">
        <f>VLOOKUP(Продажи[[#This Row],[id клиента]],Таблица4[#All],5,FALSE)</f>
        <v>44621</v>
      </c>
      <c r="O151">
        <f>Продажи[[#This Row],[дата создания чека]]-Продажи[[#This Row],[Дата регистрации клиентов]]</f>
        <v>766</v>
      </c>
      <c r="P151" t="str">
        <f>VLOOKUP(Продажи[[#This Row],[id клиента]],Таблица4[#All],7,FALSE)</f>
        <v>Беларусь</v>
      </c>
    </row>
    <row r="152" spans="1:16" x14ac:dyDescent="0.25">
      <c r="A152">
        <v>151</v>
      </c>
      <c r="B152">
        <v>206</v>
      </c>
      <c r="C152">
        <v>73</v>
      </c>
      <c r="D152">
        <v>5</v>
      </c>
      <c r="E152">
        <v>365</v>
      </c>
      <c r="F152" s="23">
        <v>45310</v>
      </c>
      <c r="G152" t="s">
        <v>10</v>
      </c>
      <c r="H152">
        <v>115</v>
      </c>
      <c r="I152" t="str">
        <f>VLOOKUP(Продажи[[#This Row],[id товара]],Товары[#All],2,FALSE)</f>
        <v>Молоко</v>
      </c>
      <c r="J152" s="19">
        <f>AVERAGEIF(Продажи[Категория товара],Продажи[[#This Row],[Категория товара]],Продажи[цена за шт в рублях])</f>
        <v>294.95238095238096</v>
      </c>
      <c r="K152" s="20">
        <f>Продажи[[#This Row],[цена за шт в рублях]]/Продажи[[#This Row],[Средняя цена в категории за шт]]-1</f>
        <v>-0.75250242169841786</v>
      </c>
      <c r="L152" t="str">
        <f>VLOOKUP(Продажи[[#This Row],[id товара]],Товары[#All],3,FALSE)</f>
        <v>Домик в деревне</v>
      </c>
      <c r="M1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152" s="23">
        <f>VLOOKUP(Продажи[[#This Row],[id клиента]],Таблица4[#All],5,FALSE)</f>
        <v>44832</v>
      </c>
      <c r="O152">
        <f>Продажи[[#This Row],[дата создания чека]]-Продажи[[#This Row],[Дата регистрации клиентов]]</f>
        <v>478</v>
      </c>
      <c r="P152" t="str">
        <f>VLOOKUP(Продажи[[#This Row],[id клиента]],Таблица4[#All],7,FALSE)</f>
        <v>Беларусь</v>
      </c>
    </row>
    <row r="153" spans="1:16" x14ac:dyDescent="0.25">
      <c r="A153">
        <v>152</v>
      </c>
      <c r="B153">
        <v>295</v>
      </c>
      <c r="C153">
        <v>230</v>
      </c>
      <c r="D153">
        <v>4</v>
      </c>
      <c r="E153">
        <v>920</v>
      </c>
      <c r="F153" s="23">
        <v>44990</v>
      </c>
      <c r="G153" t="s">
        <v>12</v>
      </c>
      <c r="H153">
        <v>258</v>
      </c>
      <c r="I153" t="str">
        <f>VLOOKUP(Продажи[[#This Row],[id товара]],Товары[#All],2,FALSE)</f>
        <v>Печенье</v>
      </c>
      <c r="J153" s="19">
        <f>AVERAGEIF(Продажи[Категория товара],Продажи[[#This Row],[Категория товара]],Продажи[цена за шт в рублях])</f>
        <v>283.468085106383</v>
      </c>
      <c r="K153" s="20">
        <f>Продажи[[#This Row],[цена за шт в рублях]]/Продажи[[#This Row],[Средняя цена в категории за шт]]-1</f>
        <v>-0.18862118141559714</v>
      </c>
      <c r="L153" t="str">
        <f>VLOOKUP(Продажи[[#This Row],[id товара]],Товары[#All],3,FALSE)</f>
        <v>Белогорье</v>
      </c>
      <c r="M1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153" s="23">
        <f>VLOOKUP(Продажи[[#This Row],[id клиента]],Таблица4[#All],5,FALSE)</f>
        <v>44717</v>
      </c>
      <c r="O153">
        <f>Продажи[[#This Row],[дата создания чека]]-Продажи[[#This Row],[Дата регистрации клиентов]]</f>
        <v>273</v>
      </c>
      <c r="P153" t="str">
        <f>VLOOKUP(Продажи[[#This Row],[id клиента]],Таблица4[#All],7,FALSE)</f>
        <v>Украина</v>
      </c>
    </row>
    <row r="154" spans="1:16" x14ac:dyDescent="0.25">
      <c r="A154">
        <v>153</v>
      </c>
      <c r="B154">
        <v>204</v>
      </c>
      <c r="C154">
        <v>88</v>
      </c>
      <c r="D154">
        <v>4</v>
      </c>
      <c r="E154">
        <v>352</v>
      </c>
      <c r="F154" s="23">
        <v>44990</v>
      </c>
      <c r="G154" t="s">
        <v>24</v>
      </c>
      <c r="H154">
        <v>349</v>
      </c>
      <c r="I154" t="str">
        <f>VLOOKUP(Продажи[[#This Row],[id товара]],Товары[#All],2,FALSE)</f>
        <v>Печенье</v>
      </c>
      <c r="J154" s="19">
        <f>AVERAGEIF(Продажи[Категория товара],Продажи[[#This Row],[Категория товара]],Продажи[цена за шт в рублях])</f>
        <v>283.468085106383</v>
      </c>
      <c r="K154" s="20">
        <f>Продажи[[#This Row],[цена за шт в рублях]]/Продажи[[#This Row],[Средняя цена в категории за шт]]-1</f>
        <v>-0.68955940854161979</v>
      </c>
      <c r="L154" t="str">
        <f>VLOOKUP(Продажи[[#This Row],[id товара]],Товары[#All],3,FALSE)</f>
        <v>Юбилейное</v>
      </c>
      <c r="M1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154" s="23">
        <f>VLOOKUP(Продажи[[#This Row],[id клиента]],Таблица4[#All],5,FALSE)</f>
        <v>44673</v>
      </c>
      <c r="O154">
        <f>Продажи[[#This Row],[дата создания чека]]-Продажи[[#This Row],[Дата регистрации клиентов]]</f>
        <v>317</v>
      </c>
      <c r="P154" t="str">
        <f>VLOOKUP(Продажи[[#This Row],[id клиента]],Таблица4[#All],7,FALSE)</f>
        <v>Россия</v>
      </c>
    </row>
    <row r="155" spans="1:16" x14ac:dyDescent="0.25">
      <c r="A155">
        <v>154</v>
      </c>
      <c r="B155">
        <v>399</v>
      </c>
      <c r="C155">
        <v>231</v>
      </c>
      <c r="D155">
        <v>2</v>
      </c>
      <c r="E155">
        <v>462</v>
      </c>
      <c r="F155" s="23">
        <v>45290</v>
      </c>
      <c r="G155" t="s">
        <v>23</v>
      </c>
      <c r="H155">
        <v>325</v>
      </c>
      <c r="I155" t="str">
        <f>VLOOKUP(Продажи[[#This Row],[id товара]],Товары[#All],2,FALSE)</f>
        <v>Хлеб</v>
      </c>
      <c r="J155" s="19">
        <f>AVERAGEIF(Продажи[Категория товара],Продажи[[#This Row],[Категория товара]],Продажи[цена за шт в рублях])</f>
        <v>300.31818181818181</v>
      </c>
      <c r="K155" s="20">
        <f>Продажи[[#This Row],[цена за шт в рублях]]/Продажи[[#This Row],[Средняя цена в категории за шт]]-1</f>
        <v>-0.2308158014227335</v>
      </c>
      <c r="L155" t="str">
        <f>VLOOKUP(Продажи[[#This Row],[id товара]],Товары[#All],3,FALSE)</f>
        <v>Хлебный Дом</v>
      </c>
      <c r="M1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155" s="23">
        <f>VLOOKUP(Продажи[[#This Row],[id клиента]],Таблица4[#All],5,FALSE)</f>
        <v>44875</v>
      </c>
      <c r="O155">
        <f>Продажи[[#This Row],[дата создания чека]]-Продажи[[#This Row],[Дата регистрации клиентов]]</f>
        <v>415</v>
      </c>
      <c r="P155" t="str">
        <f>VLOOKUP(Продажи[[#This Row],[id клиента]],Таблица4[#All],7,FALSE)</f>
        <v>Таджикистан</v>
      </c>
    </row>
    <row r="156" spans="1:16" x14ac:dyDescent="0.25">
      <c r="A156">
        <v>155</v>
      </c>
      <c r="B156">
        <v>221</v>
      </c>
      <c r="C156">
        <v>477</v>
      </c>
      <c r="D156">
        <v>4</v>
      </c>
      <c r="E156">
        <v>1908</v>
      </c>
      <c r="F156" s="23">
        <v>45185</v>
      </c>
      <c r="G156" t="s">
        <v>15</v>
      </c>
      <c r="H156">
        <v>276</v>
      </c>
      <c r="I156" t="str">
        <f>VLOOKUP(Продажи[[#This Row],[id товара]],Товары[#All],2,FALSE)</f>
        <v>Чипсы</v>
      </c>
      <c r="J156" s="19">
        <f>AVERAGEIF(Продажи[Категория товара],Продажи[[#This Row],[Категория товара]],Продажи[цена за шт в рублях])</f>
        <v>273.72549019607845</v>
      </c>
      <c r="K156" s="20">
        <f>Продажи[[#This Row],[цена за шт в рублях]]/Продажи[[#This Row],[Средняя цена в категории за шт]]-1</f>
        <v>0.74262177650429795</v>
      </c>
      <c r="L156" t="str">
        <f>VLOOKUP(Продажи[[#This Row],[id товара]],Товары[#All],3,FALSE)</f>
        <v>Pringles</v>
      </c>
      <c r="M1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156" s="23">
        <f>VLOOKUP(Продажи[[#This Row],[id клиента]],Таблица4[#All],5,FALSE)</f>
        <v>44632</v>
      </c>
      <c r="O156">
        <f>Продажи[[#This Row],[дата создания чека]]-Продажи[[#This Row],[Дата регистрации клиентов]]</f>
        <v>553</v>
      </c>
      <c r="P156" t="str">
        <f>VLOOKUP(Продажи[[#This Row],[id клиента]],Таблица4[#All],7,FALSE)</f>
        <v>Таджикистан</v>
      </c>
    </row>
    <row r="157" spans="1:16" x14ac:dyDescent="0.25">
      <c r="A157">
        <v>156</v>
      </c>
      <c r="B157">
        <v>333</v>
      </c>
      <c r="C157">
        <v>74</v>
      </c>
      <c r="D157">
        <v>2</v>
      </c>
      <c r="E157">
        <v>148</v>
      </c>
      <c r="F157" s="23">
        <v>45153</v>
      </c>
      <c r="G157" t="s">
        <v>16</v>
      </c>
      <c r="H157">
        <v>328</v>
      </c>
      <c r="I157" t="str">
        <f>VLOOKUP(Продажи[[#This Row],[id товара]],Товары[#All],2,FALSE)</f>
        <v>Рыба</v>
      </c>
      <c r="J157" s="19">
        <f>AVERAGEIF(Продажи[Категория товара],Продажи[[#This Row],[Категория товара]],Продажи[цена за шт в рублях])</f>
        <v>258.5128205128205</v>
      </c>
      <c r="K157" s="20">
        <f>Продажи[[#This Row],[цена за шт в рублях]]/Продажи[[#This Row],[Средняя цена в категории за шт]]-1</f>
        <v>-0.71374727236659385</v>
      </c>
      <c r="L157" t="str">
        <f>VLOOKUP(Продажи[[#This Row],[id товара]],Товары[#All],3,FALSE)</f>
        <v>Санта Бремор</v>
      </c>
      <c r="M1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157" s="23">
        <f>VLOOKUP(Продажи[[#This Row],[id клиента]],Таблица4[#All],5,FALSE)</f>
        <v>44568</v>
      </c>
      <c r="O157">
        <f>Продажи[[#This Row],[дата создания чека]]-Продажи[[#This Row],[Дата регистрации клиентов]]</f>
        <v>585</v>
      </c>
      <c r="P157" t="str">
        <f>VLOOKUP(Продажи[[#This Row],[id клиента]],Таблица4[#All],7,FALSE)</f>
        <v>Россия</v>
      </c>
    </row>
    <row r="158" spans="1:16" x14ac:dyDescent="0.25">
      <c r="A158">
        <v>157</v>
      </c>
      <c r="B158">
        <v>498</v>
      </c>
      <c r="C158">
        <v>430</v>
      </c>
      <c r="D158">
        <v>5</v>
      </c>
      <c r="E158">
        <v>2150</v>
      </c>
      <c r="F158" s="23">
        <v>45106</v>
      </c>
      <c r="G158" t="s">
        <v>25</v>
      </c>
      <c r="H158">
        <v>250</v>
      </c>
      <c r="I158" t="str">
        <f>VLOOKUP(Продажи[[#This Row],[id товара]],Товары[#All],2,FALSE)</f>
        <v>Молоко</v>
      </c>
      <c r="J158" s="19">
        <f>AVERAGEIF(Продажи[Категория товара],Продажи[[#This Row],[Категория товара]],Продажи[цена за шт в рублях])</f>
        <v>294.95238095238096</v>
      </c>
      <c r="K158" s="20">
        <f>Продажи[[#This Row],[цена за шт в рублях]]/Продажи[[#This Row],[Средняя цена в категории за шт]]-1</f>
        <v>0.4578624475298676</v>
      </c>
      <c r="L158" t="str">
        <f>VLOOKUP(Продажи[[#This Row],[id товара]],Товары[#All],3,FALSE)</f>
        <v>Домик в деревне</v>
      </c>
      <c r="M1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158" s="23">
        <f>VLOOKUP(Продажи[[#This Row],[id клиента]],Таблица4[#All],5,FALSE)</f>
        <v>44856</v>
      </c>
      <c r="O158">
        <f>Продажи[[#This Row],[дата создания чека]]-Продажи[[#This Row],[Дата регистрации клиентов]]</f>
        <v>250</v>
      </c>
      <c r="P158" t="str">
        <f>VLOOKUP(Продажи[[#This Row],[id клиента]],Таблица4[#All],7,FALSE)</f>
        <v>Россия</v>
      </c>
    </row>
    <row r="159" spans="1:16" x14ac:dyDescent="0.25">
      <c r="A159">
        <v>158</v>
      </c>
      <c r="B159">
        <v>476</v>
      </c>
      <c r="C159">
        <v>286</v>
      </c>
      <c r="D159">
        <v>2</v>
      </c>
      <c r="E159">
        <v>572</v>
      </c>
      <c r="F159" s="23">
        <v>44973</v>
      </c>
      <c r="G159" t="s">
        <v>19</v>
      </c>
      <c r="H159">
        <v>397</v>
      </c>
      <c r="I159" t="str">
        <f>VLOOKUP(Продажи[[#This Row],[id товара]],Товары[#All],2,FALSE)</f>
        <v>Рыба</v>
      </c>
      <c r="J159" s="19">
        <f>AVERAGEIF(Продажи[Категория товара],Продажи[[#This Row],[Категория товара]],Продажи[цена за шт в рублях])</f>
        <v>258.5128205128205</v>
      </c>
      <c r="K159" s="20">
        <f>Продажи[[#This Row],[цена за шт в рублях]]/Продажи[[#This Row],[Средняя цена в категории за шт]]-1</f>
        <v>0.10632810950208293</v>
      </c>
      <c r="L159" t="str">
        <f>VLOOKUP(Продажи[[#This Row],[id товара]],Товары[#All],3,FALSE)</f>
        <v>Балтийский берег</v>
      </c>
      <c r="M1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159" s="23">
        <f>VLOOKUP(Продажи[[#This Row],[id клиента]],Таблица4[#All],5,FALSE)</f>
        <v>44728</v>
      </c>
      <c r="O159">
        <f>Продажи[[#This Row],[дата создания чека]]-Продажи[[#This Row],[Дата регистрации клиентов]]</f>
        <v>245</v>
      </c>
      <c r="P159" t="str">
        <f>VLOOKUP(Продажи[[#This Row],[id клиента]],Таблица4[#All],7,FALSE)</f>
        <v>Беларусь</v>
      </c>
    </row>
    <row r="160" spans="1:16" x14ac:dyDescent="0.25">
      <c r="A160">
        <v>159</v>
      </c>
      <c r="B160">
        <v>126</v>
      </c>
      <c r="C160">
        <v>273</v>
      </c>
      <c r="D160">
        <v>3</v>
      </c>
      <c r="E160">
        <v>819</v>
      </c>
      <c r="F160" s="23">
        <v>45051</v>
      </c>
      <c r="G160" t="s">
        <v>16</v>
      </c>
      <c r="H160">
        <v>153</v>
      </c>
      <c r="I160" t="str">
        <f>VLOOKUP(Продажи[[#This Row],[id товара]],Товары[#All],2,FALSE)</f>
        <v>Сахар</v>
      </c>
      <c r="J160" s="19">
        <f>AVERAGEIF(Продажи[Категория товара],Продажи[[#This Row],[Категория товара]],Продажи[цена за шт в рублях])</f>
        <v>252.76271186440678</v>
      </c>
      <c r="K160" s="20">
        <f>Продажи[[#This Row],[цена за шт в рублях]]/Продажи[[#This Row],[Средняя цена в категории за шт]]-1</f>
        <v>8.006437336551997E-2</v>
      </c>
      <c r="L160" t="str">
        <f>VLOOKUP(Продажи[[#This Row],[id товара]],Товары[#All],3,FALSE)</f>
        <v>Русский сахар</v>
      </c>
      <c r="M1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160" s="23">
        <f>VLOOKUP(Продажи[[#This Row],[id клиента]],Таблица4[#All],5,FALSE)</f>
        <v>44802</v>
      </c>
      <c r="O160">
        <f>Продажи[[#This Row],[дата создания чека]]-Продажи[[#This Row],[Дата регистрации клиентов]]</f>
        <v>249</v>
      </c>
      <c r="P160" t="str">
        <f>VLOOKUP(Продажи[[#This Row],[id клиента]],Таблица4[#All],7,FALSE)</f>
        <v>Россия</v>
      </c>
    </row>
    <row r="161" spans="1:16" x14ac:dyDescent="0.25">
      <c r="A161">
        <v>160</v>
      </c>
      <c r="B161">
        <v>255</v>
      </c>
      <c r="C161">
        <v>279</v>
      </c>
      <c r="D161">
        <v>3</v>
      </c>
      <c r="E161">
        <v>837</v>
      </c>
      <c r="F161" s="23">
        <v>45081</v>
      </c>
      <c r="G161" t="s">
        <v>10</v>
      </c>
      <c r="H161">
        <v>286</v>
      </c>
      <c r="I161" t="str">
        <f>VLOOKUP(Продажи[[#This Row],[id товара]],Товары[#All],2,FALSE)</f>
        <v>Кофе</v>
      </c>
      <c r="J161" s="19">
        <f>AVERAGEIF(Продажи[Категория товара],Продажи[[#This Row],[Категория товара]],Продажи[цена за шт в рублях])</f>
        <v>249.02380952380952</v>
      </c>
      <c r="K161" s="20">
        <f>Продажи[[#This Row],[цена за шт в рублях]]/Продажи[[#This Row],[Средняя цена в категории за шт]]-1</f>
        <v>0.12037479682570029</v>
      </c>
      <c r="L161" t="str">
        <f>VLOOKUP(Продажи[[#This Row],[id товара]],Товары[#All],3,FALSE)</f>
        <v>Nescafe</v>
      </c>
      <c r="M1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161" s="23">
        <f>VLOOKUP(Продажи[[#This Row],[id клиента]],Таблица4[#All],5,FALSE)</f>
        <v>44563</v>
      </c>
      <c r="O161">
        <f>Продажи[[#This Row],[дата создания чека]]-Продажи[[#This Row],[Дата регистрации клиентов]]</f>
        <v>518</v>
      </c>
      <c r="P161" t="str">
        <f>VLOOKUP(Продажи[[#This Row],[id клиента]],Таблица4[#All],7,FALSE)</f>
        <v>Таджикистан</v>
      </c>
    </row>
    <row r="162" spans="1:16" x14ac:dyDescent="0.25">
      <c r="A162">
        <v>161</v>
      </c>
      <c r="B162">
        <v>138</v>
      </c>
      <c r="C162">
        <v>210</v>
      </c>
      <c r="D162">
        <v>2</v>
      </c>
      <c r="E162">
        <v>420</v>
      </c>
      <c r="F162" s="23">
        <v>45012</v>
      </c>
      <c r="G162" t="s">
        <v>13</v>
      </c>
      <c r="H162">
        <v>14</v>
      </c>
      <c r="I162" t="str">
        <f>VLOOKUP(Продажи[[#This Row],[id товара]],Товары[#All],2,FALSE)</f>
        <v>Сыр</v>
      </c>
      <c r="J162" s="19">
        <f>AVERAGEIF(Продажи[Категория товара],Продажи[[#This Row],[Категория товара]],Продажи[цена за шт в рублях])</f>
        <v>262.63492063492066</v>
      </c>
      <c r="K162" s="20">
        <f>Продажи[[#This Row],[цена за шт в рублях]]/Продажи[[#This Row],[Средняя цена в категории за шт]]-1</f>
        <v>-0.20041097546234743</v>
      </c>
      <c r="L162" t="str">
        <f>VLOOKUP(Продажи[[#This Row],[id товара]],Товары[#All],3,FALSE)</f>
        <v>Сырная долина</v>
      </c>
      <c r="M1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162" s="23">
        <f>VLOOKUP(Продажи[[#This Row],[id клиента]],Таблица4[#All],5,FALSE)</f>
        <v>44775</v>
      </c>
      <c r="O162">
        <f>Продажи[[#This Row],[дата создания чека]]-Продажи[[#This Row],[Дата регистрации клиентов]]</f>
        <v>237</v>
      </c>
      <c r="P162" t="str">
        <f>VLOOKUP(Продажи[[#This Row],[id клиента]],Таблица4[#All],7,FALSE)</f>
        <v>Таджикистан</v>
      </c>
    </row>
    <row r="163" spans="1:16" x14ac:dyDescent="0.25">
      <c r="A163">
        <v>162</v>
      </c>
      <c r="B163">
        <v>403</v>
      </c>
      <c r="C163">
        <v>229</v>
      </c>
      <c r="D163">
        <v>1</v>
      </c>
      <c r="E163">
        <v>229</v>
      </c>
      <c r="F163" s="23">
        <v>44991</v>
      </c>
      <c r="G163" t="s">
        <v>17</v>
      </c>
      <c r="H163">
        <v>32</v>
      </c>
      <c r="I163" t="str">
        <f>VLOOKUP(Продажи[[#This Row],[id товара]],Товары[#All],2,FALSE)</f>
        <v>Чай</v>
      </c>
      <c r="J163" s="19">
        <f>AVERAGEIF(Продажи[Категория товара],Продажи[[#This Row],[Категория товара]],Продажи[цена за шт в рублях])</f>
        <v>271.18181818181819</v>
      </c>
      <c r="K163" s="20">
        <f>Продажи[[#This Row],[цена за шт в рублях]]/Продажи[[#This Row],[Средняя цена в категории за шт]]-1</f>
        <v>-0.15554810593362389</v>
      </c>
      <c r="L163" t="str">
        <f>VLOOKUP(Продажи[[#This Row],[id товара]],Товары[#All],3,FALSE)</f>
        <v>Ахмад</v>
      </c>
      <c r="M1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163" s="23">
        <f>VLOOKUP(Продажи[[#This Row],[id клиента]],Таблица4[#All],5,FALSE)</f>
        <v>44922</v>
      </c>
      <c r="O163">
        <f>Продажи[[#This Row],[дата создания чека]]-Продажи[[#This Row],[Дата регистрации клиентов]]</f>
        <v>69</v>
      </c>
      <c r="P163" t="str">
        <f>VLOOKUP(Продажи[[#This Row],[id клиента]],Таблица4[#All],7,FALSE)</f>
        <v>Узбекистан</v>
      </c>
    </row>
    <row r="164" spans="1:16" x14ac:dyDescent="0.25">
      <c r="A164">
        <v>163</v>
      </c>
      <c r="B164">
        <v>280</v>
      </c>
      <c r="C164">
        <v>192</v>
      </c>
      <c r="D164">
        <v>2</v>
      </c>
      <c r="E164">
        <v>384</v>
      </c>
      <c r="F164" s="23">
        <v>45283</v>
      </c>
      <c r="G164" t="s">
        <v>8</v>
      </c>
      <c r="H164">
        <v>49</v>
      </c>
      <c r="I164" t="str">
        <f>VLOOKUP(Продажи[[#This Row],[id товара]],Товары[#All],2,FALSE)</f>
        <v>Сыр</v>
      </c>
      <c r="J164" s="19">
        <f>AVERAGEIF(Продажи[Категория товара],Продажи[[#This Row],[Категория товара]],Продажи[цена за шт в рублях])</f>
        <v>262.63492063492066</v>
      </c>
      <c r="K164" s="20">
        <f>Продажи[[#This Row],[цена за шт в рублях]]/Продажи[[#This Row],[Средняя цена в категории за шт]]-1</f>
        <v>-0.26894717756557485</v>
      </c>
      <c r="L164" t="str">
        <f>VLOOKUP(Продажи[[#This Row],[id товара]],Товары[#All],3,FALSE)</f>
        <v>President</v>
      </c>
      <c r="M1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164" s="23">
        <f>VLOOKUP(Продажи[[#This Row],[id клиента]],Таблица4[#All],5,FALSE)</f>
        <v>44672</v>
      </c>
      <c r="O164">
        <f>Продажи[[#This Row],[дата создания чека]]-Продажи[[#This Row],[Дата регистрации клиентов]]</f>
        <v>611</v>
      </c>
      <c r="P164" t="str">
        <f>VLOOKUP(Продажи[[#This Row],[id клиента]],Таблица4[#All],7,FALSE)</f>
        <v>Таджикистан</v>
      </c>
    </row>
    <row r="165" spans="1:16" x14ac:dyDescent="0.25">
      <c r="A165">
        <v>164</v>
      </c>
      <c r="B165">
        <v>356</v>
      </c>
      <c r="C165">
        <v>373</v>
      </c>
      <c r="D165">
        <v>1</v>
      </c>
      <c r="E165">
        <v>373</v>
      </c>
      <c r="F165" s="23">
        <v>45291</v>
      </c>
      <c r="G165" t="s">
        <v>10</v>
      </c>
      <c r="H165">
        <v>115</v>
      </c>
      <c r="I165" t="str">
        <f>VLOOKUP(Продажи[[#This Row],[id товара]],Товары[#All],2,FALSE)</f>
        <v>Печенье</v>
      </c>
      <c r="J165" s="19">
        <f>AVERAGEIF(Продажи[Категория товара],Продажи[[#This Row],[Категория товара]],Продажи[цена за шт в рублях])</f>
        <v>283.468085106383</v>
      </c>
      <c r="K165" s="20">
        <f>Продажи[[#This Row],[цена за шт в рублях]]/Продажи[[#This Row],[Средняя цена в категории за шт]]-1</f>
        <v>0.31584477970427072</v>
      </c>
      <c r="L165" t="str">
        <f>VLOOKUP(Продажи[[#This Row],[id товара]],Товары[#All],3,FALSE)</f>
        <v>Посиделкино</v>
      </c>
      <c r="M1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165" s="23">
        <f>VLOOKUP(Продажи[[#This Row],[id клиента]],Таблица4[#All],5,FALSE)</f>
        <v>44832</v>
      </c>
      <c r="O165">
        <f>Продажи[[#This Row],[дата создания чека]]-Продажи[[#This Row],[Дата регистрации клиентов]]</f>
        <v>459</v>
      </c>
      <c r="P165" t="str">
        <f>VLOOKUP(Продажи[[#This Row],[id клиента]],Таблица4[#All],7,FALSE)</f>
        <v>Беларусь</v>
      </c>
    </row>
    <row r="166" spans="1:16" x14ac:dyDescent="0.25">
      <c r="A166">
        <v>165</v>
      </c>
      <c r="B166">
        <v>41</v>
      </c>
      <c r="C166">
        <v>315</v>
      </c>
      <c r="D166">
        <v>3</v>
      </c>
      <c r="E166">
        <v>945</v>
      </c>
      <c r="F166" s="23">
        <v>45202</v>
      </c>
      <c r="G166" t="s">
        <v>21</v>
      </c>
      <c r="H166">
        <v>420</v>
      </c>
      <c r="I166" t="str">
        <f>VLOOKUP(Продажи[[#This Row],[id товара]],Товары[#All],2,FALSE)</f>
        <v>Рис</v>
      </c>
      <c r="J166" s="19">
        <f>AVERAGEIF(Продажи[Категория товара],Продажи[[#This Row],[Категория товара]],Продажи[цена за шт в рублях])</f>
        <v>258.375</v>
      </c>
      <c r="K166" s="20">
        <f>Продажи[[#This Row],[цена за шт в рублях]]/Продажи[[#This Row],[Средняя цена в категории за шт]]-1</f>
        <v>0.21915820029027566</v>
      </c>
      <c r="L166" t="str">
        <f>VLOOKUP(Продажи[[#This Row],[id товара]],Товары[#All],3,FALSE)</f>
        <v>Агро-Альянс</v>
      </c>
      <c r="M1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166" s="23">
        <f>VLOOKUP(Продажи[[#This Row],[id клиента]],Таблица4[#All],5,FALSE)</f>
        <v>44698</v>
      </c>
      <c r="O166">
        <f>Продажи[[#This Row],[дата создания чека]]-Продажи[[#This Row],[Дата регистрации клиентов]]</f>
        <v>504</v>
      </c>
      <c r="P166" t="str">
        <f>VLOOKUP(Продажи[[#This Row],[id клиента]],Таблица4[#All],7,FALSE)</f>
        <v>Украина</v>
      </c>
    </row>
    <row r="167" spans="1:16" x14ac:dyDescent="0.25">
      <c r="A167">
        <v>166</v>
      </c>
      <c r="B167">
        <v>379</v>
      </c>
      <c r="C167">
        <v>321</v>
      </c>
      <c r="D167">
        <v>5</v>
      </c>
      <c r="E167">
        <v>1605</v>
      </c>
      <c r="F167" s="23">
        <v>45032</v>
      </c>
      <c r="G167" t="s">
        <v>17</v>
      </c>
      <c r="H167">
        <v>47</v>
      </c>
      <c r="I167" t="str">
        <f>VLOOKUP(Продажи[[#This Row],[id товара]],Товары[#All],2,FALSE)</f>
        <v>Йогурт</v>
      </c>
      <c r="J167" s="19">
        <f>AVERAGEIF(Продажи[Категория товара],Продажи[[#This Row],[Категория товара]],Продажи[цена за шт в рублях])</f>
        <v>263.25423728813558</v>
      </c>
      <c r="K167" s="20">
        <f>Продажи[[#This Row],[цена за шт в рублях]]/Продажи[[#This Row],[Средняя цена в категории за шт]]-1</f>
        <v>0.21935359258305431</v>
      </c>
      <c r="L167" t="str">
        <f>VLOOKUP(Продажи[[#This Row],[id товара]],Товары[#All],3,FALSE)</f>
        <v>Активиа</v>
      </c>
      <c r="M1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167" s="23">
        <f>VLOOKUP(Продажи[[#This Row],[id клиента]],Таблица4[#All],5,FALSE)</f>
        <v>44693</v>
      </c>
      <c r="O167">
        <f>Продажи[[#This Row],[дата создания чека]]-Продажи[[#This Row],[Дата регистрации клиентов]]</f>
        <v>339</v>
      </c>
      <c r="P167" t="str">
        <f>VLOOKUP(Продажи[[#This Row],[id клиента]],Таблица4[#All],7,FALSE)</f>
        <v>Беларусь</v>
      </c>
    </row>
    <row r="168" spans="1:16" x14ac:dyDescent="0.25">
      <c r="A168">
        <v>167</v>
      </c>
      <c r="B168">
        <v>282</v>
      </c>
      <c r="C168">
        <v>189</v>
      </c>
      <c r="D168">
        <v>2</v>
      </c>
      <c r="E168">
        <v>378</v>
      </c>
      <c r="F168" s="23">
        <v>45158</v>
      </c>
      <c r="G168" t="s">
        <v>17</v>
      </c>
      <c r="H168">
        <v>202</v>
      </c>
      <c r="I168" t="str">
        <f>VLOOKUP(Продажи[[#This Row],[id товара]],Товары[#All],2,FALSE)</f>
        <v>Рис</v>
      </c>
      <c r="J168" s="19">
        <f>AVERAGEIF(Продажи[Категория товара],Продажи[[#This Row],[Категория товара]],Продажи[цена за шт в рублях])</f>
        <v>258.375</v>
      </c>
      <c r="K168" s="20">
        <f>Продажи[[#This Row],[цена за шт в рублях]]/Продажи[[#This Row],[Средняя цена в категории за шт]]-1</f>
        <v>-0.26850507982583449</v>
      </c>
      <c r="L168" t="str">
        <f>VLOOKUP(Продажи[[#This Row],[id товара]],Товары[#All],3,FALSE)</f>
        <v>Агро-Альянс</v>
      </c>
      <c r="M1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168" s="23">
        <f>VLOOKUP(Продажи[[#This Row],[id клиента]],Таблица4[#All],5,FALSE)</f>
        <v>44766</v>
      </c>
      <c r="O168">
        <f>Продажи[[#This Row],[дата создания чека]]-Продажи[[#This Row],[Дата регистрации клиентов]]</f>
        <v>392</v>
      </c>
      <c r="P168" t="str">
        <f>VLOOKUP(Продажи[[#This Row],[id клиента]],Таблица4[#All],7,FALSE)</f>
        <v>Беларусь</v>
      </c>
    </row>
    <row r="169" spans="1:16" x14ac:dyDescent="0.25">
      <c r="A169">
        <v>168</v>
      </c>
      <c r="B169">
        <v>459</v>
      </c>
      <c r="C169">
        <v>405</v>
      </c>
      <c r="D169">
        <v>3</v>
      </c>
      <c r="E169">
        <v>1215</v>
      </c>
      <c r="F169" s="23">
        <v>44949</v>
      </c>
      <c r="G169" t="s">
        <v>10</v>
      </c>
      <c r="H169">
        <v>37</v>
      </c>
      <c r="I169" t="str">
        <f>VLOOKUP(Продажи[[#This Row],[id товара]],Товары[#All],2,FALSE)</f>
        <v>Крупа</v>
      </c>
      <c r="J169" s="19">
        <f>AVERAGEIF(Продажи[Категория товара],Продажи[[#This Row],[Категория товара]],Продажи[цена за шт в рублях])</f>
        <v>255.11627906976744</v>
      </c>
      <c r="K169" s="20">
        <f>Продажи[[#This Row],[цена за шт в рублях]]/Продажи[[#This Row],[Средняя цена в категории за шт]]-1</f>
        <v>0.58751139471285319</v>
      </c>
      <c r="L169" t="str">
        <f>VLOOKUP(Продажи[[#This Row],[id товара]],Товары[#All],3,FALSE)</f>
        <v>Националь</v>
      </c>
      <c r="M1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169" s="23">
        <f>VLOOKUP(Продажи[[#This Row],[id клиента]],Таблица4[#All],5,FALSE)</f>
        <v>44728</v>
      </c>
      <c r="O169">
        <f>Продажи[[#This Row],[дата создания чека]]-Продажи[[#This Row],[Дата регистрации клиентов]]</f>
        <v>221</v>
      </c>
      <c r="P169" t="str">
        <f>VLOOKUP(Продажи[[#This Row],[id клиента]],Таблица4[#All],7,FALSE)</f>
        <v>Украина</v>
      </c>
    </row>
    <row r="170" spans="1:16" x14ac:dyDescent="0.25">
      <c r="A170">
        <v>169</v>
      </c>
      <c r="B170">
        <v>402</v>
      </c>
      <c r="C170">
        <v>426</v>
      </c>
      <c r="D170">
        <v>2</v>
      </c>
      <c r="E170">
        <v>852</v>
      </c>
      <c r="F170" s="23">
        <v>45099</v>
      </c>
      <c r="G170" t="s">
        <v>25</v>
      </c>
      <c r="H170">
        <v>366</v>
      </c>
      <c r="I170" t="str">
        <f>VLOOKUP(Продажи[[#This Row],[id товара]],Товары[#All],2,FALSE)</f>
        <v>Хлеб</v>
      </c>
      <c r="J170" s="19">
        <f>AVERAGEIF(Продажи[Категория товара],Продажи[[#This Row],[Категория товара]],Продажи[цена за шт в рублях])</f>
        <v>300.31818181818181</v>
      </c>
      <c r="K170" s="20">
        <f>Продажи[[#This Row],[цена за шт в рублях]]/Продажи[[#This Row],[Средняя цена в категории за шт]]-1</f>
        <v>0.41849553503859549</v>
      </c>
      <c r="L170" t="str">
        <f>VLOOKUP(Продажи[[#This Row],[id товара]],Товары[#All],3,FALSE)</f>
        <v>Каравай</v>
      </c>
      <c r="M1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170" s="23">
        <f>VLOOKUP(Продажи[[#This Row],[id клиента]],Таблица4[#All],5,FALSE)</f>
        <v>44827</v>
      </c>
      <c r="O170">
        <f>Продажи[[#This Row],[дата создания чека]]-Продажи[[#This Row],[Дата регистрации клиентов]]</f>
        <v>272</v>
      </c>
      <c r="P170" t="str">
        <f>VLOOKUP(Продажи[[#This Row],[id клиента]],Таблица4[#All],7,FALSE)</f>
        <v>Узбекистан</v>
      </c>
    </row>
    <row r="171" spans="1:16" x14ac:dyDescent="0.25">
      <c r="A171">
        <v>170</v>
      </c>
      <c r="B171">
        <v>320</v>
      </c>
      <c r="C171">
        <v>271</v>
      </c>
      <c r="D171">
        <v>1</v>
      </c>
      <c r="E171">
        <v>271</v>
      </c>
      <c r="F171" s="23">
        <v>45412</v>
      </c>
      <c r="G171" t="s">
        <v>27</v>
      </c>
      <c r="H171">
        <v>434</v>
      </c>
      <c r="I171" t="str">
        <f>VLOOKUP(Продажи[[#This Row],[id товара]],Товары[#All],2,FALSE)</f>
        <v>Конфеты</v>
      </c>
      <c r="J171" s="19">
        <f>AVERAGEIF(Продажи[Категория товара],Продажи[[#This Row],[Категория товара]],Продажи[цена за шт в рублях])</f>
        <v>267.85483870967744</v>
      </c>
      <c r="K171" s="20">
        <f>Продажи[[#This Row],[цена за шт в рублях]]/Продажи[[#This Row],[Средняя цена в категории за шт]]-1</f>
        <v>1.1742036490636432E-2</v>
      </c>
      <c r="L171" t="str">
        <f>VLOOKUP(Продажи[[#This Row],[id товара]],Товары[#All],3,FALSE)</f>
        <v>Бабаевский</v>
      </c>
      <c r="M1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171" s="23">
        <f>VLOOKUP(Продажи[[#This Row],[id клиента]],Таблица4[#All],5,FALSE)</f>
        <v>44730</v>
      </c>
      <c r="O171">
        <f>Продажи[[#This Row],[дата создания чека]]-Продажи[[#This Row],[Дата регистрации клиентов]]</f>
        <v>682</v>
      </c>
      <c r="P171" t="str">
        <f>VLOOKUP(Продажи[[#This Row],[id клиента]],Таблица4[#All],7,FALSE)</f>
        <v>Украина</v>
      </c>
    </row>
    <row r="172" spans="1:16" x14ac:dyDescent="0.25">
      <c r="A172">
        <v>171</v>
      </c>
      <c r="B172">
        <v>19</v>
      </c>
      <c r="C172">
        <v>96</v>
      </c>
      <c r="D172">
        <v>4</v>
      </c>
      <c r="E172">
        <v>384</v>
      </c>
      <c r="F172" s="23">
        <v>45041</v>
      </c>
      <c r="G172" t="s">
        <v>9</v>
      </c>
      <c r="H172">
        <v>172</v>
      </c>
      <c r="I172" t="str">
        <f>VLOOKUP(Продажи[[#This Row],[id товара]],Товары[#All],2,FALSE)</f>
        <v>Мясо</v>
      </c>
      <c r="J172" s="19">
        <f>AVERAGEIF(Продажи[Категория товара],Продажи[[#This Row],[Категория товара]],Продажи[цена за шт в рублях])</f>
        <v>271.74545454545455</v>
      </c>
      <c r="K172" s="20">
        <f>Продажи[[#This Row],[цена за шт в рублях]]/Продажи[[#This Row],[Средняя цена в категории за шт]]-1</f>
        <v>-0.6467282215977519</v>
      </c>
      <c r="L172" t="str">
        <f>VLOOKUP(Продажи[[#This Row],[id товара]],Товары[#All],3,FALSE)</f>
        <v>Снежана</v>
      </c>
      <c r="M1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172" s="23">
        <f>VLOOKUP(Продажи[[#This Row],[id клиента]],Таблица4[#All],5,FALSE)</f>
        <v>44737</v>
      </c>
      <c r="O172">
        <f>Продажи[[#This Row],[дата создания чека]]-Продажи[[#This Row],[Дата регистрации клиентов]]</f>
        <v>304</v>
      </c>
      <c r="P172" t="str">
        <f>VLOOKUP(Продажи[[#This Row],[id клиента]],Таблица4[#All],7,FALSE)</f>
        <v>Россия</v>
      </c>
    </row>
    <row r="173" spans="1:16" x14ac:dyDescent="0.25">
      <c r="A173">
        <v>172</v>
      </c>
      <c r="B173">
        <v>447</v>
      </c>
      <c r="C173">
        <v>65</v>
      </c>
      <c r="D173">
        <v>1</v>
      </c>
      <c r="E173">
        <v>65</v>
      </c>
      <c r="F173" s="23">
        <v>45341</v>
      </c>
      <c r="G173" t="s">
        <v>11</v>
      </c>
      <c r="H173">
        <v>52</v>
      </c>
      <c r="I173" t="str">
        <f>VLOOKUP(Продажи[[#This Row],[id товара]],Товары[#All],2,FALSE)</f>
        <v>Йогурт</v>
      </c>
      <c r="J173" s="19">
        <f>AVERAGEIF(Продажи[Категория товара],Продажи[[#This Row],[Категория товара]],Продажи[цена за шт в рублях])</f>
        <v>263.25423728813558</v>
      </c>
      <c r="K173" s="20">
        <f>Продажи[[#This Row],[цена за шт в рублях]]/Продажи[[#This Row],[Средняя цена в категории за шт]]-1</f>
        <v>-0.75309039402523825</v>
      </c>
      <c r="L173" t="str">
        <f>VLOOKUP(Продажи[[#This Row],[id товара]],Товары[#All],3,FALSE)</f>
        <v>Эрманн</v>
      </c>
      <c r="M1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173" s="23">
        <f>VLOOKUP(Продажи[[#This Row],[id клиента]],Таблица4[#All],5,FALSE)</f>
        <v>44917</v>
      </c>
      <c r="O173">
        <f>Продажи[[#This Row],[дата создания чека]]-Продажи[[#This Row],[Дата регистрации клиентов]]</f>
        <v>424</v>
      </c>
      <c r="P173" t="str">
        <f>VLOOKUP(Продажи[[#This Row],[id клиента]],Таблица4[#All],7,FALSE)</f>
        <v>Россия</v>
      </c>
    </row>
    <row r="174" spans="1:16" x14ac:dyDescent="0.25">
      <c r="A174">
        <v>173</v>
      </c>
      <c r="B174">
        <v>406</v>
      </c>
      <c r="C174">
        <v>426</v>
      </c>
      <c r="D174">
        <v>1</v>
      </c>
      <c r="E174">
        <v>426</v>
      </c>
      <c r="F174" s="23">
        <v>45289</v>
      </c>
      <c r="G174" t="s">
        <v>12</v>
      </c>
      <c r="H174">
        <v>395</v>
      </c>
      <c r="I174" t="str">
        <f>VLOOKUP(Продажи[[#This Row],[id товара]],Товары[#All],2,FALSE)</f>
        <v>Сок</v>
      </c>
      <c r="J174" s="19">
        <f>AVERAGEIF(Продажи[Категория товара],Продажи[[#This Row],[Категория товара]],Продажи[цена за шт в рублях])</f>
        <v>268.60344827586209</v>
      </c>
      <c r="K174" s="20">
        <f>Продажи[[#This Row],[цена за шт в рублях]]/Продажи[[#This Row],[Средняя цена в категории за шт]]-1</f>
        <v>0.58598112844213346</v>
      </c>
      <c r="L174" t="str">
        <f>VLOOKUP(Продажи[[#This Row],[id товара]],Товары[#All],3,FALSE)</f>
        <v>Фруктовый сад</v>
      </c>
      <c r="M1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174" s="23">
        <f>VLOOKUP(Продажи[[#This Row],[id клиента]],Таблица4[#All],5,FALSE)</f>
        <v>44890</v>
      </c>
      <c r="O174">
        <f>Продажи[[#This Row],[дата создания чека]]-Продажи[[#This Row],[Дата регистрации клиентов]]</f>
        <v>399</v>
      </c>
      <c r="P174" t="str">
        <f>VLOOKUP(Продажи[[#This Row],[id клиента]],Таблица4[#All],7,FALSE)</f>
        <v>Узбекистан</v>
      </c>
    </row>
    <row r="175" spans="1:16" x14ac:dyDescent="0.25">
      <c r="A175">
        <v>174</v>
      </c>
      <c r="B175">
        <v>391</v>
      </c>
      <c r="C175">
        <v>356</v>
      </c>
      <c r="D175">
        <v>2</v>
      </c>
      <c r="E175">
        <v>712</v>
      </c>
      <c r="F175" s="23">
        <v>45175</v>
      </c>
      <c r="G175" t="s">
        <v>12</v>
      </c>
      <c r="H175">
        <v>46</v>
      </c>
      <c r="I175" t="str">
        <f>VLOOKUP(Продажи[[#This Row],[id товара]],Товары[#All],2,FALSE)</f>
        <v>Рыба</v>
      </c>
      <c r="J175" s="19">
        <f>AVERAGEIF(Продажи[Категория товара],Продажи[[#This Row],[Категория товара]],Продажи[цена за шт в рублях])</f>
        <v>258.5128205128205</v>
      </c>
      <c r="K175" s="20">
        <f>Продажи[[#This Row],[цена за шт в рублях]]/Продажи[[#This Row],[Средняя цена в категории за шт]]-1</f>
        <v>0.37710771672287247</v>
      </c>
      <c r="L175" t="str">
        <f>VLOOKUP(Продажи[[#This Row],[id товара]],Товары[#All],3,FALSE)</f>
        <v>Балтийский берег</v>
      </c>
      <c r="M1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175" s="23">
        <f>VLOOKUP(Продажи[[#This Row],[id клиента]],Таблица4[#All],5,FALSE)</f>
        <v>44636</v>
      </c>
      <c r="O175">
        <f>Продажи[[#This Row],[дата создания чека]]-Продажи[[#This Row],[Дата регистрации клиентов]]</f>
        <v>539</v>
      </c>
      <c r="P175" t="str">
        <f>VLOOKUP(Продажи[[#This Row],[id клиента]],Таблица4[#All],7,FALSE)</f>
        <v>Таджикистан</v>
      </c>
    </row>
    <row r="176" spans="1:16" x14ac:dyDescent="0.25">
      <c r="A176">
        <v>175</v>
      </c>
      <c r="B176">
        <v>82</v>
      </c>
      <c r="C176">
        <v>233</v>
      </c>
      <c r="D176">
        <v>2</v>
      </c>
      <c r="E176">
        <v>466</v>
      </c>
      <c r="F176" s="23">
        <v>45369</v>
      </c>
      <c r="G176" t="s">
        <v>24</v>
      </c>
      <c r="H176">
        <v>361</v>
      </c>
      <c r="I176" t="str">
        <f>VLOOKUP(Продажи[[#This Row],[id товара]],Товары[#All],2,FALSE)</f>
        <v>Сыр</v>
      </c>
      <c r="J176" s="19">
        <f>AVERAGEIF(Продажи[Категория товара],Продажи[[#This Row],[Категория товара]],Продажи[цена за шт в рублях])</f>
        <v>262.63492063492066</v>
      </c>
      <c r="K176" s="20">
        <f>Продажи[[#This Row],[цена за шт в рублях]]/Продажи[[#This Row],[Средняя цена в категории за шт]]-1</f>
        <v>-0.11283693944155693</v>
      </c>
      <c r="L176" t="str">
        <f>VLOOKUP(Продажи[[#This Row],[id товара]],Товары[#All],3,FALSE)</f>
        <v>Hochland</v>
      </c>
      <c r="M1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168</v>
      </c>
      <c r="N176" s="23">
        <f>VLOOKUP(Продажи[[#This Row],[id клиента]],Таблица4[#All],5,FALSE)</f>
        <v>44831</v>
      </c>
      <c r="O176">
        <f>Продажи[[#This Row],[дата создания чека]]-Продажи[[#This Row],[Дата регистрации клиентов]]</f>
        <v>538</v>
      </c>
      <c r="P176" t="str">
        <f>VLOOKUP(Продажи[[#This Row],[id клиента]],Таблица4[#All],7,FALSE)</f>
        <v>Узбекистан</v>
      </c>
    </row>
    <row r="177" spans="1:16" x14ac:dyDescent="0.25">
      <c r="A177">
        <v>176</v>
      </c>
      <c r="B177">
        <v>243</v>
      </c>
      <c r="C177">
        <v>494</v>
      </c>
      <c r="D177">
        <v>5</v>
      </c>
      <c r="E177">
        <v>2470</v>
      </c>
      <c r="F177" s="23">
        <v>45353</v>
      </c>
      <c r="G177" t="s">
        <v>27</v>
      </c>
      <c r="H177">
        <v>358</v>
      </c>
      <c r="I177" t="str">
        <f>VLOOKUP(Продажи[[#This Row],[id товара]],Товары[#All],2,FALSE)</f>
        <v>Рис</v>
      </c>
      <c r="J177" s="19">
        <f>AVERAGEIF(Продажи[Категория товара],Продажи[[#This Row],[Категория товара]],Продажи[цена за шт в рублях])</f>
        <v>258.375</v>
      </c>
      <c r="K177" s="20">
        <f>Продажи[[#This Row],[цена за шт в рублях]]/Продажи[[#This Row],[Средняя цена в категории за шт]]-1</f>
        <v>0.91194968553459121</v>
      </c>
      <c r="L177" t="str">
        <f>VLOOKUP(Продажи[[#This Row],[id товара]],Товары[#All],3,FALSE)</f>
        <v>Белый Злат</v>
      </c>
      <c r="M1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177" s="23">
        <f>VLOOKUP(Продажи[[#This Row],[id клиента]],Таблица4[#All],5,FALSE)</f>
        <v>44771</v>
      </c>
      <c r="O177">
        <f>Продажи[[#This Row],[дата создания чека]]-Продажи[[#This Row],[Дата регистрации клиентов]]</f>
        <v>582</v>
      </c>
      <c r="P177" t="str">
        <f>VLOOKUP(Продажи[[#This Row],[id клиента]],Таблица4[#All],7,FALSE)</f>
        <v>Украина</v>
      </c>
    </row>
    <row r="178" spans="1:16" x14ac:dyDescent="0.25">
      <c r="A178">
        <v>177</v>
      </c>
      <c r="B178">
        <v>432</v>
      </c>
      <c r="C178">
        <v>305</v>
      </c>
      <c r="D178">
        <v>3</v>
      </c>
      <c r="E178">
        <v>915</v>
      </c>
      <c r="F178" s="23">
        <v>45413</v>
      </c>
      <c r="G178" t="s">
        <v>22</v>
      </c>
      <c r="H178">
        <v>44</v>
      </c>
      <c r="I178" t="str">
        <f>VLOOKUP(Продажи[[#This Row],[id товара]],Товары[#All],2,FALSE)</f>
        <v>Макароны</v>
      </c>
      <c r="J178" s="19">
        <f>AVERAGEIF(Продажи[Категория товара],Продажи[[#This Row],[Категория товара]],Продажи[цена за шт в рублях])</f>
        <v>265.47674418604652</v>
      </c>
      <c r="K178" s="20">
        <f>Продажи[[#This Row],[цена за шт в рублях]]/Продажи[[#This Row],[Средняя цена в категории за шт]]-1</f>
        <v>0.14887652752836056</v>
      </c>
      <c r="L178" t="str">
        <f>VLOOKUP(Продажи[[#This Row],[id товара]],Товары[#All],3,FALSE)</f>
        <v>Борилла</v>
      </c>
      <c r="M1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178" s="23">
        <f>VLOOKUP(Продажи[[#This Row],[id клиента]],Таблица4[#All],5,FALSE)</f>
        <v>44701</v>
      </c>
      <c r="O178">
        <f>Продажи[[#This Row],[дата создания чека]]-Продажи[[#This Row],[Дата регистрации клиентов]]</f>
        <v>712</v>
      </c>
      <c r="P178" t="str">
        <f>VLOOKUP(Продажи[[#This Row],[id клиента]],Таблица4[#All],7,FALSE)</f>
        <v>Беларусь</v>
      </c>
    </row>
    <row r="179" spans="1:16" x14ac:dyDescent="0.25">
      <c r="A179">
        <v>178</v>
      </c>
      <c r="B179">
        <v>159</v>
      </c>
      <c r="C179">
        <v>173</v>
      </c>
      <c r="D179">
        <v>4</v>
      </c>
      <c r="E179">
        <v>692</v>
      </c>
      <c r="F179" s="23">
        <v>45175</v>
      </c>
      <c r="G179" t="s">
        <v>10</v>
      </c>
      <c r="H179">
        <v>416</v>
      </c>
      <c r="I179" t="str">
        <f>VLOOKUP(Продажи[[#This Row],[id товара]],Товары[#All],2,FALSE)</f>
        <v>Крупа</v>
      </c>
      <c r="J179" s="19">
        <f>AVERAGEIF(Продажи[Категория товара],Продажи[[#This Row],[Категория товара]],Продажи[цена за шт в рублях])</f>
        <v>255.11627906976744</v>
      </c>
      <c r="K179" s="20">
        <f>Продажи[[#This Row],[цена за шт в рублях]]/Продажи[[#This Row],[Средняя цена в категории за шт]]-1</f>
        <v>-0.32187784867821334</v>
      </c>
      <c r="L179" t="str">
        <f>VLOOKUP(Продажи[[#This Row],[id товара]],Товары[#All],3,FALSE)</f>
        <v>Националь</v>
      </c>
      <c r="M1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179" s="23">
        <f>VLOOKUP(Продажи[[#This Row],[id клиента]],Таблица4[#All],5,FALSE)</f>
        <v>44703</v>
      </c>
      <c r="O179">
        <f>Продажи[[#This Row],[дата создания чека]]-Продажи[[#This Row],[Дата регистрации клиентов]]</f>
        <v>472</v>
      </c>
      <c r="P179" t="str">
        <f>VLOOKUP(Продажи[[#This Row],[id клиента]],Таблица4[#All],7,FALSE)</f>
        <v>Таджикистан</v>
      </c>
    </row>
    <row r="180" spans="1:16" x14ac:dyDescent="0.25">
      <c r="A180">
        <v>179</v>
      </c>
      <c r="B180">
        <v>197</v>
      </c>
      <c r="C180">
        <v>177</v>
      </c>
      <c r="D180">
        <v>2</v>
      </c>
      <c r="E180">
        <v>354</v>
      </c>
      <c r="F180" s="23">
        <v>45165</v>
      </c>
      <c r="G180" t="s">
        <v>23</v>
      </c>
      <c r="H180">
        <v>153</v>
      </c>
      <c r="I180" t="str">
        <f>VLOOKUP(Продажи[[#This Row],[id товара]],Товары[#All],2,FALSE)</f>
        <v>Печенье</v>
      </c>
      <c r="J180" s="19">
        <f>AVERAGEIF(Продажи[Категория товара],Продажи[[#This Row],[Категория товара]],Продажи[цена за шт в рублях])</f>
        <v>283.468085106383</v>
      </c>
      <c r="K180" s="20">
        <f>Продажи[[#This Row],[цена за шт в рублях]]/Продажи[[#This Row],[Средняя цена в категории за шт]]-1</f>
        <v>-0.37559108308939437</v>
      </c>
      <c r="L180" t="str">
        <f>VLOOKUP(Продажи[[#This Row],[id товара]],Товары[#All],3,FALSE)</f>
        <v>Юбилейное</v>
      </c>
      <c r="M1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180" s="23">
        <f>VLOOKUP(Продажи[[#This Row],[id клиента]],Таблица4[#All],5,FALSE)</f>
        <v>44802</v>
      </c>
      <c r="O180">
        <f>Продажи[[#This Row],[дата создания чека]]-Продажи[[#This Row],[Дата регистрации клиентов]]</f>
        <v>363</v>
      </c>
      <c r="P180" t="str">
        <f>VLOOKUP(Продажи[[#This Row],[id клиента]],Таблица4[#All],7,FALSE)</f>
        <v>Россия</v>
      </c>
    </row>
    <row r="181" spans="1:16" x14ac:dyDescent="0.25">
      <c r="A181">
        <v>180</v>
      </c>
      <c r="B181">
        <v>110</v>
      </c>
      <c r="C181">
        <v>261</v>
      </c>
      <c r="D181">
        <v>1</v>
      </c>
      <c r="E181">
        <v>261</v>
      </c>
      <c r="F181" s="23">
        <v>45325</v>
      </c>
      <c r="G181" t="s">
        <v>21</v>
      </c>
      <c r="H181">
        <v>223</v>
      </c>
      <c r="I181" t="str">
        <f>VLOOKUP(Продажи[[#This Row],[id товара]],Товары[#All],2,FALSE)</f>
        <v>Макароны</v>
      </c>
      <c r="J181" s="19">
        <f>AVERAGEIF(Продажи[Категория товара],Продажи[[#This Row],[Категория товара]],Продажи[цена за шт в рублях])</f>
        <v>265.47674418604652</v>
      </c>
      <c r="K181" s="20">
        <f>Продажи[[#This Row],[цена за шт в рублях]]/Продажи[[#This Row],[Средняя цена в категории за шт]]-1</f>
        <v>-1.6863037098681644E-2</v>
      </c>
      <c r="L181" t="str">
        <f>VLOOKUP(Продажи[[#This Row],[id товара]],Товары[#All],3,FALSE)</f>
        <v>Паста Зара</v>
      </c>
      <c r="M1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181" s="23">
        <f>VLOOKUP(Продажи[[#This Row],[id клиента]],Таблица4[#All],5,FALSE)</f>
        <v>44893</v>
      </c>
      <c r="O181">
        <f>Продажи[[#This Row],[дата создания чека]]-Продажи[[#This Row],[Дата регистрации клиентов]]</f>
        <v>432</v>
      </c>
      <c r="P181" t="str">
        <f>VLOOKUP(Продажи[[#This Row],[id клиента]],Таблица4[#All],7,FALSE)</f>
        <v>Украина</v>
      </c>
    </row>
    <row r="182" spans="1:16" x14ac:dyDescent="0.25">
      <c r="A182">
        <v>181</v>
      </c>
      <c r="B182">
        <v>288</v>
      </c>
      <c r="C182">
        <v>198</v>
      </c>
      <c r="D182">
        <v>5</v>
      </c>
      <c r="E182">
        <v>990</v>
      </c>
      <c r="F182" s="23">
        <v>45212</v>
      </c>
      <c r="G182" t="s">
        <v>26</v>
      </c>
      <c r="H182">
        <v>74</v>
      </c>
      <c r="I182" t="str">
        <f>VLOOKUP(Продажи[[#This Row],[id товара]],Товары[#All],2,FALSE)</f>
        <v>Сыр</v>
      </c>
      <c r="J182" s="19">
        <f>AVERAGEIF(Продажи[Категория товара],Продажи[[#This Row],[Категория товара]],Продажи[цена за шт в рублях])</f>
        <v>262.63492063492066</v>
      </c>
      <c r="K182" s="20">
        <f>Продажи[[#This Row],[цена за шт в рублях]]/Продажи[[#This Row],[Средняя цена в категории за шт]]-1</f>
        <v>-0.24610177686449908</v>
      </c>
      <c r="L182" t="str">
        <f>VLOOKUP(Продажи[[#This Row],[id товара]],Товары[#All],3,FALSE)</f>
        <v>Hochland</v>
      </c>
      <c r="M1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168</v>
      </c>
      <c r="N182" s="23">
        <f>VLOOKUP(Продажи[[#This Row],[id клиента]],Таблица4[#All],5,FALSE)</f>
        <v>44857</v>
      </c>
      <c r="O182">
        <f>Продажи[[#This Row],[дата создания чека]]-Продажи[[#This Row],[Дата регистрации клиентов]]</f>
        <v>355</v>
      </c>
      <c r="P182" t="str">
        <f>VLOOKUP(Продажи[[#This Row],[id клиента]],Таблица4[#All],7,FALSE)</f>
        <v>Россия</v>
      </c>
    </row>
    <row r="183" spans="1:16" x14ac:dyDescent="0.25">
      <c r="A183">
        <v>182</v>
      </c>
      <c r="B183">
        <v>7</v>
      </c>
      <c r="C183">
        <v>114</v>
      </c>
      <c r="D183">
        <v>3</v>
      </c>
      <c r="E183">
        <v>342</v>
      </c>
      <c r="F183" s="23">
        <v>45244</v>
      </c>
      <c r="G183" t="s">
        <v>22</v>
      </c>
      <c r="H183">
        <v>180</v>
      </c>
      <c r="I183" t="str">
        <f>VLOOKUP(Продажи[[#This Row],[id товара]],Товары[#All],2,FALSE)</f>
        <v>Сыр</v>
      </c>
      <c r="J183" s="19">
        <f>AVERAGEIF(Продажи[Категория товара],Продажи[[#This Row],[Категория товара]],Продажи[цена за шт в рублях])</f>
        <v>262.63492063492066</v>
      </c>
      <c r="K183" s="20">
        <f>Продажи[[#This Row],[цена за шт в рублях]]/Продажи[[#This Row],[Средняя цена в категории за шт]]-1</f>
        <v>-0.56593738667956006</v>
      </c>
      <c r="L183" t="str">
        <f>VLOOKUP(Продажи[[#This Row],[id товара]],Товары[#All],3,FALSE)</f>
        <v>President</v>
      </c>
      <c r="M1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183" s="23">
        <f>VLOOKUP(Продажи[[#This Row],[id клиента]],Таблица4[#All],5,FALSE)</f>
        <v>44616</v>
      </c>
      <c r="O183">
        <f>Продажи[[#This Row],[дата создания чека]]-Продажи[[#This Row],[Дата регистрации клиентов]]</f>
        <v>628</v>
      </c>
      <c r="P183" t="str">
        <f>VLOOKUP(Продажи[[#This Row],[id клиента]],Таблица4[#All],7,FALSE)</f>
        <v>Беларусь</v>
      </c>
    </row>
    <row r="184" spans="1:16" x14ac:dyDescent="0.25">
      <c r="A184">
        <v>183</v>
      </c>
      <c r="B184">
        <v>385</v>
      </c>
      <c r="C184">
        <v>427</v>
      </c>
      <c r="D184">
        <v>3</v>
      </c>
      <c r="E184">
        <v>1281</v>
      </c>
      <c r="F184" s="23">
        <v>44942</v>
      </c>
      <c r="G184" t="s">
        <v>27</v>
      </c>
      <c r="H184">
        <v>359</v>
      </c>
      <c r="I184" t="str">
        <f>VLOOKUP(Продажи[[#This Row],[id товара]],Товары[#All],2,FALSE)</f>
        <v>Макароны</v>
      </c>
      <c r="J184" s="19">
        <f>AVERAGEIF(Продажи[Категория товара],Продажи[[#This Row],[Категория товара]],Продажи[цена за шт в рублях])</f>
        <v>265.47674418604652</v>
      </c>
      <c r="K184" s="20">
        <f>Продажи[[#This Row],[цена за шт в рублях]]/Продажи[[#This Row],[Средняя цена в категории за шт]]-1</f>
        <v>0.60842713853970465</v>
      </c>
      <c r="L184" t="str">
        <f>VLOOKUP(Продажи[[#This Row],[id товара]],Товары[#All],3,FALSE)</f>
        <v>Макфа</v>
      </c>
      <c r="M1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184" s="23">
        <f>VLOOKUP(Продажи[[#This Row],[id клиента]],Таблица4[#All],5,FALSE)</f>
        <v>44584</v>
      </c>
      <c r="O184">
        <f>Продажи[[#This Row],[дата создания чека]]-Продажи[[#This Row],[Дата регистрации клиентов]]</f>
        <v>358</v>
      </c>
      <c r="P184" t="str">
        <f>VLOOKUP(Продажи[[#This Row],[id клиента]],Таблица4[#All],7,FALSE)</f>
        <v>Россия</v>
      </c>
    </row>
    <row r="185" spans="1:16" x14ac:dyDescent="0.25">
      <c r="A185">
        <v>184</v>
      </c>
      <c r="B185">
        <v>493</v>
      </c>
      <c r="C185">
        <v>376</v>
      </c>
      <c r="D185">
        <v>1</v>
      </c>
      <c r="E185">
        <v>376</v>
      </c>
      <c r="F185" s="23">
        <v>45253</v>
      </c>
      <c r="G185" t="s">
        <v>8</v>
      </c>
      <c r="H185">
        <v>134</v>
      </c>
      <c r="I185" t="str">
        <f>VLOOKUP(Продажи[[#This Row],[id товара]],Товары[#All],2,FALSE)</f>
        <v>Овощи</v>
      </c>
      <c r="J185" s="19">
        <f>AVERAGEIF(Продажи[Категория товара],Продажи[[#This Row],[Категория товара]],Продажи[цена за шт в рублях])</f>
        <v>250.48780487804879</v>
      </c>
      <c r="K185" s="20">
        <f>Продажи[[#This Row],[цена за шт в рублях]]/Продажи[[#This Row],[Средняя цена в категории за шт]]-1</f>
        <v>0.50107108081791618</v>
      </c>
      <c r="L185" t="str">
        <f>VLOOKUP(Продажи[[#This Row],[id товара]],Товары[#All],3,FALSE)</f>
        <v>Овощной ряд</v>
      </c>
      <c r="M1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185" s="23">
        <f>VLOOKUP(Продажи[[#This Row],[id клиента]],Таблица4[#All],5,FALSE)</f>
        <v>44753</v>
      </c>
      <c r="O185">
        <f>Продажи[[#This Row],[дата создания чека]]-Продажи[[#This Row],[Дата регистрации клиентов]]</f>
        <v>500</v>
      </c>
      <c r="P185" t="str">
        <f>VLOOKUP(Продажи[[#This Row],[id клиента]],Таблица4[#All],7,FALSE)</f>
        <v>Россия</v>
      </c>
    </row>
    <row r="186" spans="1:16" x14ac:dyDescent="0.25">
      <c r="A186">
        <v>185</v>
      </c>
      <c r="B186">
        <v>158</v>
      </c>
      <c r="C186">
        <v>51</v>
      </c>
      <c r="D186">
        <v>2</v>
      </c>
      <c r="E186">
        <v>102</v>
      </c>
      <c r="F186" s="23">
        <v>45325</v>
      </c>
      <c r="G186" t="s">
        <v>11</v>
      </c>
      <c r="H186">
        <v>159</v>
      </c>
      <c r="I186" t="str">
        <f>VLOOKUP(Продажи[[#This Row],[id товара]],Товары[#All],2,FALSE)</f>
        <v>Сахар</v>
      </c>
      <c r="J186" s="19">
        <f>AVERAGEIF(Продажи[Категория товара],Продажи[[#This Row],[Категория товара]],Продажи[цена за шт в рублях])</f>
        <v>252.76271186440678</v>
      </c>
      <c r="K186" s="20">
        <f>Продажи[[#This Row],[цена за шт в рублях]]/Продажи[[#This Row],[Средняя цена в категории за шт]]-1</f>
        <v>-0.7982297324481995</v>
      </c>
      <c r="L186" t="str">
        <f>VLOOKUP(Продажи[[#This Row],[id товара]],Товары[#All],3,FALSE)</f>
        <v>Сладов</v>
      </c>
      <c r="M1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186" s="23">
        <f>VLOOKUP(Продажи[[#This Row],[id клиента]],Таблица4[#All],5,FALSE)</f>
        <v>44686</v>
      </c>
      <c r="O186">
        <f>Продажи[[#This Row],[дата создания чека]]-Продажи[[#This Row],[Дата регистрации клиентов]]</f>
        <v>639</v>
      </c>
      <c r="P186" t="str">
        <f>VLOOKUP(Продажи[[#This Row],[id клиента]],Таблица4[#All],7,FALSE)</f>
        <v>Узбекистан</v>
      </c>
    </row>
    <row r="187" spans="1:16" x14ac:dyDescent="0.25">
      <c r="A187">
        <v>186</v>
      </c>
      <c r="B187">
        <v>446</v>
      </c>
      <c r="C187">
        <v>316</v>
      </c>
      <c r="D187">
        <v>2</v>
      </c>
      <c r="E187">
        <v>632</v>
      </c>
      <c r="F187" s="23">
        <v>45029</v>
      </c>
      <c r="G187" t="s">
        <v>16</v>
      </c>
      <c r="H187">
        <v>328</v>
      </c>
      <c r="I187" t="str">
        <f>VLOOKUP(Продажи[[#This Row],[id товара]],Товары[#All],2,FALSE)</f>
        <v>Чипсы</v>
      </c>
      <c r="J187" s="19">
        <f>AVERAGEIF(Продажи[Категория товара],Продажи[[#This Row],[Категория товара]],Продажи[цена за шт в рублях])</f>
        <v>273.72549019607845</v>
      </c>
      <c r="K187" s="20">
        <f>Продажи[[#This Row],[цена за шт в рублях]]/Продажи[[#This Row],[Средняя цена в категории за шт]]-1</f>
        <v>0.15444126074498565</v>
      </c>
      <c r="L187" t="str">
        <f>VLOOKUP(Продажи[[#This Row],[id товара]],Товары[#All],3,FALSE)</f>
        <v>Lay's</v>
      </c>
      <c r="M1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187" s="23">
        <f>VLOOKUP(Продажи[[#This Row],[id клиента]],Таблица4[#All],5,FALSE)</f>
        <v>44568</v>
      </c>
      <c r="O187">
        <f>Продажи[[#This Row],[дата создания чека]]-Продажи[[#This Row],[Дата регистрации клиентов]]</f>
        <v>461</v>
      </c>
      <c r="P187" t="str">
        <f>VLOOKUP(Продажи[[#This Row],[id клиента]],Таблица4[#All],7,FALSE)</f>
        <v>Россия</v>
      </c>
    </row>
    <row r="188" spans="1:16" x14ac:dyDescent="0.25">
      <c r="A188">
        <v>187</v>
      </c>
      <c r="B188">
        <v>428</v>
      </c>
      <c r="C188">
        <v>156</v>
      </c>
      <c r="D188">
        <v>1</v>
      </c>
      <c r="E188">
        <v>156</v>
      </c>
      <c r="F188" s="23">
        <v>45421</v>
      </c>
      <c r="G188" t="s">
        <v>16</v>
      </c>
      <c r="H188">
        <v>325</v>
      </c>
      <c r="I188" t="str">
        <f>VLOOKUP(Продажи[[#This Row],[id товара]],Товары[#All],2,FALSE)</f>
        <v>Конфеты</v>
      </c>
      <c r="J188" s="19">
        <f>AVERAGEIF(Продажи[Категория товара],Продажи[[#This Row],[Категория товара]],Продажи[цена за шт в рублях])</f>
        <v>267.85483870967744</v>
      </c>
      <c r="K188" s="20">
        <f>Продажи[[#This Row],[цена за шт в рублях]]/Продажи[[#This Row],[Средняя цена в категории за шт]]-1</f>
        <v>-0.41759499006443068</v>
      </c>
      <c r="L188" t="str">
        <f>VLOOKUP(Продажи[[#This Row],[id товара]],Товары[#All],3,FALSE)</f>
        <v>Бабаевский</v>
      </c>
      <c r="M1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188" s="23">
        <f>VLOOKUP(Продажи[[#This Row],[id клиента]],Таблица4[#All],5,FALSE)</f>
        <v>44875</v>
      </c>
      <c r="O188">
        <f>Продажи[[#This Row],[дата создания чека]]-Продажи[[#This Row],[Дата регистрации клиентов]]</f>
        <v>546</v>
      </c>
      <c r="P188" t="str">
        <f>VLOOKUP(Продажи[[#This Row],[id клиента]],Таблица4[#All],7,FALSE)</f>
        <v>Таджикистан</v>
      </c>
    </row>
    <row r="189" spans="1:16" x14ac:dyDescent="0.25">
      <c r="A189">
        <v>188</v>
      </c>
      <c r="B189">
        <v>192</v>
      </c>
      <c r="C189">
        <v>215</v>
      </c>
      <c r="D189">
        <v>1</v>
      </c>
      <c r="E189">
        <v>215</v>
      </c>
      <c r="F189" s="23">
        <v>45411</v>
      </c>
      <c r="G189" t="s">
        <v>26</v>
      </c>
      <c r="H189">
        <v>106</v>
      </c>
      <c r="I189" t="str">
        <f>VLOOKUP(Продажи[[#This Row],[id товара]],Товары[#All],2,FALSE)</f>
        <v>Мясо</v>
      </c>
      <c r="J189" s="19">
        <f>AVERAGEIF(Продажи[Категория товара],Продажи[[#This Row],[Категория товара]],Продажи[цена за шт в рублях])</f>
        <v>271.74545454545455</v>
      </c>
      <c r="K189" s="20">
        <f>Продажи[[#This Row],[цена за шт в рублях]]/Продажи[[#This Row],[Средняя цена в категории за шт]]-1</f>
        <v>-0.2088184129532985</v>
      </c>
      <c r="L189" t="str">
        <f>VLOOKUP(Продажи[[#This Row],[id товара]],Товары[#All],3,FALSE)</f>
        <v>Снежана</v>
      </c>
      <c r="M1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189" s="23">
        <f>VLOOKUP(Продажи[[#This Row],[id клиента]],Таблица4[#All],5,FALSE)</f>
        <v>44858</v>
      </c>
      <c r="O189">
        <f>Продажи[[#This Row],[дата создания чека]]-Продажи[[#This Row],[Дата регистрации клиентов]]</f>
        <v>553</v>
      </c>
      <c r="P189" t="str">
        <f>VLOOKUP(Продажи[[#This Row],[id клиента]],Таблица4[#All],7,FALSE)</f>
        <v>Украина</v>
      </c>
    </row>
    <row r="190" spans="1:16" x14ac:dyDescent="0.25">
      <c r="A190">
        <v>189</v>
      </c>
      <c r="B190">
        <v>41</v>
      </c>
      <c r="C190">
        <v>59</v>
      </c>
      <c r="D190">
        <v>1</v>
      </c>
      <c r="E190">
        <v>59</v>
      </c>
      <c r="F190" s="23">
        <v>45000</v>
      </c>
      <c r="G190" t="s">
        <v>9</v>
      </c>
      <c r="H190">
        <v>65</v>
      </c>
      <c r="I190" t="str">
        <f>VLOOKUP(Продажи[[#This Row],[id товара]],Товары[#All],2,FALSE)</f>
        <v>Рис</v>
      </c>
      <c r="J190" s="19">
        <f>AVERAGEIF(Продажи[Категория товара],Продажи[[#This Row],[Категория товара]],Продажи[цена за шт в рублях])</f>
        <v>258.375</v>
      </c>
      <c r="K190" s="20">
        <f>Продажи[[#This Row],[цена за шт в рублях]]/Продажи[[#This Row],[Средняя цена в категории за шт]]-1</f>
        <v>-0.77164973391388481</v>
      </c>
      <c r="L190" t="str">
        <f>VLOOKUP(Продажи[[#This Row],[id товара]],Товары[#All],3,FALSE)</f>
        <v>Агро-Альянс</v>
      </c>
      <c r="M1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190" s="23">
        <f>VLOOKUP(Продажи[[#This Row],[id клиента]],Таблица4[#All],5,FALSE)</f>
        <v>44623</v>
      </c>
      <c r="O190">
        <f>Продажи[[#This Row],[дата создания чека]]-Продажи[[#This Row],[Дата регистрации клиентов]]</f>
        <v>377</v>
      </c>
      <c r="P190" t="str">
        <f>VLOOKUP(Продажи[[#This Row],[id клиента]],Таблица4[#All],7,FALSE)</f>
        <v>Украина</v>
      </c>
    </row>
    <row r="191" spans="1:16" x14ac:dyDescent="0.25">
      <c r="A191">
        <v>190</v>
      </c>
      <c r="B191">
        <v>69</v>
      </c>
      <c r="C191">
        <v>88</v>
      </c>
      <c r="D191">
        <v>4</v>
      </c>
      <c r="E191">
        <v>352</v>
      </c>
      <c r="F191" s="23">
        <v>45309</v>
      </c>
      <c r="G191" t="s">
        <v>12</v>
      </c>
      <c r="H191">
        <v>346</v>
      </c>
      <c r="I191" t="str">
        <f>VLOOKUP(Продажи[[#This Row],[id товара]],Товары[#All],2,FALSE)</f>
        <v>Чипсы</v>
      </c>
      <c r="J191" s="19">
        <f>AVERAGEIF(Продажи[Категория товара],Продажи[[#This Row],[Категория товара]],Продажи[цена за шт в рублях])</f>
        <v>273.72549019607845</v>
      </c>
      <c r="K191" s="20">
        <f>Продажи[[#This Row],[цена за шт в рублях]]/Продажи[[#This Row],[Средняя цена в категории за шт]]-1</f>
        <v>-0.67851002865329513</v>
      </c>
      <c r="L191" t="str">
        <f>VLOOKUP(Продажи[[#This Row],[id товара]],Товары[#All],3,FALSE)</f>
        <v>Estrella</v>
      </c>
      <c r="M1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191" s="23">
        <f>VLOOKUP(Продажи[[#This Row],[id клиента]],Таблица4[#All],5,FALSE)</f>
        <v>44636</v>
      </c>
      <c r="O191">
        <f>Продажи[[#This Row],[дата создания чека]]-Продажи[[#This Row],[Дата регистрации клиентов]]</f>
        <v>673</v>
      </c>
      <c r="P191" t="str">
        <f>VLOOKUP(Продажи[[#This Row],[id клиента]],Таблица4[#All],7,FALSE)</f>
        <v>Россия</v>
      </c>
    </row>
    <row r="192" spans="1:16" x14ac:dyDescent="0.25">
      <c r="A192">
        <v>191</v>
      </c>
      <c r="B192">
        <v>270</v>
      </c>
      <c r="C192">
        <v>484</v>
      </c>
      <c r="D192">
        <v>4</v>
      </c>
      <c r="E192">
        <v>1936</v>
      </c>
      <c r="F192" s="23">
        <v>45084</v>
      </c>
      <c r="G192" t="s">
        <v>8</v>
      </c>
      <c r="H192">
        <v>457</v>
      </c>
      <c r="I192" t="str">
        <f>VLOOKUP(Продажи[[#This Row],[id товара]],Товары[#All],2,FALSE)</f>
        <v>Соль</v>
      </c>
      <c r="J192" s="19">
        <f>AVERAGEIF(Продажи[Категория товара],Продажи[[#This Row],[Категория товара]],Продажи[цена за шт в рублях])</f>
        <v>264.8679245283019</v>
      </c>
      <c r="K192" s="20">
        <f>Продажи[[#This Row],[цена за шт в рублях]]/Продажи[[#This Row],[Средняя цена в категории за шт]]-1</f>
        <v>0.82732582989029768</v>
      </c>
      <c r="L192" t="str">
        <f>VLOOKUP(Продажи[[#This Row],[id товара]],Товары[#All],3,FALSE)</f>
        <v>Славянская</v>
      </c>
      <c r="M1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192" s="23">
        <f>VLOOKUP(Продажи[[#This Row],[id клиента]],Таблица4[#All],5,FALSE)</f>
        <v>44595</v>
      </c>
      <c r="O192">
        <f>Продажи[[#This Row],[дата создания чека]]-Продажи[[#This Row],[Дата регистрации клиентов]]</f>
        <v>489</v>
      </c>
      <c r="P192" t="str">
        <f>VLOOKUP(Продажи[[#This Row],[id клиента]],Таблица4[#All],7,FALSE)</f>
        <v>Таджикистан</v>
      </c>
    </row>
    <row r="193" spans="1:16" x14ac:dyDescent="0.25">
      <c r="A193">
        <v>192</v>
      </c>
      <c r="B193">
        <v>345</v>
      </c>
      <c r="C193">
        <v>257</v>
      </c>
      <c r="D193">
        <v>1</v>
      </c>
      <c r="E193">
        <v>257</v>
      </c>
      <c r="F193" s="23">
        <v>44969</v>
      </c>
      <c r="G193" t="s">
        <v>9</v>
      </c>
      <c r="H193">
        <v>255</v>
      </c>
      <c r="I193" t="str">
        <f>VLOOKUP(Продажи[[#This Row],[id товара]],Товары[#All],2,FALSE)</f>
        <v>Конфеты</v>
      </c>
      <c r="J193" s="19">
        <f>AVERAGEIF(Продажи[Категория товара],Продажи[[#This Row],[Категория товара]],Продажи[цена за шт в рублях])</f>
        <v>267.85483870967744</v>
      </c>
      <c r="K193" s="20">
        <f>Продажи[[#This Row],[цена за шт в рублях]]/Продажи[[#This Row],[Средняя цена в категории за шт]]-1</f>
        <v>-4.0525079785632578E-2</v>
      </c>
      <c r="L193" t="str">
        <f>VLOOKUP(Продажи[[#This Row],[id товара]],Товары[#All],3,FALSE)</f>
        <v>Рот Фронт</v>
      </c>
      <c r="M1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193" s="23">
        <f>VLOOKUP(Продажи[[#This Row],[id клиента]],Таблица4[#All],5,FALSE)</f>
        <v>44793</v>
      </c>
      <c r="O193">
        <f>Продажи[[#This Row],[дата создания чека]]-Продажи[[#This Row],[Дата регистрации клиентов]]</f>
        <v>176</v>
      </c>
      <c r="P193" t="str">
        <f>VLOOKUP(Продажи[[#This Row],[id клиента]],Таблица4[#All],7,FALSE)</f>
        <v>Украина</v>
      </c>
    </row>
    <row r="194" spans="1:16" x14ac:dyDescent="0.25">
      <c r="A194">
        <v>193</v>
      </c>
      <c r="B194">
        <v>348</v>
      </c>
      <c r="C194">
        <v>497</v>
      </c>
      <c r="D194">
        <v>3</v>
      </c>
      <c r="E194">
        <v>1491</v>
      </c>
      <c r="F194" s="23">
        <v>45276</v>
      </c>
      <c r="G194" t="s">
        <v>8</v>
      </c>
      <c r="H194">
        <v>42</v>
      </c>
      <c r="I194" t="str">
        <f>VLOOKUP(Продажи[[#This Row],[id товара]],Товары[#All],2,FALSE)</f>
        <v>Чипсы</v>
      </c>
      <c r="J194" s="19">
        <f>AVERAGEIF(Продажи[Категория товара],Продажи[[#This Row],[Категория товара]],Продажи[цена за шт в рублях])</f>
        <v>273.72549019607845</v>
      </c>
      <c r="K194" s="20">
        <f>Продажи[[#This Row],[цена за шт в рублях]]/Продажи[[#This Row],[Средняя цена в категории за шт]]-1</f>
        <v>0.81568767908309447</v>
      </c>
      <c r="L194" t="str">
        <f>VLOOKUP(Продажи[[#This Row],[id товара]],Товары[#All],3,FALSE)</f>
        <v>Estrella</v>
      </c>
      <c r="M1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194" s="23">
        <f>VLOOKUP(Продажи[[#This Row],[id клиента]],Таблица4[#All],5,FALSE)</f>
        <v>44783</v>
      </c>
      <c r="O194">
        <f>Продажи[[#This Row],[дата создания чека]]-Продажи[[#This Row],[Дата регистрации клиентов]]</f>
        <v>493</v>
      </c>
      <c r="P194" t="str">
        <f>VLOOKUP(Продажи[[#This Row],[id клиента]],Таблица4[#All],7,FALSE)</f>
        <v>Таджикистан</v>
      </c>
    </row>
    <row r="195" spans="1:16" x14ac:dyDescent="0.25">
      <c r="A195">
        <v>194</v>
      </c>
      <c r="B195">
        <v>102</v>
      </c>
      <c r="C195">
        <v>115</v>
      </c>
      <c r="D195">
        <v>2</v>
      </c>
      <c r="E195">
        <v>230</v>
      </c>
      <c r="F195" s="23">
        <v>45380</v>
      </c>
      <c r="G195" t="s">
        <v>16</v>
      </c>
      <c r="H195">
        <v>385</v>
      </c>
      <c r="I195" t="str">
        <f>VLOOKUP(Продажи[[#This Row],[id товара]],Товары[#All],2,FALSE)</f>
        <v>Печенье</v>
      </c>
      <c r="J195" s="19">
        <f>AVERAGEIF(Продажи[Категория товара],Продажи[[#This Row],[Категория товара]],Продажи[цена за шт в рублях])</f>
        <v>283.468085106383</v>
      </c>
      <c r="K195" s="20">
        <f>Продажи[[#This Row],[цена за шт в рублях]]/Продажи[[#This Row],[Средняя цена в категории за шт]]-1</f>
        <v>-0.59431059070779857</v>
      </c>
      <c r="L195" t="str">
        <f>VLOOKUP(Продажи[[#This Row],[id товара]],Товары[#All],3,FALSE)</f>
        <v>Белогорье</v>
      </c>
      <c r="M1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195" s="23">
        <f>VLOOKUP(Продажи[[#This Row],[id клиента]],Таблица4[#All],5,FALSE)</f>
        <v>44753</v>
      </c>
      <c r="O195">
        <f>Продажи[[#This Row],[дата создания чека]]-Продажи[[#This Row],[Дата регистрации клиентов]]</f>
        <v>627</v>
      </c>
      <c r="P195" t="str">
        <f>VLOOKUP(Продажи[[#This Row],[id клиента]],Таблица4[#All],7,FALSE)</f>
        <v>Украина</v>
      </c>
    </row>
    <row r="196" spans="1:16" x14ac:dyDescent="0.25">
      <c r="A196">
        <v>195</v>
      </c>
      <c r="B196">
        <v>321</v>
      </c>
      <c r="C196">
        <v>368</v>
      </c>
      <c r="D196">
        <v>1</v>
      </c>
      <c r="E196">
        <v>368</v>
      </c>
      <c r="F196" s="23">
        <v>45193</v>
      </c>
      <c r="G196" t="s">
        <v>25</v>
      </c>
      <c r="H196">
        <v>436</v>
      </c>
      <c r="I196" t="str">
        <f>VLOOKUP(Продажи[[#This Row],[id товара]],Товары[#All],2,FALSE)</f>
        <v>Мясо</v>
      </c>
      <c r="J196" s="19">
        <f>AVERAGEIF(Продажи[Категория товара],Продажи[[#This Row],[Категория товара]],Продажи[цена за шт в рублях])</f>
        <v>271.74545454545455</v>
      </c>
      <c r="K196" s="20">
        <f>Продажи[[#This Row],[цена за шт в рублях]]/Продажи[[#This Row],[Средняя цена в категории за шт]]-1</f>
        <v>0.35420848387528436</v>
      </c>
      <c r="L196" t="str">
        <f>VLOOKUP(Продажи[[#This Row],[id товара]],Товары[#All],3,FALSE)</f>
        <v>Сава</v>
      </c>
      <c r="M1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196" s="23">
        <f>VLOOKUP(Продажи[[#This Row],[id клиента]],Таблица4[#All],5,FALSE)</f>
        <v>44683</v>
      </c>
      <c r="O196">
        <f>Продажи[[#This Row],[дата создания чека]]-Продажи[[#This Row],[Дата регистрации клиентов]]</f>
        <v>510</v>
      </c>
      <c r="P196" t="str">
        <f>VLOOKUP(Продажи[[#This Row],[id клиента]],Таблица4[#All],7,FALSE)</f>
        <v>Россия</v>
      </c>
    </row>
    <row r="197" spans="1:16" x14ac:dyDescent="0.25">
      <c r="A197">
        <v>196</v>
      </c>
      <c r="B197">
        <v>176</v>
      </c>
      <c r="C197">
        <v>113</v>
      </c>
      <c r="D197">
        <v>4</v>
      </c>
      <c r="E197">
        <v>452</v>
      </c>
      <c r="F197" s="23">
        <v>45335</v>
      </c>
      <c r="G197" t="s">
        <v>22</v>
      </c>
      <c r="H197">
        <v>175</v>
      </c>
      <c r="I197" t="str">
        <f>VLOOKUP(Продажи[[#This Row],[id товара]],Товары[#All],2,FALSE)</f>
        <v>Сахар</v>
      </c>
      <c r="J197" s="19">
        <f>AVERAGEIF(Продажи[Категория товара],Продажи[[#This Row],[Категория товара]],Продажи[цена за шт в рублях])</f>
        <v>252.76271186440678</v>
      </c>
      <c r="K197" s="20">
        <f>Продажи[[#This Row],[цена за шт в рублях]]/Продажи[[#This Row],[Средняя цена в категории за шт]]-1</f>
        <v>-0.55294038758130493</v>
      </c>
      <c r="L197" t="str">
        <f>VLOOKUP(Продажи[[#This Row],[id товара]],Товары[#All],3,FALSE)</f>
        <v>Продимекс</v>
      </c>
      <c r="M1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197" s="23">
        <f>VLOOKUP(Продажи[[#This Row],[id клиента]],Таблица4[#All],5,FALSE)</f>
        <v>44565</v>
      </c>
      <c r="O197">
        <f>Продажи[[#This Row],[дата создания чека]]-Продажи[[#This Row],[Дата регистрации клиентов]]</f>
        <v>770</v>
      </c>
      <c r="P197" t="str">
        <f>VLOOKUP(Продажи[[#This Row],[id клиента]],Таблица4[#All],7,FALSE)</f>
        <v>Россия</v>
      </c>
    </row>
    <row r="198" spans="1:16" x14ac:dyDescent="0.25">
      <c r="A198">
        <v>197</v>
      </c>
      <c r="B198">
        <v>341</v>
      </c>
      <c r="C198">
        <v>194</v>
      </c>
      <c r="D198">
        <v>3</v>
      </c>
      <c r="E198">
        <v>582</v>
      </c>
      <c r="F198" s="23">
        <v>45255</v>
      </c>
      <c r="G198" t="s">
        <v>15</v>
      </c>
      <c r="H198">
        <v>274</v>
      </c>
      <c r="I198" t="str">
        <f>VLOOKUP(Продажи[[#This Row],[id товара]],Товары[#All],2,FALSE)</f>
        <v>Макароны</v>
      </c>
      <c r="J198" s="19">
        <f>AVERAGEIF(Продажи[Категория товара],Продажи[[#This Row],[Категория товара]],Продажи[цена за шт в рублях])</f>
        <v>265.47674418604652</v>
      </c>
      <c r="K198" s="20">
        <f>Продажи[[#This Row],[цена за шт в рублях]]/Продажи[[#This Row],[Средняя цена в категории за шт]]-1</f>
        <v>-0.26923919232622318</v>
      </c>
      <c r="L198" t="str">
        <f>VLOOKUP(Продажи[[#This Row],[id товара]],Товары[#All],3,FALSE)</f>
        <v>Макфа</v>
      </c>
      <c r="M1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198" s="23">
        <f>VLOOKUP(Продажи[[#This Row],[id клиента]],Таблица4[#All],5,FALSE)</f>
        <v>44607</v>
      </c>
      <c r="O198">
        <f>Продажи[[#This Row],[дата создания чека]]-Продажи[[#This Row],[Дата регистрации клиентов]]</f>
        <v>648</v>
      </c>
      <c r="P198" t="str">
        <f>VLOOKUP(Продажи[[#This Row],[id клиента]],Таблица4[#All],7,FALSE)</f>
        <v>Россия</v>
      </c>
    </row>
    <row r="199" spans="1:16" x14ac:dyDescent="0.25">
      <c r="A199">
        <v>198</v>
      </c>
      <c r="B199">
        <v>473</v>
      </c>
      <c r="C199">
        <v>171</v>
      </c>
      <c r="D199">
        <v>4</v>
      </c>
      <c r="E199">
        <v>684</v>
      </c>
      <c r="F199" s="23">
        <v>45058</v>
      </c>
      <c r="G199" t="s">
        <v>27</v>
      </c>
      <c r="H199">
        <v>266</v>
      </c>
      <c r="I199" t="str">
        <f>VLOOKUP(Продажи[[#This Row],[id товара]],Товары[#All],2,FALSE)</f>
        <v>Хлеб</v>
      </c>
      <c r="J199" s="19">
        <f>AVERAGEIF(Продажи[Категория товара],Продажи[[#This Row],[Категория товара]],Продажи[цена за шт в рублях])</f>
        <v>300.31818181818181</v>
      </c>
      <c r="K199" s="20">
        <f>Продажи[[#This Row],[цена за шт в рублях]]/Продажи[[#This Row],[Средняя цена в категории за шт]]-1</f>
        <v>-0.43060390494929623</v>
      </c>
      <c r="L199" t="str">
        <f>VLOOKUP(Продажи[[#This Row],[id товара]],Товары[#All],3,FALSE)</f>
        <v>Хлебный Дом</v>
      </c>
      <c r="M1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199" s="23">
        <f>VLOOKUP(Продажи[[#This Row],[id клиента]],Таблица4[#All],5,FALSE)</f>
        <v>44795</v>
      </c>
      <c r="O199">
        <f>Продажи[[#This Row],[дата создания чека]]-Продажи[[#This Row],[Дата регистрации клиентов]]</f>
        <v>263</v>
      </c>
      <c r="P199" t="str">
        <f>VLOOKUP(Продажи[[#This Row],[id клиента]],Таблица4[#All],7,FALSE)</f>
        <v>Россия</v>
      </c>
    </row>
    <row r="200" spans="1:16" x14ac:dyDescent="0.25">
      <c r="A200">
        <v>199</v>
      </c>
      <c r="B200">
        <v>482</v>
      </c>
      <c r="C200">
        <v>321</v>
      </c>
      <c r="D200">
        <v>2</v>
      </c>
      <c r="E200">
        <v>642</v>
      </c>
      <c r="F200" s="23">
        <v>44942</v>
      </c>
      <c r="G200" t="s">
        <v>10</v>
      </c>
      <c r="H200">
        <v>481</v>
      </c>
      <c r="I200" t="str">
        <f>VLOOKUP(Продажи[[#This Row],[id товара]],Товары[#All],2,FALSE)</f>
        <v>Крупа</v>
      </c>
      <c r="J200" s="19">
        <f>AVERAGEIF(Продажи[Категория товара],Продажи[[#This Row],[Категория товара]],Продажи[цена за шт в рублях])</f>
        <v>255.11627906976744</v>
      </c>
      <c r="K200" s="20">
        <f>Продажи[[#This Row],[цена за шт в рублях]]/Продажи[[#This Row],[Средняя цена в категории за шт]]-1</f>
        <v>0.25824977210574285</v>
      </c>
      <c r="L200" t="str">
        <f>VLOOKUP(Продажи[[#This Row],[id товара]],Товары[#All],3,FALSE)</f>
        <v>Мистраль</v>
      </c>
      <c r="M2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200" s="23">
        <f>VLOOKUP(Продажи[[#This Row],[id клиента]],Таблица4[#All],5,FALSE)</f>
        <v>44756</v>
      </c>
      <c r="O200">
        <f>Продажи[[#This Row],[дата создания чека]]-Продажи[[#This Row],[Дата регистрации клиентов]]</f>
        <v>186</v>
      </c>
      <c r="P200" t="str">
        <f>VLOOKUP(Продажи[[#This Row],[id клиента]],Таблица4[#All],7,FALSE)</f>
        <v>Беларусь</v>
      </c>
    </row>
    <row r="201" spans="1:16" x14ac:dyDescent="0.25">
      <c r="A201">
        <v>200</v>
      </c>
      <c r="B201">
        <v>169</v>
      </c>
      <c r="C201">
        <v>386</v>
      </c>
      <c r="D201">
        <v>5</v>
      </c>
      <c r="E201">
        <v>1930</v>
      </c>
      <c r="F201" s="23">
        <v>44967</v>
      </c>
      <c r="G201" t="s">
        <v>18</v>
      </c>
      <c r="H201">
        <v>59</v>
      </c>
      <c r="I201" t="str">
        <f>VLOOKUP(Продажи[[#This Row],[id товара]],Товары[#All],2,FALSE)</f>
        <v>Фрукты</v>
      </c>
      <c r="J201" s="19">
        <f>AVERAGEIF(Продажи[Категория товара],Продажи[[#This Row],[Категория товара]],Продажи[цена за шт в рублях])</f>
        <v>274.16279069767444</v>
      </c>
      <c r="K201" s="20">
        <f>Продажи[[#This Row],[цена за шт в рублях]]/Продажи[[#This Row],[Средняя цена в категории за шт]]-1</f>
        <v>0.4079226397489184</v>
      </c>
      <c r="L201" t="str">
        <f>VLOOKUP(Продажи[[#This Row],[id товара]],Товары[#All],3,FALSE)</f>
        <v>Фруктовый Рай</v>
      </c>
      <c r="M2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201" s="23">
        <f>VLOOKUP(Продажи[[#This Row],[id клиента]],Таблица4[#All],5,FALSE)</f>
        <v>44770</v>
      </c>
      <c r="O201">
        <f>Продажи[[#This Row],[дата создания чека]]-Продажи[[#This Row],[Дата регистрации клиентов]]</f>
        <v>197</v>
      </c>
      <c r="P201" t="str">
        <f>VLOOKUP(Продажи[[#This Row],[id клиента]],Таблица4[#All],7,FALSE)</f>
        <v>Россия</v>
      </c>
    </row>
    <row r="202" spans="1:16" x14ac:dyDescent="0.25">
      <c r="A202">
        <v>201</v>
      </c>
      <c r="B202">
        <v>397</v>
      </c>
      <c r="C202">
        <v>148</v>
      </c>
      <c r="D202">
        <v>1</v>
      </c>
      <c r="E202">
        <v>148</v>
      </c>
      <c r="F202" s="23">
        <v>45010</v>
      </c>
      <c r="G202" t="s">
        <v>21</v>
      </c>
      <c r="H202">
        <v>47</v>
      </c>
      <c r="I202" t="str">
        <f>VLOOKUP(Продажи[[#This Row],[id товара]],Товары[#All],2,FALSE)</f>
        <v>Йогурт</v>
      </c>
      <c r="J202" s="19">
        <f>AVERAGEIF(Продажи[Категория товара],Продажи[[#This Row],[Категория товара]],Продажи[цена за шт в рублях])</f>
        <v>263.25423728813558</v>
      </c>
      <c r="K202" s="20">
        <f>Продажи[[#This Row],[цена за шт в рублях]]/Продажи[[#This Row],[Средняя цена в категории за шт]]-1</f>
        <v>-0.43780582024208081</v>
      </c>
      <c r="L202" t="str">
        <f>VLOOKUP(Продажи[[#This Row],[id товара]],Товары[#All],3,FALSE)</f>
        <v>Ростагроэкспорт</v>
      </c>
      <c r="M2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202" s="23">
        <f>VLOOKUP(Продажи[[#This Row],[id клиента]],Таблица4[#All],5,FALSE)</f>
        <v>44693</v>
      </c>
      <c r="O202">
        <f>Продажи[[#This Row],[дата создания чека]]-Продажи[[#This Row],[Дата регистрации клиентов]]</f>
        <v>317</v>
      </c>
      <c r="P202" t="str">
        <f>VLOOKUP(Продажи[[#This Row],[id клиента]],Таблица4[#All],7,FALSE)</f>
        <v>Беларусь</v>
      </c>
    </row>
    <row r="203" spans="1:16" x14ac:dyDescent="0.25">
      <c r="A203">
        <v>202</v>
      </c>
      <c r="B203">
        <v>436</v>
      </c>
      <c r="C203">
        <v>291</v>
      </c>
      <c r="D203">
        <v>2</v>
      </c>
      <c r="E203">
        <v>582</v>
      </c>
      <c r="F203" s="23">
        <v>45095</v>
      </c>
      <c r="G203" t="s">
        <v>21</v>
      </c>
      <c r="H203">
        <v>385</v>
      </c>
      <c r="I203" t="str">
        <f>VLOOKUP(Продажи[[#This Row],[id товара]],Товары[#All],2,FALSE)</f>
        <v>Овощи</v>
      </c>
      <c r="J203" s="19">
        <f>AVERAGEIF(Продажи[Категория товара],Продажи[[#This Row],[Категория товара]],Продажи[цена за шт в рублях])</f>
        <v>250.48780487804879</v>
      </c>
      <c r="K203" s="20">
        <f>Продажи[[#This Row],[цена за шт в рублях]]/Продажи[[#This Row],[Средняя цена в категории за шт]]-1</f>
        <v>0.16173320350535536</v>
      </c>
      <c r="L203" t="str">
        <f>VLOOKUP(Продажи[[#This Row],[id товара]],Товары[#All],3,FALSE)</f>
        <v>Гавриш</v>
      </c>
      <c r="M2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203" s="23">
        <f>VLOOKUP(Продажи[[#This Row],[id клиента]],Таблица4[#All],5,FALSE)</f>
        <v>44753</v>
      </c>
      <c r="O203">
        <f>Продажи[[#This Row],[дата создания чека]]-Продажи[[#This Row],[Дата регистрации клиентов]]</f>
        <v>342</v>
      </c>
      <c r="P203" t="str">
        <f>VLOOKUP(Продажи[[#This Row],[id клиента]],Таблица4[#All],7,FALSE)</f>
        <v>Украина</v>
      </c>
    </row>
    <row r="204" spans="1:16" x14ac:dyDescent="0.25">
      <c r="A204">
        <v>203</v>
      </c>
      <c r="B204">
        <v>369</v>
      </c>
      <c r="C204">
        <v>74</v>
      </c>
      <c r="D204">
        <v>1</v>
      </c>
      <c r="E204">
        <v>74</v>
      </c>
      <c r="F204" s="23">
        <v>45208</v>
      </c>
      <c r="G204" t="s">
        <v>18</v>
      </c>
      <c r="H204">
        <v>411</v>
      </c>
      <c r="I204" t="str">
        <f>VLOOKUP(Продажи[[#This Row],[id товара]],Товары[#All],2,FALSE)</f>
        <v>Молоко</v>
      </c>
      <c r="J204" s="19">
        <f>AVERAGEIF(Продажи[Категория товара],Продажи[[#This Row],[Категория товара]],Продажи[цена за шт в рублях])</f>
        <v>294.95238095238096</v>
      </c>
      <c r="K204" s="20">
        <f>Продажи[[#This Row],[цена за шт в рублях]]/Продажи[[#This Row],[Средняя цена в категории за шт]]-1</f>
        <v>-0.74911204391346464</v>
      </c>
      <c r="L204" t="str">
        <f>VLOOKUP(Продажи[[#This Row],[id товара]],Товары[#All],3,FALSE)</f>
        <v>Домик в деревне</v>
      </c>
      <c r="M2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204" s="23">
        <f>VLOOKUP(Продажи[[#This Row],[id клиента]],Таблица4[#All],5,FALSE)</f>
        <v>44673</v>
      </c>
      <c r="O204">
        <f>Продажи[[#This Row],[дата создания чека]]-Продажи[[#This Row],[Дата регистрации клиентов]]</f>
        <v>535</v>
      </c>
      <c r="P204" t="str">
        <f>VLOOKUP(Продажи[[#This Row],[id клиента]],Таблица4[#All],7,FALSE)</f>
        <v>Таджикистан</v>
      </c>
    </row>
    <row r="205" spans="1:16" x14ac:dyDescent="0.25">
      <c r="A205">
        <v>204</v>
      </c>
      <c r="B205">
        <v>361</v>
      </c>
      <c r="C205">
        <v>245</v>
      </c>
      <c r="D205">
        <v>1</v>
      </c>
      <c r="E205">
        <v>245</v>
      </c>
      <c r="F205" s="23">
        <v>45178</v>
      </c>
      <c r="G205" t="s">
        <v>24</v>
      </c>
      <c r="H205">
        <v>259</v>
      </c>
      <c r="I205" t="str">
        <f>VLOOKUP(Продажи[[#This Row],[id товара]],Товары[#All],2,FALSE)</f>
        <v>Мясо</v>
      </c>
      <c r="J205" s="19">
        <f>AVERAGEIF(Продажи[Категория товара],Продажи[[#This Row],[Категория товара]],Продажи[цена за шт в рублях])</f>
        <v>271.74545454545455</v>
      </c>
      <c r="K205" s="20">
        <f>Продажи[[#This Row],[цена за шт в рублях]]/Продажи[[#This Row],[Средняя цена в категории за шт]]-1</f>
        <v>-9.8420982202595986E-2</v>
      </c>
      <c r="L205" t="str">
        <f>VLOOKUP(Продажи[[#This Row],[id товара]],Товары[#All],3,FALSE)</f>
        <v>Сава</v>
      </c>
      <c r="M2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205" s="23">
        <f>VLOOKUP(Продажи[[#This Row],[id клиента]],Таблица4[#All],5,FALSE)</f>
        <v>44707</v>
      </c>
      <c r="O205">
        <f>Продажи[[#This Row],[дата создания чека]]-Продажи[[#This Row],[Дата регистрации клиентов]]</f>
        <v>471</v>
      </c>
      <c r="P205" t="str">
        <f>VLOOKUP(Продажи[[#This Row],[id клиента]],Таблица4[#All],7,FALSE)</f>
        <v>Беларусь</v>
      </c>
    </row>
    <row r="206" spans="1:16" x14ac:dyDescent="0.25">
      <c r="A206">
        <v>205</v>
      </c>
      <c r="B206">
        <v>226</v>
      </c>
      <c r="C206">
        <v>339</v>
      </c>
      <c r="D206">
        <v>4</v>
      </c>
      <c r="E206">
        <v>1356</v>
      </c>
      <c r="F206" s="23">
        <v>45251</v>
      </c>
      <c r="G206" t="s">
        <v>15</v>
      </c>
      <c r="H206">
        <v>337</v>
      </c>
      <c r="I206" t="str">
        <f>VLOOKUP(Продажи[[#This Row],[id товара]],Товары[#All],2,FALSE)</f>
        <v>Сыр</v>
      </c>
      <c r="J206" s="19">
        <f>AVERAGEIF(Продажи[Категория товара],Продажи[[#This Row],[Категория товара]],Продажи[цена за шт в рублях])</f>
        <v>262.63492063492066</v>
      </c>
      <c r="K206" s="20">
        <f>Продажи[[#This Row],[цена за шт в рублях]]/Продажи[[#This Row],[Средняя цена в категории за шт]]-1</f>
        <v>0.29076513961078199</v>
      </c>
      <c r="L206" t="str">
        <f>VLOOKUP(Продажи[[#This Row],[id товара]],Товары[#All],3,FALSE)</f>
        <v>Карат</v>
      </c>
      <c r="M2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206" s="23">
        <f>VLOOKUP(Продажи[[#This Row],[id клиента]],Таблица4[#All],5,FALSE)</f>
        <v>44875</v>
      </c>
      <c r="O206">
        <f>Продажи[[#This Row],[дата создания чека]]-Продажи[[#This Row],[Дата регистрации клиентов]]</f>
        <v>376</v>
      </c>
      <c r="P206" t="str">
        <f>VLOOKUP(Продажи[[#This Row],[id клиента]],Таблица4[#All],7,FALSE)</f>
        <v>Россия</v>
      </c>
    </row>
    <row r="207" spans="1:16" x14ac:dyDescent="0.25">
      <c r="A207">
        <v>206</v>
      </c>
      <c r="B207">
        <v>87</v>
      </c>
      <c r="C207">
        <v>487</v>
      </c>
      <c r="D207">
        <v>1</v>
      </c>
      <c r="E207">
        <v>487</v>
      </c>
      <c r="F207" s="23">
        <v>45019</v>
      </c>
      <c r="G207" t="s">
        <v>17</v>
      </c>
      <c r="H207">
        <v>172</v>
      </c>
      <c r="I207" t="str">
        <f>VLOOKUP(Продажи[[#This Row],[id товара]],Товары[#All],2,FALSE)</f>
        <v>Кофе</v>
      </c>
      <c r="J207" s="19">
        <f>AVERAGEIF(Продажи[Категория товара],Продажи[[#This Row],[Категория товара]],Продажи[цена за шт в рублях])</f>
        <v>249.02380952380952</v>
      </c>
      <c r="K207" s="20">
        <f>Продажи[[#This Row],[цена за шт в рублях]]/Продажи[[#This Row],[Средняя цена в категории за шт]]-1</f>
        <v>0.95563629410077455</v>
      </c>
      <c r="L207" t="str">
        <f>VLOOKUP(Продажи[[#This Row],[id товара]],Товары[#All],3,FALSE)</f>
        <v>Jacobs</v>
      </c>
      <c r="M2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207" s="23">
        <f>VLOOKUP(Продажи[[#This Row],[id клиента]],Таблица4[#All],5,FALSE)</f>
        <v>44737</v>
      </c>
      <c r="O207">
        <f>Продажи[[#This Row],[дата создания чека]]-Продажи[[#This Row],[Дата регистрации клиентов]]</f>
        <v>282</v>
      </c>
      <c r="P207" t="str">
        <f>VLOOKUP(Продажи[[#This Row],[id клиента]],Таблица4[#All],7,FALSE)</f>
        <v>Россия</v>
      </c>
    </row>
    <row r="208" spans="1:16" x14ac:dyDescent="0.25">
      <c r="A208">
        <v>207</v>
      </c>
      <c r="B208">
        <v>376</v>
      </c>
      <c r="C208">
        <v>335</v>
      </c>
      <c r="D208">
        <v>5</v>
      </c>
      <c r="E208">
        <v>1675</v>
      </c>
      <c r="F208" s="23">
        <v>44983</v>
      </c>
      <c r="G208" t="s">
        <v>17</v>
      </c>
      <c r="H208">
        <v>130</v>
      </c>
      <c r="I208" t="str">
        <f>VLOOKUP(Продажи[[#This Row],[id товара]],Товары[#All],2,FALSE)</f>
        <v>Конфеты</v>
      </c>
      <c r="J208" s="19">
        <f>AVERAGEIF(Продажи[Категория товара],Продажи[[#This Row],[Категория товара]],Продажи[цена за шт в рублях])</f>
        <v>267.85483870967744</v>
      </c>
      <c r="K208" s="20">
        <f>Продажи[[#This Row],[цена за шт в рублях]]/Продажи[[#This Row],[Средняя цена в категории за шт]]-1</f>
        <v>0.25067742518215197</v>
      </c>
      <c r="L208" t="str">
        <f>VLOOKUP(Продажи[[#This Row],[id товара]],Товары[#All],3,FALSE)</f>
        <v>Красный Октябрь</v>
      </c>
      <c r="M2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208" s="23">
        <f>VLOOKUP(Продажи[[#This Row],[id клиента]],Таблица4[#All],5,FALSE)</f>
        <v>44863</v>
      </c>
      <c r="O208">
        <f>Продажи[[#This Row],[дата создания чека]]-Продажи[[#This Row],[Дата регистрации клиентов]]</f>
        <v>120</v>
      </c>
      <c r="P208" t="str">
        <f>VLOOKUP(Продажи[[#This Row],[id клиента]],Таблица4[#All],7,FALSE)</f>
        <v>Таджикистан</v>
      </c>
    </row>
    <row r="209" spans="1:16" x14ac:dyDescent="0.25">
      <c r="A209">
        <v>208</v>
      </c>
      <c r="B209">
        <v>255</v>
      </c>
      <c r="C209">
        <v>214</v>
      </c>
      <c r="D209">
        <v>2</v>
      </c>
      <c r="E209">
        <v>428</v>
      </c>
      <c r="F209" s="23">
        <v>45031</v>
      </c>
      <c r="G209" t="s">
        <v>12</v>
      </c>
      <c r="H209">
        <v>354</v>
      </c>
      <c r="I209" t="str">
        <f>VLOOKUP(Продажи[[#This Row],[id товара]],Товары[#All],2,FALSE)</f>
        <v>Кофе</v>
      </c>
      <c r="J209" s="19">
        <f>AVERAGEIF(Продажи[Категория товара],Продажи[[#This Row],[Категория товара]],Продажи[цена за шт в рублях])</f>
        <v>249.02380952380952</v>
      </c>
      <c r="K209" s="20">
        <f>Продажи[[#This Row],[цена за шт в рублях]]/Продажи[[#This Row],[Средняя цена в категории за шт]]-1</f>
        <v>-0.14064442107276032</v>
      </c>
      <c r="L209" t="str">
        <f>VLOOKUP(Продажи[[#This Row],[id товара]],Товары[#All],3,FALSE)</f>
        <v>Nescafe</v>
      </c>
      <c r="M2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209" s="23">
        <f>VLOOKUP(Продажи[[#This Row],[id клиента]],Таблица4[#All],5,FALSE)</f>
        <v>44811</v>
      </c>
      <c r="O209">
        <f>Продажи[[#This Row],[дата создания чека]]-Продажи[[#This Row],[Дата регистрации клиентов]]</f>
        <v>220</v>
      </c>
      <c r="P209" t="str">
        <f>VLOOKUP(Продажи[[#This Row],[id клиента]],Таблица4[#All],7,FALSE)</f>
        <v>Узбекистан</v>
      </c>
    </row>
    <row r="210" spans="1:16" x14ac:dyDescent="0.25">
      <c r="A210">
        <v>209</v>
      </c>
      <c r="B210">
        <v>111</v>
      </c>
      <c r="C210">
        <v>452</v>
      </c>
      <c r="D210">
        <v>4</v>
      </c>
      <c r="E210">
        <v>1808</v>
      </c>
      <c r="F210" s="23">
        <v>44927</v>
      </c>
      <c r="G210" t="s">
        <v>15</v>
      </c>
      <c r="H210">
        <v>329</v>
      </c>
      <c r="I210" t="str">
        <f>VLOOKUP(Продажи[[#This Row],[id товара]],Товары[#All],2,FALSE)</f>
        <v>Сахар</v>
      </c>
      <c r="J210" s="19">
        <f>AVERAGEIF(Продажи[Категория товара],Продажи[[#This Row],[Категория товара]],Продажи[цена за шт в рублях])</f>
        <v>252.76271186440678</v>
      </c>
      <c r="K210" s="20">
        <f>Продажи[[#This Row],[цена за шт в рублях]]/Продажи[[#This Row],[Средняя цена в категории за шт]]-1</f>
        <v>0.78823844967478029</v>
      </c>
      <c r="L210" t="str">
        <f>VLOOKUP(Продажи[[#This Row],[id товара]],Товары[#All],3,FALSE)</f>
        <v>Сладов</v>
      </c>
      <c r="M2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210" s="23">
        <f>VLOOKUP(Продажи[[#This Row],[id клиента]],Таблица4[#All],5,FALSE)</f>
        <v>44653</v>
      </c>
      <c r="O210">
        <f>Продажи[[#This Row],[дата создания чека]]-Продажи[[#This Row],[Дата регистрации клиентов]]</f>
        <v>274</v>
      </c>
      <c r="P210" t="str">
        <f>VLOOKUP(Продажи[[#This Row],[id клиента]],Таблица4[#All],7,FALSE)</f>
        <v>Беларусь</v>
      </c>
    </row>
    <row r="211" spans="1:16" x14ac:dyDescent="0.25">
      <c r="A211">
        <v>210</v>
      </c>
      <c r="B211">
        <v>344</v>
      </c>
      <c r="C211">
        <v>172</v>
      </c>
      <c r="D211">
        <v>5</v>
      </c>
      <c r="E211">
        <v>860</v>
      </c>
      <c r="F211" s="23">
        <v>45092</v>
      </c>
      <c r="G211" t="s">
        <v>18</v>
      </c>
      <c r="H211">
        <v>186</v>
      </c>
      <c r="I211" t="str">
        <f>VLOOKUP(Продажи[[#This Row],[id товара]],Товары[#All],2,FALSE)</f>
        <v>Сок</v>
      </c>
      <c r="J211" s="19">
        <f>AVERAGEIF(Продажи[Категория товара],Продажи[[#This Row],[Категория товара]],Продажи[цена за шт в рублях])</f>
        <v>268.60344827586209</v>
      </c>
      <c r="K211" s="20">
        <f>Продажи[[#This Row],[цена за шт в рублях]]/Продажи[[#This Row],[Средняя цена в категории за шт]]-1</f>
        <v>-0.35965081199050009</v>
      </c>
      <c r="L211" t="str">
        <f>VLOOKUP(Продажи[[#This Row],[id товара]],Товары[#All],3,FALSE)</f>
        <v>Сады Придонья</v>
      </c>
      <c r="M2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211" s="23">
        <f>VLOOKUP(Продажи[[#This Row],[id клиента]],Таблица4[#All],5,FALSE)</f>
        <v>44914</v>
      </c>
      <c r="O211">
        <f>Продажи[[#This Row],[дата создания чека]]-Продажи[[#This Row],[Дата регистрации клиентов]]</f>
        <v>178</v>
      </c>
      <c r="P211" t="str">
        <f>VLOOKUP(Продажи[[#This Row],[id клиента]],Таблица4[#All],7,FALSE)</f>
        <v>Беларусь</v>
      </c>
    </row>
    <row r="212" spans="1:16" x14ac:dyDescent="0.25">
      <c r="A212">
        <v>211</v>
      </c>
      <c r="B212">
        <v>462</v>
      </c>
      <c r="C212">
        <v>104</v>
      </c>
      <c r="D212">
        <v>4</v>
      </c>
      <c r="E212">
        <v>416</v>
      </c>
      <c r="F212" s="23">
        <v>45105</v>
      </c>
      <c r="G212" t="s">
        <v>20</v>
      </c>
      <c r="H212">
        <v>448</v>
      </c>
      <c r="I212" t="str">
        <f>VLOOKUP(Продажи[[#This Row],[id товара]],Товары[#All],2,FALSE)</f>
        <v>Рис</v>
      </c>
      <c r="J212" s="19">
        <f>AVERAGEIF(Продажи[Категория товара],Продажи[[#This Row],[Категория товара]],Продажи[цена за шт в рублях])</f>
        <v>258.375</v>
      </c>
      <c r="K212" s="20">
        <f>Продажи[[#This Row],[цена за шт в рублях]]/Продажи[[#This Row],[Средняя цена в категории за шт]]-1</f>
        <v>-0.59748427672955973</v>
      </c>
      <c r="L212" t="str">
        <f>VLOOKUP(Продажи[[#This Row],[id товара]],Товары[#All],3,FALSE)</f>
        <v>Белый Злат</v>
      </c>
      <c r="M2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212" s="23">
        <f>VLOOKUP(Продажи[[#This Row],[id клиента]],Таблица4[#All],5,FALSE)</f>
        <v>44770</v>
      </c>
      <c r="O212">
        <f>Продажи[[#This Row],[дата создания чека]]-Продажи[[#This Row],[Дата регистрации клиентов]]</f>
        <v>335</v>
      </c>
      <c r="P212" t="str">
        <f>VLOOKUP(Продажи[[#This Row],[id клиента]],Таблица4[#All],7,FALSE)</f>
        <v>Россия</v>
      </c>
    </row>
    <row r="213" spans="1:16" x14ac:dyDescent="0.25">
      <c r="A213">
        <v>212</v>
      </c>
      <c r="B213">
        <v>279</v>
      </c>
      <c r="C213">
        <v>433</v>
      </c>
      <c r="D213">
        <v>4</v>
      </c>
      <c r="E213">
        <v>1732</v>
      </c>
      <c r="F213" s="23">
        <v>45265</v>
      </c>
      <c r="G213" t="s">
        <v>25</v>
      </c>
      <c r="H213">
        <v>377</v>
      </c>
      <c r="I213" t="str">
        <f>VLOOKUP(Продажи[[#This Row],[id товара]],Товары[#All],2,FALSE)</f>
        <v>Крупа</v>
      </c>
      <c r="J213" s="19">
        <f>AVERAGEIF(Продажи[Категория товара],Продажи[[#This Row],[Категория товара]],Продажи[цена за шт в рублях])</f>
        <v>255.11627906976744</v>
      </c>
      <c r="K213" s="20">
        <f>Продажи[[#This Row],[цена за шт в рублях]]/Продажи[[#This Row],[Средняя цена в категории за шт]]-1</f>
        <v>0.69726526891522322</v>
      </c>
      <c r="L213" t="str">
        <f>VLOOKUP(Продажи[[#This Row],[id товара]],Товары[#All],3,FALSE)</f>
        <v>Увелка</v>
      </c>
      <c r="M2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213" s="23">
        <f>VLOOKUP(Продажи[[#This Row],[id клиента]],Таблица4[#All],5,FALSE)</f>
        <v>44794</v>
      </c>
      <c r="O213">
        <f>Продажи[[#This Row],[дата создания чека]]-Продажи[[#This Row],[Дата регистрации клиентов]]</f>
        <v>471</v>
      </c>
      <c r="P213" t="str">
        <f>VLOOKUP(Продажи[[#This Row],[id клиента]],Таблица4[#All],7,FALSE)</f>
        <v>Узбекистан</v>
      </c>
    </row>
    <row r="214" spans="1:16" x14ac:dyDescent="0.25">
      <c r="A214">
        <v>213</v>
      </c>
      <c r="B214">
        <v>322</v>
      </c>
      <c r="C214">
        <v>79</v>
      </c>
      <c r="D214">
        <v>5</v>
      </c>
      <c r="E214">
        <v>395</v>
      </c>
      <c r="F214" s="23">
        <v>45108</v>
      </c>
      <c r="G214" t="s">
        <v>13</v>
      </c>
      <c r="H214">
        <v>316</v>
      </c>
      <c r="I214" t="str">
        <f>VLOOKUP(Продажи[[#This Row],[id товара]],Товары[#All],2,FALSE)</f>
        <v>Крупа</v>
      </c>
      <c r="J214" s="19">
        <f>AVERAGEIF(Продажи[Категория товара],Продажи[[#This Row],[Категория товара]],Продажи[цена за шт в рублях])</f>
        <v>255.11627906976744</v>
      </c>
      <c r="K214" s="20">
        <f>Продажи[[#This Row],[цена за шт в рублях]]/Продажи[[#This Row],[Средняя цена в категории за шт]]-1</f>
        <v>-0.69033728350045576</v>
      </c>
      <c r="L214" t="str">
        <f>VLOOKUP(Продажи[[#This Row],[id товара]],Товары[#All],3,FALSE)</f>
        <v>Увелка</v>
      </c>
      <c r="M2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214" s="23">
        <f>VLOOKUP(Продажи[[#This Row],[id клиента]],Таблица4[#All],5,FALSE)</f>
        <v>44787</v>
      </c>
      <c r="O214">
        <f>Продажи[[#This Row],[дата создания чека]]-Продажи[[#This Row],[Дата регистрации клиентов]]</f>
        <v>321</v>
      </c>
      <c r="P214" t="str">
        <f>VLOOKUP(Продажи[[#This Row],[id клиента]],Таблица4[#All],7,FALSE)</f>
        <v>Таджикистан</v>
      </c>
    </row>
    <row r="215" spans="1:16" x14ac:dyDescent="0.25">
      <c r="A215">
        <v>214</v>
      </c>
      <c r="B215">
        <v>494</v>
      </c>
      <c r="C215">
        <v>181</v>
      </c>
      <c r="D215">
        <v>1</v>
      </c>
      <c r="E215">
        <v>181</v>
      </c>
      <c r="F215" s="23">
        <v>45251</v>
      </c>
      <c r="G215" t="s">
        <v>24</v>
      </c>
      <c r="H215">
        <v>356</v>
      </c>
      <c r="I215" t="str">
        <f>VLOOKUP(Продажи[[#This Row],[id товара]],Товары[#All],2,FALSE)</f>
        <v>Сыр</v>
      </c>
      <c r="J215" s="19">
        <f>AVERAGEIF(Продажи[Категория товара],Продажи[[#This Row],[Категория товара]],Продажи[цена за шт в рублях])</f>
        <v>262.63492063492066</v>
      </c>
      <c r="K215" s="20">
        <f>Продажи[[#This Row],[цена за шт в рублях]]/Продажи[[#This Row],[Средняя цена в категории за шт]]-1</f>
        <v>-0.31083041218421381</v>
      </c>
      <c r="L215" t="str">
        <f>VLOOKUP(Продажи[[#This Row],[id товара]],Товары[#All],3,FALSE)</f>
        <v>Сырная долина</v>
      </c>
      <c r="M2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215" s="23">
        <f>VLOOKUP(Продажи[[#This Row],[id клиента]],Таблица4[#All],5,FALSE)</f>
        <v>44570</v>
      </c>
      <c r="O215">
        <f>Продажи[[#This Row],[дата создания чека]]-Продажи[[#This Row],[Дата регистрации клиентов]]</f>
        <v>681</v>
      </c>
      <c r="P215" t="str">
        <f>VLOOKUP(Продажи[[#This Row],[id клиента]],Таблица4[#All],7,FALSE)</f>
        <v>Таджикистан</v>
      </c>
    </row>
    <row r="216" spans="1:16" x14ac:dyDescent="0.25">
      <c r="A216">
        <v>215</v>
      </c>
      <c r="B216">
        <v>317</v>
      </c>
      <c r="C216">
        <v>196</v>
      </c>
      <c r="D216">
        <v>3</v>
      </c>
      <c r="E216">
        <v>588</v>
      </c>
      <c r="F216" s="23">
        <v>45371</v>
      </c>
      <c r="G216" t="s">
        <v>16</v>
      </c>
      <c r="H216">
        <v>159</v>
      </c>
      <c r="I216" t="str">
        <f>VLOOKUP(Продажи[[#This Row],[id товара]],Товары[#All],2,FALSE)</f>
        <v>Сок</v>
      </c>
      <c r="J216" s="19">
        <f>AVERAGEIF(Продажи[Категория товара],Продажи[[#This Row],[Категория товара]],Продажи[цена за шт в рублях])</f>
        <v>268.60344827586209</v>
      </c>
      <c r="K216" s="20">
        <f>Продажи[[#This Row],[цена за шт в рублях]]/Продажи[[#This Row],[Средняя цена в категории за шт]]-1</f>
        <v>-0.27029976250080245</v>
      </c>
      <c r="L216" t="str">
        <f>VLOOKUP(Продажи[[#This Row],[id товара]],Товары[#All],3,FALSE)</f>
        <v>Фруктовый сад</v>
      </c>
      <c r="M2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216" s="23">
        <f>VLOOKUP(Продажи[[#This Row],[id клиента]],Таблица4[#All],5,FALSE)</f>
        <v>44686</v>
      </c>
      <c r="O216">
        <f>Продажи[[#This Row],[дата создания чека]]-Продажи[[#This Row],[Дата регистрации клиентов]]</f>
        <v>685</v>
      </c>
      <c r="P216" t="str">
        <f>VLOOKUP(Продажи[[#This Row],[id клиента]],Таблица4[#All],7,FALSE)</f>
        <v>Узбекистан</v>
      </c>
    </row>
    <row r="217" spans="1:16" x14ac:dyDescent="0.25">
      <c r="A217">
        <v>216</v>
      </c>
      <c r="B217">
        <v>223</v>
      </c>
      <c r="C217">
        <v>174</v>
      </c>
      <c r="D217">
        <v>1</v>
      </c>
      <c r="E217">
        <v>174</v>
      </c>
      <c r="F217" s="23">
        <v>45022</v>
      </c>
      <c r="G217" t="s">
        <v>10</v>
      </c>
      <c r="H217">
        <v>287</v>
      </c>
      <c r="I217" t="str">
        <f>VLOOKUP(Продажи[[#This Row],[id товара]],Товары[#All],2,FALSE)</f>
        <v>Чай</v>
      </c>
      <c r="J217" s="19">
        <f>AVERAGEIF(Продажи[Категория товара],Продажи[[#This Row],[Категория товара]],Продажи[цена за шт в рублях])</f>
        <v>271.18181818181819</v>
      </c>
      <c r="K217" s="20">
        <f>Продажи[[#This Row],[цена за шт в рублях]]/Продажи[[#This Row],[Средняя цена в категории за шт]]-1</f>
        <v>-0.35836406302380153</v>
      </c>
      <c r="L217" t="str">
        <f>VLOOKUP(Продажи[[#This Row],[id товара]],Товары[#All],3,FALSE)</f>
        <v>Greenfield</v>
      </c>
      <c r="M2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217" s="23">
        <f>VLOOKUP(Продажи[[#This Row],[id клиента]],Таблица4[#All],5,FALSE)</f>
        <v>44608</v>
      </c>
      <c r="O217">
        <f>Продажи[[#This Row],[дата создания чека]]-Продажи[[#This Row],[Дата регистрации клиентов]]</f>
        <v>414</v>
      </c>
      <c r="P217" t="str">
        <f>VLOOKUP(Продажи[[#This Row],[id клиента]],Таблица4[#All],7,FALSE)</f>
        <v>Россия</v>
      </c>
    </row>
    <row r="218" spans="1:16" x14ac:dyDescent="0.25">
      <c r="A218">
        <v>217</v>
      </c>
      <c r="B218">
        <v>25</v>
      </c>
      <c r="C218">
        <v>356</v>
      </c>
      <c r="D218">
        <v>3</v>
      </c>
      <c r="E218">
        <v>1068</v>
      </c>
      <c r="F218" s="23">
        <v>45018</v>
      </c>
      <c r="G218" t="s">
        <v>15</v>
      </c>
      <c r="H218">
        <v>322</v>
      </c>
      <c r="I218" t="str">
        <f>VLOOKUP(Продажи[[#This Row],[id товара]],Товары[#All],2,FALSE)</f>
        <v>Чипсы</v>
      </c>
      <c r="J218" s="19">
        <f>AVERAGEIF(Продажи[Категория товара],Продажи[[#This Row],[Категория товара]],Продажи[цена за шт в рублях])</f>
        <v>273.72549019607845</v>
      </c>
      <c r="K218" s="20">
        <f>Продажи[[#This Row],[цена за шт в рублях]]/Продажи[[#This Row],[Средняя цена в категории за шт]]-1</f>
        <v>0.30057306590257871</v>
      </c>
      <c r="L218" t="str">
        <f>VLOOKUP(Продажи[[#This Row],[id товара]],Товары[#All],3,FALSE)</f>
        <v>Русская картошка</v>
      </c>
      <c r="M2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218" s="23">
        <f>VLOOKUP(Продажи[[#This Row],[id клиента]],Таблица4[#All],5,FALSE)</f>
        <v>44886</v>
      </c>
      <c r="O218">
        <f>Продажи[[#This Row],[дата создания чека]]-Продажи[[#This Row],[Дата регистрации клиентов]]</f>
        <v>132</v>
      </c>
      <c r="P218" t="str">
        <f>VLOOKUP(Продажи[[#This Row],[id клиента]],Таблица4[#All],7,FALSE)</f>
        <v>Украина</v>
      </c>
    </row>
    <row r="219" spans="1:16" x14ac:dyDescent="0.25">
      <c r="A219">
        <v>218</v>
      </c>
      <c r="B219">
        <v>392</v>
      </c>
      <c r="C219">
        <v>125</v>
      </c>
      <c r="D219">
        <v>5</v>
      </c>
      <c r="E219">
        <v>625</v>
      </c>
      <c r="F219" s="23">
        <v>45282</v>
      </c>
      <c r="G219" t="s">
        <v>9</v>
      </c>
      <c r="H219">
        <v>62</v>
      </c>
      <c r="I219" t="str">
        <f>VLOOKUP(Продажи[[#This Row],[id товара]],Товары[#All],2,FALSE)</f>
        <v>Кофе</v>
      </c>
      <c r="J219" s="19">
        <f>AVERAGEIF(Продажи[Категория товара],Продажи[[#This Row],[Категория товара]],Продажи[цена за шт в рублях])</f>
        <v>249.02380952380952</v>
      </c>
      <c r="K219" s="20">
        <f>Продажи[[#This Row],[цена за шт в рублях]]/Продажи[[#This Row],[Средняя цена в категории за шт]]-1</f>
        <v>-0.49803996557988339</v>
      </c>
      <c r="L219" t="str">
        <f>VLOOKUP(Продажи[[#This Row],[id товара]],Товары[#All],3,FALSE)</f>
        <v>Черная Карта</v>
      </c>
      <c r="M2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219" s="23">
        <f>VLOOKUP(Продажи[[#This Row],[id клиента]],Таблица4[#All],5,FALSE)</f>
        <v>44671</v>
      </c>
      <c r="O219">
        <f>Продажи[[#This Row],[дата создания чека]]-Продажи[[#This Row],[Дата регистрации клиентов]]</f>
        <v>611</v>
      </c>
      <c r="P219" t="str">
        <f>VLOOKUP(Продажи[[#This Row],[id клиента]],Таблица4[#All],7,FALSE)</f>
        <v>Россия</v>
      </c>
    </row>
    <row r="220" spans="1:16" x14ac:dyDescent="0.25">
      <c r="A220">
        <v>219</v>
      </c>
      <c r="B220">
        <v>410</v>
      </c>
      <c r="C220">
        <v>228</v>
      </c>
      <c r="D220">
        <v>2</v>
      </c>
      <c r="E220">
        <v>456</v>
      </c>
      <c r="F220" s="23">
        <v>45224</v>
      </c>
      <c r="G220" t="s">
        <v>22</v>
      </c>
      <c r="H220">
        <v>295</v>
      </c>
      <c r="I220" t="str">
        <f>VLOOKUP(Продажи[[#This Row],[id товара]],Товары[#All],2,FALSE)</f>
        <v>Чипсы</v>
      </c>
      <c r="J220" s="19">
        <f>AVERAGEIF(Продажи[Категория товара],Продажи[[#This Row],[Категория товара]],Продажи[цена за шт в рублях])</f>
        <v>273.72549019607845</v>
      </c>
      <c r="K220" s="20">
        <f>Продажи[[#This Row],[цена за шт в рублях]]/Продажи[[#This Row],[Средняя цена в категории за шт]]-1</f>
        <v>-0.16704871060171922</v>
      </c>
      <c r="L220" t="str">
        <f>VLOOKUP(Продажи[[#This Row],[id товара]],Товары[#All],3,FALSE)</f>
        <v>Lay's</v>
      </c>
      <c r="M2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220" s="23">
        <f>VLOOKUP(Продажи[[#This Row],[id клиента]],Таблица4[#All],5,FALSE)</f>
        <v>44588</v>
      </c>
      <c r="O220">
        <f>Продажи[[#This Row],[дата создания чека]]-Продажи[[#This Row],[Дата регистрации клиентов]]</f>
        <v>636</v>
      </c>
      <c r="P220" t="str">
        <f>VLOOKUP(Продажи[[#This Row],[id клиента]],Таблица4[#All],7,FALSE)</f>
        <v>Россия</v>
      </c>
    </row>
    <row r="221" spans="1:16" x14ac:dyDescent="0.25">
      <c r="A221">
        <v>220</v>
      </c>
      <c r="B221">
        <v>498</v>
      </c>
      <c r="C221">
        <v>472</v>
      </c>
      <c r="D221">
        <v>5</v>
      </c>
      <c r="E221">
        <v>2360</v>
      </c>
      <c r="F221" s="23">
        <v>45195</v>
      </c>
      <c r="G221" t="s">
        <v>17</v>
      </c>
      <c r="H221">
        <v>171</v>
      </c>
      <c r="I221" t="str">
        <f>VLOOKUP(Продажи[[#This Row],[id товара]],Товары[#All],2,FALSE)</f>
        <v>Молоко</v>
      </c>
      <c r="J221" s="19">
        <f>AVERAGEIF(Продажи[Категория товара],Продажи[[#This Row],[Категория товара]],Продажи[цена за шт в рублях])</f>
        <v>294.95238095238096</v>
      </c>
      <c r="K221" s="20">
        <f>Продажи[[#This Row],[цена за шт в рублях]]/Продажи[[#This Row],[Средняя цена в категории за шт]]-1</f>
        <v>0.60025831449790124</v>
      </c>
      <c r="L221" t="str">
        <f>VLOOKUP(Продажи[[#This Row],[id товара]],Товары[#All],3,FALSE)</f>
        <v>Домик в деревне</v>
      </c>
      <c r="M2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221" s="23">
        <f>VLOOKUP(Продажи[[#This Row],[id клиента]],Таблица4[#All],5,FALSE)</f>
        <v>44710</v>
      </c>
      <c r="O221">
        <f>Продажи[[#This Row],[дата создания чека]]-Продажи[[#This Row],[Дата регистрации клиентов]]</f>
        <v>485</v>
      </c>
      <c r="P221" t="str">
        <f>VLOOKUP(Продажи[[#This Row],[id клиента]],Таблица4[#All],7,FALSE)</f>
        <v>Россия</v>
      </c>
    </row>
    <row r="222" spans="1:16" x14ac:dyDescent="0.25">
      <c r="A222">
        <v>221</v>
      </c>
      <c r="B222">
        <v>304</v>
      </c>
      <c r="C222">
        <v>163</v>
      </c>
      <c r="D222">
        <v>3</v>
      </c>
      <c r="E222">
        <v>489</v>
      </c>
      <c r="F222" s="23">
        <v>45139</v>
      </c>
      <c r="G222" t="s">
        <v>14</v>
      </c>
      <c r="H222">
        <v>392</v>
      </c>
      <c r="I222" t="str">
        <f>VLOOKUP(Продажи[[#This Row],[id товара]],Товары[#All],2,FALSE)</f>
        <v>Конфеты</v>
      </c>
      <c r="J222" s="19">
        <f>AVERAGEIF(Продажи[Категория товара],Продажи[[#This Row],[Категория товара]],Продажи[цена за шт в рублях])</f>
        <v>267.85483870967744</v>
      </c>
      <c r="K222" s="20">
        <f>Продажи[[#This Row],[цена за шт в рублях]]/Продажи[[#This Row],[Средняя цена в категории за шт]]-1</f>
        <v>-0.39146143192629623</v>
      </c>
      <c r="L222" t="str">
        <f>VLOOKUP(Продажи[[#This Row],[id товара]],Товары[#All],3,FALSE)</f>
        <v>Рот Фронт</v>
      </c>
      <c r="M2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222" s="23">
        <f>VLOOKUP(Продажи[[#This Row],[id клиента]],Таблица4[#All],5,FALSE)</f>
        <v>44919</v>
      </c>
      <c r="O222">
        <f>Продажи[[#This Row],[дата создания чека]]-Продажи[[#This Row],[Дата регистрации клиентов]]</f>
        <v>220</v>
      </c>
      <c r="P222" t="str">
        <f>VLOOKUP(Продажи[[#This Row],[id клиента]],Таблица4[#All],7,FALSE)</f>
        <v>Россия</v>
      </c>
    </row>
    <row r="223" spans="1:16" x14ac:dyDescent="0.25">
      <c r="A223">
        <v>222</v>
      </c>
      <c r="B223">
        <v>333</v>
      </c>
      <c r="C223">
        <v>70</v>
      </c>
      <c r="D223">
        <v>1</v>
      </c>
      <c r="E223">
        <v>70</v>
      </c>
      <c r="F223" s="23">
        <v>45076</v>
      </c>
      <c r="G223" t="s">
        <v>16</v>
      </c>
      <c r="H223">
        <v>229</v>
      </c>
      <c r="I223" t="str">
        <f>VLOOKUP(Продажи[[#This Row],[id товара]],Товары[#All],2,FALSE)</f>
        <v>Рыба</v>
      </c>
      <c r="J223" s="19">
        <f>AVERAGEIF(Продажи[Категория товара],Продажи[[#This Row],[Категория товара]],Продажи[цена за шт в рублях])</f>
        <v>258.5128205128205</v>
      </c>
      <c r="K223" s="20">
        <f>Продажи[[#This Row],[цена за шт в рублях]]/Продажи[[#This Row],[Средняя цена в категории за шт]]-1</f>
        <v>-0.72922039277921047</v>
      </c>
      <c r="L223" t="str">
        <f>VLOOKUP(Продажи[[#This Row],[id товара]],Товары[#All],3,FALSE)</f>
        <v>Санта Бремор</v>
      </c>
      <c r="M2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223" s="23">
        <f>VLOOKUP(Продажи[[#This Row],[id клиента]],Таблица4[#All],5,FALSE)</f>
        <v>44766</v>
      </c>
      <c r="O223">
        <f>Продажи[[#This Row],[дата создания чека]]-Продажи[[#This Row],[Дата регистрации клиентов]]</f>
        <v>310</v>
      </c>
      <c r="P223" t="str">
        <f>VLOOKUP(Продажи[[#This Row],[id клиента]],Таблица4[#All],7,FALSE)</f>
        <v>Беларусь</v>
      </c>
    </row>
    <row r="224" spans="1:16" x14ac:dyDescent="0.25">
      <c r="A224">
        <v>223</v>
      </c>
      <c r="B224">
        <v>207</v>
      </c>
      <c r="C224">
        <v>208</v>
      </c>
      <c r="D224">
        <v>5</v>
      </c>
      <c r="E224">
        <v>1040</v>
      </c>
      <c r="F224" s="23">
        <v>44960</v>
      </c>
      <c r="G224" t="s">
        <v>8</v>
      </c>
      <c r="H224">
        <v>253</v>
      </c>
      <c r="I224" t="str">
        <f>VLOOKUP(Продажи[[#This Row],[id товара]],Товары[#All],2,FALSE)</f>
        <v>Сахар</v>
      </c>
      <c r="J224" s="19">
        <f>AVERAGEIF(Продажи[Категория товара],Продажи[[#This Row],[Категория товара]],Продажи[цена за шт в рублях])</f>
        <v>252.76271186440678</v>
      </c>
      <c r="K224" s="20">
        <f>Продажи[[#This Row],[цена за шт в рублях]]/Продажи[[#This Row],[Средняя цена в категории за шт]]-1</f>
        <v>-0.17709381076912767</v>
      </c>
      <c r="L224" t="str">
        <f>VLOOKUP(Продажи[[#This Row],[id товара]],Товары[#All],3,FALSE)</f>
        <v>Агросахар</v>
      </c>
      <c r="M2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224" s="23">
        <f>VLOOKUP(Продажи[[#This Row],[id клиента]],Таблица4[#All],5,FALSE)</f>
        <v>44750</v>
      </c>
      <c r="O224">
        <f>Продажи[[#This Row],[дата создания чека]]-Продажи[[#This Row],[Дата регистрации клиентов]]</f>
        <v>210</v>
      </c>
      <c r="P224" t="str">
        <f>VLOOKUP(Продажи[[#This Row],[id клиента]],Таблица4[#All],7,FALSE)</f>
        <v>Беларусь</v>
      </c>
    </row>
    <row r="225" spans="1:16" x14ac:dyDescent="0.25">
      <c r="A225">
        <v>224</v>
      </c>
      <c r="B225">
        <v>348</v>
      </c>
      <c r="C225">
        <v>417</v>
      </c>
      <c r="D225">
        <v>4</v>
      </c>
      <c r="E225">
        <v>1668</v>
      </c>
      <c r="F225" s="23">
        <v>45005</v>
      </c>
      <c r="G225" t="s">
        <v>18</v>
      </c>
      <c r="H225">
        <v>235</v>
      </c>
      <c r="I225" t="str">
        <f>VLOOKUP(Продажи[[#This Row],[id товара]],Товары[#All],2,FALSE)</f>
        <v>Чипсы</v>
      </c>
      <c r="J225" s="19">
        <f>AVERAGEIF(Продажи[Категория товара],Продажи[[#This Row],[Категория товара]],Продажи[цена за шт в рублях])</f>
        <v>273.72549019607845</v>
      </c>
      <c r="K225" s="20">
        <f>Продажи[[#This Row],[цена за шт в рублях]]/Продажи[[#This Row],[Средняя цена в категории за шт]]-1</f>
        <v>0.52342406876790815</v>
      </c>
      <c r="L225" t="str">
        <f>VLOOKUP(Продажи[[#This Row],[id товара]],Товары[#All],3,FALSE)</f>
        <v>Estrella</v>
      </c>
      <c r="M2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225" s="23">
        <f>VLOOKUP(Продажи[[#This Row],[id клиента]],Таблица4[#All],5,FALSE)</f>
        <v>44635</v>
      </c>
      <c r="O225">
        <f>Продажи[[#This Row],[дата создания чека]]-Продажи[[#This Row],[Дата регистрации клиентов]]</f>
        <v>370</v>
      </c>
      <c r="P225" t="str">
        <f>VLOOKUP(Продажи[[#This Row],[id клиента]],Таблица4[#All],7,FALSE)</f>
        <v>Узбекистан</v>
      </c>
    </row>
    <row r="226" spans="1:16" x14ac:dyDescent="0.25">
      <c r="A226">
        <v>225</v>
      </c>
      <c r="B226">
        <v>4</v>
      </c>
      <c r="C226">
        <v>198</v>
      </c>
      <c r="D226">
        <v>5</v>
      </c>
      <c r="E226">
        <v>990</v>
      </c>
      <c r="F226" s="23">
        <v>45351</v>
      </c>
      <c r="G226" t="s">
        <v>8</v>
      </c>
      <c r="H226">
        <v>156</v>
      </c>
      <c r="I226" t="str">
        <f>VLOOKUP(Продажи[[#This Row],[id товара]],Товары[#All],2,FALSE)</f>
        <v>Рис</v>
      </c>
      <c r="J226" s="19">
        <f>AVERAGEIF(Продажи[Категория товара],Продажи[[#This Row],[Категория товара]],Продажи[цена за шт в рублях])</f>
        <v>258.375</v>
      </c>
      <c r="K226" s="20">
        <f>Продажи[[#This Row],[цена за шт в рублях]]/Продажи[[#This Row],[Средняя цена в категории за шт]]-1</f>
        <v>-0.23367198838896952</v>
      </c>
      <c r="L226" t="str">
        <f>VLOOKUP(Продажи[[#This Row],[id товара]],Товары[#All],3,FALSE)</f>
        <v>Белый Злат</v>
      </c>
      <c r="M2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226" s="23">
        <f>VLOOKUP(Продажи[[#This Row],[id клиента]],Таблица4[#All],5,FALSE)</f>
        <v>44905</v>
      </c>
      <c r="O226">
        <f>Продажи[[#This Row],[дата создания чека]]-Продажи[[#This Row],[Дата регистрации клиентов]]</f>
        <v>446</v>
      </c>
      <c r="P226" t="str">
        <f>VLOOKUP(Продажи[[#This Row],[id клиента]],Таблица4[#All],7,FALSE)</f>
        <v>Украина</v>
      </c>
    </row>
    <row r="227" spans="1:16" x14ac:dyDescent="0.25">
      <c r="A227">
        <v>226</v>
      </c>
      <c r="B227">
        <v>317</v>
      </c>
      <c r="C227">
        <v>196</v>
      </c>
      <c r="D227">
        <v>2</v>
      </c>
      <c r="E227">
        <v>392</v>
      </c>
      <c r="F227" s="23">
        <v>45430</v>
      </c>
      <c r="G227" t="s">
        <v>22</v>
      </c>
      <c r="H227">
        <v>327</v>
      </c>
      <c r="I227" t="str">
        <f>VLOOKUP(Продажи[[#This Row],[id товара]],Товары[#All],2,FALSE)</f>
        <v>Сок</v>
      </c>
      <c r="J227" s="19">
        <f>AVERAGEIF(Продажи[Категория товара],Продажи[[#This Row],[Категория товара]],Продажи[цена за шт в рублях])</f>
        <v>268.60344827586209</v>
      </c>
      <c r="K227" s="20">
        <f>Продажи[[#This Row],[цена за шт в рублях]]/Продажи[[#This Row],[Средняя цена в категории за шт]]-1</f>
        <v>-0.27029976250080245</v>
      </c>
      <c r="L227" t="str">
        <f>VLOOKUP(Продажи[[#This Row],[id товара]],Товары[#All],3,FALSE)</f>
        <v>Фруктовый сад</v>
      </c>
      <c r="M2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227" s="23">
        <f>VLOOKUP(Продажи[[#This Row],[id клиента]],Таблица4[#All],5,FALSE)</f>
        <v>44565</v>
      </c>
      <c r="O227">
        <f>Продажи[[#This Row],[дата создания чека]]-Продажи[[#This Row],[Дата регистрации клиентов]]</f>
        <v>865</v>
      </c>
      <c r="P227" t="str">
        <f>VLOOKUP(Продажи[[#This Row],[id клиента]],Таблица4[#All],7,FALSE)</f>
        <v>Таджикистан</v>
      </c>
    </row>
    <row r="228" spans="1:16" x14ac:dyDescent="0.25">
      <c r="A228">
        <v>227</v>
      </c>
      <c r="B228">
        <v>131</v>
      </c>
      <c r="C228">
        <v>376</v>
      </c>
      <c r="D228">
        <v>1</v>
      </c>
      <c r="E228">
        <v>376</v>
      </c>
      <c r="F228" s="23">
        <v>45427</v>
      </c>
      <c r="G228" t="s">
        <v>17</v>
      </c>
      <c r="H228">
        <v>275</v>
      </c>
      <c r="I228" t="str">
        <f>VLOOKUP(Продажи[[#This Row],[id товара]],Товары[#All],2,FALSE)</f>
        <v>Сок</v>
      </c>
      <c r="J228" s="19">
        <f>AVERAGEIF(Продажи[Категория товара],Продажи[[#This Row],[Категория товара]],Продажи[цена за шт в рублях])</f>
        <v>268.60344827586209</v>
      </c>
      <c r="K228" s="20">
        <f>Продажи[[#This Row],[цена за шт в рублях]]/Продажи[[#This Row],[Средняя цена в категории за шт]]-1</f>
        <v>0.39983310867193</v>
      </c>
      <c r="L228" t="str">
        <f>VLOOKUP(Продажи[[#This Row],[id товара]],Товары[#All],3,FALSE)</f>
        <v>Сады Придонья</v>
      </c>
      <c r="M2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228" s="23">
        <f>VLOOKUP(Продажи[[#This Row],[id клиента]],Таблица4[#All],5,FALSE)</f>
        <v>44651</v>
      </c>
      <c r="O228">
        <f>Продажи[[#This Row],[дата создания чека]]-Продажи[[#This Row],[Дата регистрации клиентов]]</f>
        <v>776</v>
      </c>
      <c r="P228" t="str">
        <f>VLOOKUP(Продажи[[#This Row],[id клиента]],Таблица4[#All],7,FALSE)</f>
        <v>Таджикистан</v>
      </c>
    </row>
    <row r="229" spans="1:16" x14ac:dyDescent="0.25">
      <c r="A229">
        <v>228</v>
      </c>
      <c r="B229">
        <v>96</v>
      </c>
      <c r="C229">
        <v>362</v>
      </c>
      <c r="D229">
        <v>4</v>
      </c>
      <c r="E229">
        <v>1448</v>
      </c>
      <c r="F229" s="23">
        <v>45398</v>
      </c>
      <c r="G229" t="s">
        <v>9</v>
      </c>
      <c r="H229">
        <v>330</v>
      </c>
      <c r="I229" t="str">
        <f>VLOOKUP(Продажи[[#This Row],[id товара]],Товары[#All],2,FALSE)</f>
        <v>Соль</v>
      </c>
      <c r="J229" s="19">
        <f>AVERAGEIF(Продажи[Категория товара],Продажи[[#This Row],[Категория товара]],Продажи[цена за шт в рублях])</f>
        <v>264.8679245283019</v>
      </c>
      <c r="K229" s="20">
        <f>Продажи[[#This Row],[цена за шт в рублях]]/Продажи[[#This Row],[Средняя цена в категории за шт]]-1</f>
        <v>0.36671890582704081</v>
      </c>
      <c r="L229" t="str">
        <f>VLOOKUP(Продажи[[#This Row],[id товара]],Товары[#All],3,FALSE)</f>
        <v>Салта</v>
      </c>
      <c r="M2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229" s="23">
        <f>VLOOKUP(Продажи[[#This Row],[id клиента]],Таблица4[#All],5,FALSE)</f>
        <v>44815</v>
      </c>
      <c r="O229">
        <f>Продажи[[#This Row],[дата создания чека]]-Продажи[[#This Row],[Дата регистрации клиентов]]</f>
        <v>583</v>
      </c>
      <c r="P229" t="str">
        <f>VLOOKUP(Продажи[[#This Row],[id клиента]],Таблица4[#All],7,FALSE)</f>
        <v>Узбекистан</v>
      </c>
    </row>
    <row r="230" spans="1:16" x14ac:dyDescent="0.25">
      <c r="A230">
        <v>229</v>
      </c>
      <c r="B230">
        <v>311</v>
      </c>
      <c r="C230">
        <v>345</v>
      </c>
      <c r="D230">
        <v>5</v>
      </c>
      <c r="E230">
        <v>1725</v>
      </c>
      <c r="F230" s="23">
        <v>45421</v>
      </c>
      <c r="G230" t="s">
        <v>23</v>
      </c>
      <c r="H230">
        <v>177</v>
      </c>
      <c r="I230" t="str">
        <f>VLOOKUP(Продажи[[#This Row],[id товара]],Товары[#All],2,FALSE)</f>
        <v>Макароны</v>
      </c>
      <c r="J230" s="19">
        <f>AVERAGEIF(Продажи[Категория товара],Продажи[[#This Row],[Категория товара]],Продажи[цена за шт в рублях])</f>
        <v>265.47674418604652</v>
      </c>
      <c r="K230" s="20">
        <f>Продажи[[#This Row],[цена за шт в рублях]]/Продажи[[#This Row],[Средняя цена в категории за шт]]-1</f>
        <v>0.29954885900748973</v>
      </c>
      <c r="L230" t="str">
        <f>VLOOKUP(Продажи[[#This Row],[id товара]],Товары[#All],3,FALSE)</f>
        <v>Паста Зара</v>
      </c>
      <c r="M2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230" s="23">
        <f>VLOOKUP(Продажи[[#This Row],[id клиента]],Таблица4[#All],5,FALSE)</f>
        <v>44857</v>
      </c>
      <c r="O230">
        <f>Продажи[[#This Row],[дата создания чека]]-Продажи[[#This Row],[Дата регистрации клиентов]]</f>
        <v>564</v>
      </c>
      <c r="P230" t="str">
        <f>VLOOKUP(Продажи[[#This Row],[id клиента]],Таблица4[#All],7,FALSE)</f>
        <v>Таджикистан</v>
      </c>
    </row>
    <row r="231" spans="1:16" x14ac:dyDescent="0.25">
      <c r="A231">
        <v>230</v>
      </c>
      <c r="B231">
        <v>268</v>
      </c>
      <c r="C231">
        <v>81</v>
      </c>
      <c r="D231">
        <v>3</v>
      </c>
      <c r="E231">
        <v>243</v>
      </c>
      <c r="F231" s="23">
        <v>45106</v>
      </c>
      <c r="G231" t="s">
        <v>25</v>
      </c>
      <c r="H231">
        <v>407</v>
      </c>
      <c r="I231" t="str">
        <f>VLOOKUP(Продажи[[#This Row],[id товара]],Товары[#All],2,FALSE)</f>
        <v>Рис</v>
      </c>
      <c r="J231" s="19">
        <f>AVERAGEIF(Продажи[Категория товара],Продажи[[#This Row],[Категория товара]],Продажи[цена за шт в рублях])</f>
        <v>258.375</v>
      </c>
      <c r="K231" s="20">
        <f>Продажи[[#This Row],[цена за шт в рублях]]/Продажи[[#This Row],[Средняя цена в категории за шт]]-1</f>
        <v>-0.68650217706821481</v>
      </c>
      <c r="L231" t="str">
        <f>VLOOKUP(Продажи[[#This Row],[id товара]],Товары[#All],3,FALSE)</f>
        <v>Мистраль</v>
      </c>
      <c r="M2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231" s="23">
        <f>VLOOKUP(Продажи[[#This Row],[id клиента]],Таблица4[#All],5,FALSE)</f>
        <v>44621</v>
      </c>
      <c r="O231">
        <f>Продажи[[#This Row],[дата создания чека]]-Продажи[[#This Row],[Дата регистрации клиентов]]</f>
        <v>485</v>
      </c>
      <c r="P231" t="str">
        <f>VLOOKUP(Продажи[[#This Row],[id клиента]],Таблица4[#All],7,FALSE)</f>
        <v>Беларусь</v>
      </c>
    </row>
    <row r="232" spans="1:16" x14ac:dyDescent="0.25">
      <c r="A232">
        <v>231</v>
      </c>
      <c r="B232">
        <v>495</v>
      </c>
      <c r="C232">
        <v>97</v>
      </c>
      <c r="D232">
        <v>4</v>
      </c>
      <c r="E232">
        <v>388</v>
      </c>
      <c r="F232" s="23">
        <v>45409</v>
      </c>
      <c r="G232" t="s">
        <v>12</v>
      </c>
      <c r="H232">
        <v>181</v>
      </c>
      <c r="I232" t="str">
        <f>VLOOKUP(Продажи[[#This Row],[id товара]],Товары[#All],2,FALSE)</f>
        <v>Чай</v>
      </c>
      <c r="J232" s="19">
        <f>AVERAGEIF(Продажи[Категория товара],Продажи[[#This Row],[Категория товара]],Продажи[цена за шт в рублях])</f>
        <v>271.18181818181819</v>
      </c>
      <c r="K232" s="20">
        <f>Продажи[[#This Row],[цена за шт в рублях]]/Продажи[[#This Row],[Средняя цена в категории за шт]]-1</f>
        <v>-0.64230640295005026</v>
      </c>
      <c r="L232" t="str">
        <f>VLOOKUP(Продажи[[#This Row],[id товара]],Товары[#All],3,FALSE)</f>
        <v>Greenfield</v>
      </c>
      <c r="M2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232" s="23">
        <f>VLOOKUP(Продажи[[#This Row],[id клиента]],Таблица4[#All],5,FALSE)</f>
        <v>44568</v>
      </c>
      <c r="O232">
        <f>Продажи[[#This Row],[дата создания чека]]-Продажи[[#This Row],[Дата регистрации клиентов]]</f>
        <v>841</v>
      </c>
      <c r="P232" t="str">
        <f>VLOOKUP(Продажи[[#This Row],[id клиента]],Таблица4[#All],7,FALSE)</f>
        <v>Украина</v>
      </c>
    </row>
    <row r="233" spans="1:16" x14ac:dyDescent="0.25">
      <c r="A233">
        <v>232</v>
      </c>
      <c r="B233">
        <v>436</v>
      </c>
      <c r="C233">
        <v>184</v>
      </c>
      <c r="D233">
        <v>4</v>
      </c>
      <c r="E233">
        <v>736</v>
      </c>
      <c r="F233" s="23">
        <v>45147</v>
      </c>
      <c r="G233" t="s">
        <v>10</v>
      </c>
      <c r="H233">
        <v>166</v>
      </c>
      <c r="I233" t="str">
        <f>VLOOKUP(Продажи[[#This Row],[id товара]],Товары[#All],2,FALSE)</f>
        <v>Овощи</v>
      </c>
      <c r="J233" s="19">
        <f>AVERAGEIF(Продажи[Категория товара],Продажи[[#This Row],[Категория товара]],Продажи[цена за шт в рублях])</f>
        <v>250.48780487804879</v>
      </c>
      <c r="K233" s="20">
        <f>Продажи[[#This Row],[цена за шт в рублях]]/Продажи[[#This Row],[Средняя цена в категории за шт]]-1</f>
        <v>-0.26543330087633887</v>
      </c>
      <c r="L233" t="str">
        <f>VLOOKUP(Продажи[[#This Row],[id товара]],Товары[#All],3,FALSE)</f>
        <v>Гавриш</v>
      </c>
      <c r="M2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233" s="23">
        <f>VLOOKUP(Продажи[[#This Row],[id клиента]],Таблица4[#All],5,FALSE)</f>
        <v>44796</v>
      </c>
      <c r="O233">
        <f>Продажи[[#This Row],[дата создания чека]]-Продажи[[#This Row],[Дата регистрации клиентов]]</f>
        <v>351</v>
      </c>
      <c r="P233" t="str">
        <f>VLOOKUP(Продажи[[#This Row],[id клиента]],Таблица4[#All],7,FALSE)</f>
        <v>Узбекистан</v>
      </c>
    </row>
    <row r="234" spans="1:16" x14ac:dyDescent="0.25">
      <c r="A234">
        <v>233</v>
      </c>
      <c r="B234">
        <v>358</v>
      </c>
      <c r="C234">
        <v>172</v>
      </c>
      <c r="D234">
        <v>1</v>
      </c>
      <c r="E234">
        <v>172</v>
      </c>
      <c r="F234" s="23">
        <v>45379</v>
      </c>
      <c r="G234" t="s">
        <v>23</v>
      </c>
      <c r="H234">
        <v>478</v>
      </c>
      <c r="I234" t="str">
        <f>VLOOKUP(Продажи[[#This Row],[id товара]],Товары[#All],2,FALSE)</f>
        <v>Конфеты</v>
      </c>
      <c r="J234" s="19">
        <f>AVERAGEIF(Продажи[Категория товара],Продажи[[#This Row],[Категория товара]],Продажи[цена за шт в рублях])</f>
        <v>267.85483870967744</v>
      </c>
      <c r="K234" s="20">
        <f>Продажи[[#This Row],[цена за шт в рублях]]/Продажи[[#This Row],[Средняя цена в категории за шт]]-1</f>
        <v>-0.3578611428915518</v>
      </c>
      <c r="L234" t="str">
        <f>VLOOKUP(Продажи[[#This Row],[id товара]],Товары[#All],3,FALSE)</f>
        <v>Славянка</v>
      </c>
      <c r="M2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234" s="23">
        <f>VLOOKUP(Продажи[[#This Row],[id клиента]],Таблица4[#All],5,FALSE)</f>
        <v>44726</v>
      </c>
      <c r="O234">
        <f>Продажи[[#This Row],[дата создания чека]]-Продажи[[#This Row],[Дата регистрации клиентов]]</f>
        <v>653</v>
      </c>
      <c r="P234" t="str">
        <f>VLOOKUP(Продажи[[#This Row],[id клиента]],Таблица4[#All],7,FALSE)</f>
        <v>Украина</v>
      </c>
    </row>
    <row r="235" spans="1:16" x14ac:dyDescent="0.25">
      <c r="A235">
        <v>234</v>
      </c>
      <c r="B235">
        <v>160</v>
      </c>
      <c r="C235">
        <v>288</v>
      </c>
      <c r="D235">
        <v>2</v>
      </c>
      <c r="E235">
        <v>576</v>
      </c>
      <c r="F235" s="23">
        <v>44996</v>
      </c>
      <c r="G235" t="s">
        <v>18</v>
      </c>
      <c r="H235">
        <v>429</v>
      </c>
      <c r="I235" t="str">
        <f>VLOOKUP(Продажи[[#This Row],[id товара]],Товары[#All],2,FALSE)</f>
        <v>Крупа</v>
      </c>
      <c r="J235" s="19">
        <f>AVERAGEIF(Продажи[Категория товара],Продажи[[#This Row],[Категория товара]],Продажи[цена за шт в рублях])</f>
        <v>255.11627906976744</v>
      </c>
      <c r="K235" s="20">
        <f>Продажи[[#This Row],[цена за шт в рублях]]/Продажи[[#This Row],[Средняя цена в категории за шт]]-1</f>
        <v>0.12889699179580671</v>
      </c>
      <c r="L235" t="str">
        <f>VLOOKUP(Продажи[[#This Row],[id товара]],Товары[#All],3,FALSE)</f>
        <v>Мистраль</v>
      </c>
      <c r="M2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235" s="23">
        <f>VLOOKUP(Продажи[[#This Row],[id клиента]],Таблица4[#All],5,FALSE)</f>
        <v>44625</v>
      </c>
      <c r="O235">
        <f>Продажи[[#This Row],[дата создания чека]]-Продажи[[#This Row],[Дата регистрации клиентов]]</f>
        <v>371</v>
      </c>
      <c r="P235" t="str">
        <f>VLOOKUP(Продажи[[#This Row],[id клиента]],Таблица4[#All],7,FALSE)</f>
        <v>Таджикистан</v>
      </c>
    </row>
    <row r="236" spans="1:16" x14ac:dyDescent="0.25">
      <c r="A236">
        <v>235</v>
      </c>
      <c r="B236">
        <v>23</v>
      </c>
      <c r="C236">
        <v>174</v>
      </c>
      <c r="D236">
        <v>3</v>
      </c>
      <c r="E236">
        <v>522</v>
      </c>
      <c r="F236" s="23">
        <v>45396</v>
      </c>
      <c r="G236" t="s">
        <v>21</v>
      </c>
      <c r="H236">
        <v>181</v>
      </c>
      <c r="I236" t="str">
        <f>VLOOKUP(Продажи[[#This Row],[id товара]],Товары[#All],2,FALSE)</f>
        <v>Рыба</v>
      </c>
      <c r="J236" s="19">
        <f>AVERAGEIF(Продажи[Категория товара],Продажи[[#This Row],[Категория товара]],Продажи[цена за шт в рублях])</f>
        <v>258.5128205128205</v>
      </c>
      <c r="K236" s="20">
        <f>Продажи[[#This Row],[цена за шт в рублях]]/Продажи[[#This Row],[Средняя цена в категории за шт]]-1</f>
        <v>-0.32691926205118027</v>
      </c>
      <c r="L236" t="str">
        <f>VLOOKUP(Продажи[[#This Row],[id товара]],Товары[#All],3,FALSE)</f>
        <v>Санта Бремор</v>
      </c>
      <c r="M2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236" s="23">
        <f>VLOOKUP(Продажи[[#This Row],[id клиента]],Таблица4[#All],5,FALSE)</f>
        <v>44568</v>
      </c>
      <c r="O236">
        <f>Продажи[[#This Row],[дата создания чека]]-Продажи[[#This Row],[Дата регистрации клиентов]]</f>
        <v>828</v>
      </c>
      <c r="P236" t="str">
        <f>VLOOKUP(Продажи[[#This Row],[id клиента]],Таблица4[#All],7,FALSE)</f>
        <v>Украина</v>
      </c>
    </row>
    <row r="237" spans="1:16" x14ac:dyDescent="0.25">
      <c r="A237">
        <v>236</v>
      </c>
      <c r="B237">
        <v>49</v>
      </c>
      <c r="C237">
        <v>292</v>
      </c>
      <c r="D237">
        <v>3</v>
      </c>
      <c r="E237">
        <v>876</v>
      </c>
      <c r="F237" s="23">
        <v>45059</v>
      </c>
      <c r="G237" t="s">
        <v>9</v>
      </c>
      <c r="H237">
        <v>431</v>
      </c>
      <c r="I237" t="str">
        <f>VLOOKUP(Продажи[[#This Row],[id товара]],Товары[#All],2,FALSE)</f>
        <v>Рис</v>
      </c>
      <c r="J237" s="19">
        <f>AVERAGEIF(Продажи[Категория товара],Продажи[[#This Row],[Категория товара]],Продажи[цена за шт в рублях])</f>
        <v>258.375</v>
      </c>
      <c r="K237" s="20">
        <f>Продажи[[#This Row],[цена за шт в рублях]]/Продажи[[#This Row],[Средняя цена в категории за шт]]-1</f>
        <v>0.1301402999516208</v>
      </c>
      <c r="L237" t="str">
        <f>VLOOKUP(Продажи[[#This Row],[id товара]],Товары[#All],3,FALSE)</f>
        <v>Агро-Альянс</v>
      </c>
      <c r="M2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237" s="23">
        <f>VLOOKUP(Продажи[[#This Row],[id клиента]],Таблица4[#All],5,FALSE)</f>
        <v>44623</v>
      </c>
      <c r="O237">
        <f>Продажи[[#This Row],[дата создания чека]]-Продажи[[#This Row],[Дата регистрации клиентов]]</f>
        <v>436</v>
      </c>
      <c r="P237" t="str">
        <f>VLOOKUP(Продажи[[#This Row],[id клиента]],Таблица4[#All],7,FALSE)</f>
        <v>Россия</v>
      </c>
    </row>
    <row r="238" spans="1:16" x14ac:dyDescent="0.25">
      <c r="A238">
        <v>237</v>
      </c>
      <c r="B238">
        <v>485</v>
      </c>
      <c r="C238">
        <v>243</v>
      </c>
      <c r="D238">
        <v>3</v>
      </c>
      <c r="E238">
        <v>729</v>
      </c>
      <c r="F238" s="23">
        <v>44987</v>
      </c>
      <c r="G238" t="s">
        <v>21</v>
      </c>
      <c r="H238">
        <v>34</v>
      </c>
      <c r="I238" t="str">
        <f>VLOOKUP(Продажи[[#This Row],[id товара]],Товары[#All],2,FALSE)</f>
        <v>Макароны</v>
      </c>
      <c r="J238" s="19">
        <f>AVERAGEIF(Продажи[Категория товара],Продажи[[#This Row],[Категория товара]],Продажи[цена за шт в рублях])</f>
        <v>265.47674418604652</v>
      </c>
      <c r="K238" s="20">
        <f>Продажи[[#This Row],[цена за шт в рублях]]/Продажи[[#This Row],[Средняя цена в категории за шт]]-1</f>
        <v>-8.4665586264289772E-2</v>
      </c>
      <c r="L238" t="str">
        <f>VLOOKUP(Продажи[[#This Row],[id товара]],Товары[#All],3,FALSE)</f>
        <v>Борилла</v>
      </c>
      <c r="M2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238" s="23">
        <f>VLOOKUP(Продажи[[#This Row],[id клиента]],Таблица4[#All],5,FALSE)</f>
        <v>44654</v>
      </c>
      <c r="O238">
        <f>Продажи[[#This Row],[дата создания чека]]-Продажи[[#This Row],[Дата регистрации клиентов]]</f>
        <v>333</v>
      </c>
      <c r="P238" t="str">
        <f>VLOOKUP(Продажи[[#This Row],[id клиента]],Таблица4[#All],7,FALSE)</f>
        <v>Таджикистан</v>
      </c>
    </row>
    <row r="239" spans="1:16" x14ac:dyDescent="0.25">
      <c r="A239">
        <v>238</v>
      </c>
      <c r="B239">
        <v>131</v>
      </c>
      <c r="C239">
        <v>382</v>
      </c>
      <c r="D239">
        <v>5</v>
      </c>
      <c r="E239">
        <v>1910</v>
      </c>
      <c r="F239" s="23">
        <v>45365</v>
      </c>
      <c r="G239" t="s">
        <v>13</v>
      </c>
      <c r="H239">
        <v>147</v>
      </c>
      <c r="I239" t="str">
        <f>VLOOKUP(Продажи[[#This Row],[id товара]],Товары[#All],2,FALSE)</f>
        <v>Сок</v>
      </c>
      <c r="J239" s="19">
        <f>AVERAGEIF(Продажи[Категория товара],Продажи[[#This Row],[Категория товара]],Продажи[цена за шт в рублях])</f>
        <v>268.60344827586209</v>
      </c>
      <c r="K239" s="20">
        <f>Продажи[[#This Row],[цена за шт в рублях]]/Продажи[[#This Row],[Средняя цена в категории за шт]]-1</f>
        <v>0.42217087104435436</v>
      </c>
      <c r="L239" t="str">
        <f>VLOOKUP(Продажи[[#This Row],[id товара]],Товары[#All],3,FALSE)</f>
        <v>Сады Придонья</v>
      </c>
      <c r="M2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239" s="23">
        <f>VLOOKUP(Продажи[[#This Row],[id клиента]],Таблица4[#All],5,FALSE)</f>
        <v>44827</v>
      </c>
      <c r="O239">
        <f>Продажи[[#This Row],[дата создания чека]]-Продажи[[#This Row],[Дата регистрации клиентов]]</f>
        <v>538</v>
      </c>
      <c r="P239" t="str">
        <f>VLOOKUP(Продажи[[#This Row],[id клиента]],Таблица4[#All],7,FALSE)</f>
        <v>Россия</v>
      </c>
    </row>
    <row r="240" spans="1:16" x14ac:dyDescent="0.25">
      <c r="A240">
        <v>239</v>
      </c>
      <c r="B240">
        <v>270</v>
      </c>
      <c r="C240">
        <v>308</v>
      </c>
      <c r="D240">
        <v>1</v>
      </c>
      <c r="E240">
        <v>308</v>
      </c>
      <c r="F240" s="23">
        <v>45322</v>
      </c>
      <c r="G240" t="s">
        <v>9</v>
      </c>
      <c r="H240">
        <v>496</v>
      </c>
      <c r="I240" t="str">
        <f>VLOOKUP(Продажи[[#This Row],[id товара]],Товары[#All],2,FALSE)</f>
        <v>Соль</v>
      </c>
      <c r="J240" s="19">
        <f>AVERAGEIF(Продажи[Категория товара],Продажи[[#This Row],[Категория товара]],Продажи[цена за шт в рублях])</f>
        <v>264.8679245283019</v>
      </c>
      <c r="K240" s="20">
        <f>Продажи[[#This Row],[цена за шт в рублях]]/Продажи[[#This Row],[Средняя цена в категории за шт]]-1</f>
        <v>0.16284370993018937</v>
      </c>
      <c r="L240" t="str">
        <f>VLOOKUP(Продажи[[#This Row],[id товара]],Товары[#All],3,FALSE)</f>
        <v>Славянская</v>
      </c>
      <c r="M2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240" s="23">
        <f>VLOOKUP(Продажи[[#This Row],[id клиента]],Таблица4[#All],5,FALSE)</f>
        <v>44867</v>
      </c>
      <c r="O240">
        <f>Продажи[[#This Row],[дата создания чека]]-Продажи[[#This Row],[Дата регистрации клиентов]]</f>
        <v>455</v>
      </c>
      <c r="P240" t="str">
        <f>VLOOKUP(Продажи[[#This Row],[id клиента]],Таблица4[#All],7,FALSE)</f>
        <v>Украина</v>
      </c>
    </row>
    <row r="241" spans="1:16" x14ac:dyDescent="0.25">
      <c r="A241">
        <v>240</v>
      </c>
      <c r="B241">
        <v>345</v>
      </c>
      <c r="C241">
        <v>357</v>
      </c>
      <c r="D241">
        <v>4</v>
      </c>
      <c r="E241">
        <v>1428</v>
      </c>
      <c r="F241" s="23">
        <v>45057</v>
      </c>
      <c r="G241" t="s">
        <v>22</v>
      </c>
      <c r="H241">
        <v>202</v>
      </c>
      <c r="I241" t="str">
        <f>VLOOKUP(Продажи[[#This Row],[id товара]],Товары[#All],2,FALSE)</f>
        <v>Конфеты</v>
      </c>
      <c r="J241" s="19">
        <f>AVERAGEIF(Продажи[Категория товара],Продажи[[#This Row],[Категория товара]],Продажи[цена за шт в рублях])</f>
        <v>267.85483870967744</v>
      </c>
      <c r="K241" s="20">
        <f>Продажи[[#This Row],[цена за шт в рублях]]/Продажи[[#This Row],[Средняя цена в категории за шт]]-1</f>
        <v>0.33281146504486059</v>
      </c>
      <c r="L241" t="str">
        <f>VLOOKUP(Продажи[[#This Row],[id товара]],Товары[#All],3,FALSE)</f>
        <v>Рот Фронт</v>
      </c>
      <c r="M2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241" s="23">
        <f>VLOOKUP(Продажи[[#This Row],[id клиента]],Таблица4[#All],5,FALSE)</f>
        <v>44766</v>
      </c>
      <c r="O241">
        <f>Продажи[[#This Row],[дата создания чека]]-Продажи[[#This Row],[Дата регистрации клиентов]]</f>
        <v>291</v>
      </c>
      <c r="P241" t="str">
        <f>VLOOKUP(Продажи[[#This Row],[id клиента]],Таблица4[#All],7,FALSE)</f>
        <v>Беларусь</v>
      </c>
    </row>
    <row r="242" spans="1:16" x14ac:dyDescent="0.25">
      <c r="A242">
        <v>241</v>
      </c>
      <c r="B242">
        <v>40</v>
      </c>
      <c r="C242">
        <v>82</v>
      </c>
      <c r="D242">
        <v>1</v>
      </c>
      <c r="E242">
        <v>82</v>
      </c>
      <c r="F242" s="23">
        <v>45011</v>
      </c>
      <c r="G242" t="s">
        <v>12</v>
      </c>
      <c r="H242">
        <v>312</v>
      </c>
      <c r="I242" t="str">
        <f>VLOOKUP(Продажи[[#This Row],[id товара]],Товары[#All],2,FALSE)</f>
        <v>Колбаса</v>
      </c>
      <c r="J242" s="19">
        <f>AVERAGEIF(Продажи[Категория товара],Продажи[[#This Row],[Категория товара]],Продажи[цена за шт в рублях])</f>
        <v>286.92307692307691</v>
      </c>
      <c r="K242" s="20">
        <f>Продажи[[#This Row],[цена за шт в рублях]]/Продажи[[#This Row],[Средняя цена в категории за шт]]-1</f>
        <v>-0.71420911528150133</v>
      </c>
      <c r="L242" t="str">
        <f>VLOOKUP(Продажи[[#This Row],[id товара]],Товары[#All],3,FALSE)</f>
        <v>Микоян</v>
      </c>
      <c r="M2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82</v>
      </c>
      <c r="N242" s="23">
        <f>VLOOKUP(Продажи[[#This Row],[id клиента]],Таблица4[#All],5,FALSE)</f>
        <v>44886</v>
      </c>
      <c r="O242">
        <f>Продажи[[#This Row],[дата создания чека]]-Продажи[[#This Row],[Дата регистрации клиентов]]</f>
        <v>125</v>
      </c>
      <c r="P242" t="str">
        <f>VLOOKUP(Продажи[[#This Row],[id клиента]],Таблица4[#All],7,FALSE)</f>
        <v>Россия</v>
      </c>
    </row>
    <row r="243" spans="1:16" x14ac:dyDescent="0.25">
      <c r="A243">
        <v>242</v>
      </c>
      <c r="B243">
        <v>275</v>
      </c>
      <c r="C243">
        <v>219</v>
      </c>
      <c r="D243">
        <v>1</v>
      </c>
      <c r="E243">
        <v>219</v>
      </c>
      <c r="F243" s="23">
        <v>45028</v>
      </c>
      <c r="G243" t="s">
        <v>24</v>
      </c>
      <c r="H243">
        <v>41</v>
      </c>
      <c r="I243" t="str">
        <f>VLOOKUP(Продажи[[#This Row],[id товара]],Товары[#All],2,FALSE)</f>
        <v>Сыр</v>
      </c>
      <c r="J243" s="19">
        <f>AVERAGEIF(Продажи[Категория товара],Продажи[[#This Row],[Категория товара]],Продажи[цена за шт в рублях])</f>
        <v>262.63492063492066</v>
      </c>
      <c r="K243" s="20">
        <f>Продажи[[#This Row],[цена за шт в рублях]]/Продажи[[#This Row],[Средняя цена в категории за шт]]-1</f>
        <v>-0.16614287441073383</v>
      </c>
      <c r="L243" t="str">
        <f>VLOOKUP(Продажи[[#This Row],[id товара]],Товары[#All],3,FALSE)</f>
        <v>Сырная долина</v>
      </c>
      <c r="M2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243" s="23">
        <f>VLOOKUP(Продажи[[#This Row],[id клиента]],Таблица4[#All],5,FALSE)</f>
        <v>44842</v>
      </c>
      <c r="O243">
        <f>Продажи[[#This Row],[дата создания чека]]-Продажи[[#This Row],[Дата регистрации клиентов]]</f>
        <v>186</v>
      </c>
      <c r="P243" t="str">
        <f>VLOOKUP(Продажи[[#This Row],[id клиента]],Таблица4[#All],7,FALSE)</f>
        <v>Россия</v>
      </c>
    </row>
    <row r="244" spans="1:16" x14ac:dyDescent="0.25">
      <c r="A244">
        <v>243</v>
      </c>
      <c r="B244">
        <v>205</v>
      </c>
      <c r="C244">
        <v>117</v>
      </c>
      <c r="D244">
        <v>5</v>
      </c>
      <c r="E244">
        <v>585</v>
      </c>
      <c r="F244" s="23">
        <v>45006</v>
      </c>
      <c r="G244" t="s">
        <v>27</v>
      </c>
      <c r="H244">
        <v>389</v>
      </c>
      <c r="I244" t="str">
        <f>VLOOKUP(Продажи[[#This Row],[id товара]],Товары[#All],2,FALSE)</f>
        <v>Макароны</v>
      </c>
      <c r="J244" s="19">
        <f>AVERAGEIF(Продажи[Категория товара],Продажи[[#This Row],[Категория товара]],Продажи[цена за шт в рублях])</f>
        <v>265.47674418604652</v>
      </c>
      <c r="K244" s="20">
        <f>Продажи[[#This Row],[цена за шт в рублях]]/Продажи[[#This Row],[Средняя цена в категории за шт]]-1</f>
        <v>-0.559283430423547</v>
      </c>
      <c r="L244" t="str">
        <f>VLOOKUP(Продажи[[#This Row],[id товара]],Товары[#All],3,FALSE)</f>
        <v>Борилла</v>
      </c>
      <c r="M2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244" s="23">
        <f>VLOOKUP(Продажи[[#This Row],[id клиента]],Таблица4[#All],5,FALSE)</f>
        <v>44876</v>
      </c>
      <c r="O244">
        <f>Продажи[[#This Row],[дата создания чека]]-Продажи[[#This Row],[Дата регистрации клиентов]]</f>
        <v>130</v>
      </c>
      <c r="P244" t="str">
        <f>VLOOKUP(Продажи[[#This Row],[id клиента]],Таблица4[#All],7,FALSE)</f>
        <v>Россия</v>
      </c>
    </row>
    <row r="245" spans="1:16" x14ac:dyDescent="0.25">
      <c r="A245">
        <v>244</v>
      </c>
      <c r="B245">
        <v>219</v>
      </c>
      <c r="C245">
        <v>474</v>
      </c>
      <c r="D245">
        <v>5</v>
      </c>
      <c r="E245">
        <v>2370</v>
      </c>
      <c r="F245" s="23">
        <v>45300</v>
      </c>
      <c r="G245" t="s">
        <v>18</v>
      </c>
      <c r="H245">
        <v>24</v>
      </c>
      <c r="I245" t="str">
        <f>VLOOKUP(Продажи[[#This Row],[id товара]],Товары[#All],2,FALSE)</f>
        <v>Йогурт</v>
      </c>
      <c r="J245" s="19">
        <f>AVERAGEIF(Продажи[Категория товара],Продажи[[#This Row],[Категория товара]],Продажи[цена за шт в рублях])</f>
        <v>263.25423728813558</v>
      </c>
      <c r="K245" s="20">
        <f>Продажи[[#This Row],[цена за шт в рублях]]/Продажи[[#This Row],[Средняя цена в категории за шт]]-1</f>
        <v>0.80054081895441676</v>
      </c>
      <c r="L245" t="str">
        <f>VLOOKUP(Продажи[[#This Row],[id товара]],Товары[#All],3,FALSE)</f>
        <v>Чудо</v>
      </c>
      <c r="M2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245" s="23">
        <f>VLOOKUP(Продажи[[#This Row],[id клиента]],Таблица4[#All],5,FALSE)</f>
        <v>44609</v>
      </c>
      <c r="O245">
        <f>Продажи[[#This Row],[дата создания чека]]-Продажи[[#This Row],[Дата регистрации клиентов]]</f>
        <v>691</v>
      </c>
      <c r="P245" t="str">
        <f>VLOOKUP(Продажи[[#This Row],[id клиента]],Таблица4[#All],7,FALSE)</f>
        <v>Узбекистан</v>
      </c>
    </row>
    <row r="246" spans="1:16" x14ac:dyDescent="0.25">
      <c r="A246">
        <v>245</v>
      </c>
      <c r="B246">
        <v>425</v>
      </c>
      <c r="C246">
        <v>334</v>
      </c>
      <c r="D246">
        <v>2</v>
      </c>
      <c r="E246">
        <v>668</v>
      </c>
      <c r="F246" s="23">
        <v>45187</v>
      </c>
      <c r="G246" t="s">
        <v>15</v>
      </c>
      <c r="H246">
        <v>25</v>
      </c>
      <c r="I246" t="str">
        <f>VLOOKUP(Продажи[[#This Row],[id товара]],Товары[#All],2,FALSE)</f>
        <v>Соль</v>
      </c>
      <c r="J246" s="19">
        <f>AVERAGEIF(Продажи[Категория товара],Продажи[[#This Row],[Категория товара]],Продажи[цена за шт в рублях])</f>
        <v>264.8679245283019</v>
      </c>
      <c r="K246" s="20">
        <f>Продажи[[#This Row],[цена за шт в рублях]]/Продажи[[#This Row],[Средняя цена в категории за шт]]-1</f>
        <v>0.2610058412879328</v>
      </c>
      <c r="L246" t="str">
        <f>VLOOKUP(Продажи[[#This Row],[id товара]],Товары[#All],3,FALSE)</f>
        <v>Экстра</v>
      </c>
      <c r="M2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246" s="23">
        <f>VLOOKUP(Продажи[[#This Row],[id клиента]],Таблица4[#All],5,FALSE)</f>
        <v>44582</v>
      </c>
      <c r="O246">
        <f>Продажи[[#This Row],[дата создания чека]]-Продажи[[#This Row],[Дата регистрации клиентов]]</f>
        <v>605</v>
      </c>
      <c r="P246" t="str">
        <f>VLOOKUP(Продажи[[#This Row],[id клиента]],Таблица4[#All],7,FALSE)</f>
        <v>Таджикистан</v>
      </c>
    </row>
    <row r="247" spans="1:16" x14ac:dyDescent="0.25">
      <c r="A247">
        <v>246</v>
      </c>
      <c r="B247">
        <v>452</v>
      </c>
      <c r="C247">
        <v>220</v>
      </c>
      <c r="D247">
        <v>5</v>
      </c>
      <c r="E247">
        <v>1100</v>
      </c>
      <c r="F247" s="23">
        <v>44951</v>
      </c>
      <c r="G247" t="s">
        <v>12</v>
      </c>
      <c r="H247">
        <v>411</v>
      </c>
      <c r="I247" t="str">
        <f>VLOOKUP(Продажи[[#This Row],[id товара]],Товары[#All],2,FALSE)</f>
        <v>Фрукты</v>
      </c>
      <c r="J247" s="19">
        <f>AVERAGEIF(Продажи[Категория товара],Продажи[[#This Row],[Категория товара]],Продажи[цена за шт в рублях])</f>
        <v>274.16279069767444</v>
      </c>
      <c r="K247" s="20">
        <f>Продажи[[#This Row],[цена за шт в рублях]]/Продажи[[#This Row],[Средняя цена в категории за шт]]-1</f>
        <v>-0.19755704470268898</v>
      </c>
      <c r="L247" t="str">
        <f>VLOOKUP(Продажи[[#This Row],[id товара]],Товары[#All],3,FALSE)</f>
        <v>Экзотик</v>
      </c>
      <c r="M2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247" s="23">
        <f>VLOOKUP(Продажи[[#This Row],[id клиента]],Таблица4[#All],5,FALSE)</f>
        <v>44673</v>
      </c>
      <c r="O247">
        <f>Продажи[[#This Row],[дата создания чека]]-Продажи[[#This Row],[Дата регистрации клиентов]]</f>
        <v>278</v>
      </c>
      <c r="P247" t="str">
        <f>VLOOKUP(Продажи[[#This Row],[id клиента]],Таблица4[#All],7,FALSE)</f>
        <v>Таджикистан</v>
      </c>
    </row>
    <row r="248" spans="1:16" x14ac:dyDescent="0.25">
      <c r="A248">
        <v>247</v>
      </c>
      <c r="B248">
        <v>285</v>
      </c>
      <c r="C248">
        <v>282</v>
      </c>
      <c r="D248">
        <v>5</v>
      </c>
      <c r="E248">
        <v>1410</v>
      </c>
      <c r="F248" s="23">
        <v>45405</v>
      </c>
      <c r="G248" t="s">
        <v>24</v>
      </c>
      <c r="H248">
        <v>106</v>
      </c>
      <c r="I248" t="str">
        <f>VLOOKUP(Продажи[[#This Row],[id товара]],Товары[#All],2,FALSE)</f>
        <v>Макароны</v>
      </c>
      <c r="J248" s="19">
        <f>AVERAGEIF(Продажи[Категория товара],Продажи[[#This Row],[Категория товара]],Продажи[цена за шт в рублях])</f>
        <v>265.47674418604652</v>
      </c>
      <c r="K248" s="20">
        <f>Продажи[[#This Row],[цена за шт в рублях]]/Продажи[[#This Row],[Средняя цена в категории за шт]]-1</f>
        <v>6.2239936927861228E-2</v>
      </c>
      <c r="L248" t="str">
        <f>VLOOKUP(Продажи[[#This Row],[id товара]],Товары[#All],3,FALSE)</f>
        <v>Паста Зара</v>
      </c>
      <c r="M2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248" s="23">
        <f>VLOOKUP(Продажи[[#This Row],[id клиента]],Таблица4[#All],5,FALSE)</f>
        <v>44858</v>
      </c>
      <c r="O248">
        <f>Продажи[[#This Row],[дата создания чека]]-Продажи[[#This Row],[Дата регистрации клиентов]]</f>
        <v>547</v>
      </c>
      <c r="P248" t="str">
        <f>VLOOKUP(Продажи[[#This Row],[id клиента]],Таблица4[#All],7,FALSE)</f>
        <v>Украина</v>
      </c>
    </row>
    <row r="249" spans="1:16" x14ac:dyDescent="0.25">
      <c r="A249">
        <v>248</v>
      </c>
      <c r="B249">
        <v>435</v>
      </c>
      <c r="C249">
        <v>499</v>
      </c>
      <c r="D249">
        <v>5</v>
      </c>
      <c r="E249">
        <v>2495</v>
      </c>
      <c r="F249" s="23">
        <v>44942</v>
      </c>
      <c r="G249" t="s">
        <v>12</v>
      </c>
      <c r="H249">
        <v>175</v>
      </c>
      <c r="I249" t="str">
        <f>VLOOKUP(Продажи[[#This Row],[id товара]],Товары[#All],2,FALSE)</f>
        <v>Мясо</v>
      </c>
      <c r="J249" s="19">
        <f>AVERAGEIF(Продажи[Категория товара],Продажи[[#This Row],[Категория товара]],Продажи[цена за шт в рублях])</f>
        <v>271.74545454545455</v>
      </c>
      <c r="K249" s="20">
        <f>Продажи[[#This Row],[цена за шт в рублях]]/Продажи[[#This Row],[Средняя цена в категории за шт]]-1</f>
        <v>0.83627726482001874</v>
      </c>
      <c r="L249" t="str">
        <f>VLOOKUP(Продажи[[#This Row],[id товара]],Товары[#All],3,FALSE)</f>
        <v>Снежана</v>
      </c>
      <c r="M2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249" s="23">
        <f>VLOOKUP(Продажи[[#This Row],[id клиента]],Таблица4[#All],5,FALSE)</f>
        <v>44565</v>
      </c>
      <c r="O249">
        <f>Продажи[[#This Row],[дата создания чека]]-Продажи[[#This Row],[Дата регистрации клиентов]]</f>
        <v>377</v>
      </c>
      <c r="P249" t="str">
        <f>VLOOKUP(Продажи[[#This Row],[id клиента]],Таблица4[#All],7,FALSE)</f>
        <v>Россия</v>
      </c>
    </row>
    <row r="250" spans="1:16" x14ac:dyDescent="0.25">
      <c r="A250">
        <v>249</v>
      </c>
      <c r="B250">
        <v>26</v>
      </c>
      <c r="C250">
        <v>170</v>
      </c>
      <c r="D250">
        <v>1</v>
      </c>
      <c r="E250">
        <v>170</v>
      </c>
      <c r="F250" s="23">
        <v>45139</v>
      </c>
      <c r="G250" t="s">
        <v>25</v>
      </c>
      <c r="H250">
        <v>286</v>
      </c>
      <c r="I250" t="str">
        <f>VLOOKUP(Продажи[[#This Row],[id товара]],Товары[#All],2,FALSE)</f>
        <v>Мясо</v>
      </c>
      <c r="J250" s="19">
        <f>AVERAGEIF(Продажи[Категория товара],Продажи[[#This Row],[Категория товара]],Продажи[цена за шт в рублях])</f>
        <v>271.74545454545455</v>
      </c>
      <c r="K250" s="20">
        <f>Продажи[[#This Row],[цена за шт в рублях]]/Продажи[[#This Row],[Средняя цена в категории за шт]]-1</f>
        <v>-0.37441455907935239</v>
      </c>
      <c r="L250" t="str">
        <f>VLOOKUP(Продажи[[#This Row],[id товара]],Товары[#All],3,FALSE)</f>
        <v>Сава</v>
      </c>
      <c r="M2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250" s="23">
        <f>VLOOKUP(Продажи[[#This Row],[id клиента]],Таблица4[#All],5,FALSE)</f>
        <v>44563</v>
      </c>
      <c r="O250">
        <f>Продажи[[#This Row],[дата создания чека]]-Продажи[[#This Row],[Дата регистрации клиентов]]</f>
        <v>576</v>
      </c>
      <c r="P250" t="str">
        <f>VLOOKUP(Продажи[[#This Row],[id клиента]],Таблица4[#All],7,FALSE)</f>
        <v>Таджикистан</v>
      </c>
    </row>
    <row r="251" spans="1:16" x14ac:dyDescent="0.25">
      <c r="A251">
        <v>250</v>
      </c>
      <c r="B251">
        <v>157</v>
      </c>
      <c r="C251">
        <v>52</v>
      </c>
      <c r="D251">
        <v>1</v>
      </c>
      <c r="E251">
        <v>52</v>
      </c>
      <c r="F251" s="23">
        <v>44961</v>
      </c>
      <c r="G251" t="s">
        <v>8</v>
      </c>
      <c r="H251">
        <v>249</v>
      </c>
      <c r="I251" t="str">
        <f>VLOOKUP(Продажи[[#This Row],[id товара]],Товары[#All],2,FALSE)</f>
        <v>Сыр</v>
      </c>
      <c r="J251" s="19">
        <f>AVERAGEIF(Продажи[Категория товара],Продажи[[#This Row],[Категория товара]],Продажи[цена за шт в рублях])</f>
        <v>262.63492063492066</v>
      </c>
      <c r="K251" s="20">
        <f>Продажи[[#This Row],[цена за шт в рублях]]/Продажи[[#This Row],[Средняя цена в категории за шт]]-1</f>
        <v>-0.80200652725734312</v>
      </c>
      <c r="L251" t="str">
        <f>VLOOKUP(Продажи[[#This Row],[id товара]],Товары[#All],3,FALSE)</f>
        <v>President</v>
      </c>
      <c r="M2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251" s="23">
        <f>VLOOKUP(Продажи[[#This Row],[id клиента]],Таблица4[#All],5,FALSE)</f>
        <v>44781</v>
      </c>
      <c r="O251">
        <f>Продажи[[#This Row],[дата создания чека]]-Продажи[[#This Row],[Дата регистрации клиентов]]</f>
        <v>180</v>
      </c>
      <c r="P251" t="str">
        <f>VLOOKUP(Продажи[[#This Row],[id клиента]],Таблица4[#All],7,FALSE)</f>
        <v>Россия</v>
      </c>
    </row>
    <row r="252" spans="1:16" x14ac:dyDescent="0.25">
      <c r="A252">
        <v>251</v>
      </c>
      <c r="B252">
        <v>273</v>
      </c>
      <c r="C252">
        <v>156</v>
      </c>
      <c r="D252">
        <v>5</v>
      </c>
      <c r="E252">
        <v>780</v>
      </c>
      <c r="F252" s="23">
        <v>45029</v>
      </c>
      <c r="G252" t="s">
        <v>23</v>
      </c>
      <c r="H252">
        <v>168</v>
      </c>
      <c r="I252" t="str">
        <f>VLOOKUP(Продажи[[#This Row],[id товара]],Товары[#All],2,FALSE)</f>
        <v>Конфеты</v>
      </c>
      <c r="J252" s="19">
        <f>AVERAGEIF(Продажи[Категория товара],Продажи[[#This Row],[Категория товара]],Продажи[цена за шт в рублях])</f>
        <v>267.85483870967744</v>
      </c>
      <c r="K252" s="20">
        <f>Продажи[[#This Row],[цена за шт в рублях]]/Продажи[[#This Row],[Средняя цена в категории за шт]]-1</f>
        <v>-0.41759499006443068</v>
      </c>
      <c r="L252" t="str">
        <f>VLOOKUP(Продажи[[#This Row],[id товара]],Товары[#All],3,FALSE)</f>
        <v>Красный Октябрь</v>
      </c>
      <c r="M2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252" s="23">
        <f>VLOOKUP(Продажи[[#This Row],[id клиента]],Таблица4[#All],5,FALSE)</f>
        <v>44706</v>
      </c>
      <c r="O252">
        <f>Продажи[[#This Row],[дата создания чека]]-Продажи[[#This Row],[Дата регистрации клиентов]]</f>
        <v>323</v>
      </c>
      <c r="P252" t="str">
        <f>VLOOKUP(Продажи[[#This Row],[id клиента]],Таблица4[#All],7,FALSE)</f>
        <v>Узбекистан</v>
      </c>
    </row>
    <row r="253" spans="1:16" x14ac:dyDescent="0.25">
      <c r="A253">
        <v>252</v>
      </c>
      <c r="B253">
        <v>340</v>
      </c>
      <c r="C253">
        <v>450</v>
      </c>
      <c r="D253">
        <v>3</v>
      </c>
      <c r="E253">
        <v>1350</v>
      </c>
      <c r="F253" s="23">
        <v>44933</v>
      </c>
      <c r="G253" t="s">
        <v>15</v>
      </c>
      <c r="H253">
        <v>121</v>
      </c>
      <c r="I253" t="str">
        <f>VLOOKUP(Продажи[[#This Row],[id товара]],Товары[#All],2,FALSE)</f>
        <v>Сыр</v>
      </c>
      <c r="J253" s="19">
        <f>AVERAGEIF(Продажи[Категория товара],Продажи[[#This Row],[Категория товара]],Продажи[цена за шт в рублях])</f>
        <v>262.63492063492066</v>
      </c>
      <c r="K253" s="20">
        <f>Продажи[[#This Row],[цена за шт в рублях]]/Продажи[[#This Row],[Средняя цена в категории за шт]]-1</f>
        <v>0.71340505258068387</v>
      </c>
      <c r="L253" t="str">
        <f>VLOOKUP(Продажи[[#This Row],[id товара]],Товары[#All],3,FALSE)</f>
        <v>Карат</v>
      </c>
      <c r="M2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253" s="23">
        <f>VLOOKUP(Продажи[[#This Row],[id клиента]],Таблица4[#All],5,FALSE)</f>
        <v>44763</v>
      </c>
      <c r="O253">
        <f>Продажи[[#This Row],[дата создания чека]]-Продажи[[#This Row],[Дата регистрации клиентов]]</f>
        <v>170</v>
      </c>
      <c r="P253" t="str">
        <f>VLOOKUP(Продажи[[#This Row],[id клиента]],Таблица4[#All],7,FALSE)</f>
        <v>Россия</v>
      </c>
    </row>
    <row r="254" spans="1:16" x14ac:dyDescent="0.25">
      <c r="A254">
        <v>253</v>
      </c>
      <c r="B254">
        <v>34</v>
      </c>
      <c r="C254">
        <v>366</v>
      </c>
      <c r="D254">
        <v>4</v>
      </c>
      <c r="E254">
        <v>1464</v>
      </c>
      <c r="F254" s="23">
        <v>45264</v>
      </c>
      <c r="G254" t="s">
        <v>14</v>
      </c>
      <c r="H254">
        <v>259</v>
      </c>
      <c r="I254" t="str">
        <f>VLOOKUP(Продажи[[#This Row],[id товара]],Товары[#All],2,FALSE)</f>
        <v>Крупа</v>
      </c>
      <c r="J254" s="19">
        <f>AVERAGEIF(Продажи[Категория товара],Продажи[[#This Row],[Категория товара]],Продажи[цена за шт в рублях])</f>
        <v>255.11627906976744</v>
      </c>
      <c r="K254" s="20">
        <f>Продажи[[#This Row],[цена за шт в рублях]]/Продажи[[#This Row],[Средняя цена в категории за шт]]-1</f>
        <v>0.4346399270738377</v>
      </c>
      <c r="L254" t="str">
        <f>VLOOKUP(Продажи[[#This Row],[id товара]],Товары[#All],3,FALSE)</f>
        <v>Ярмарка</v>
      </c>
      <c r="M2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254" s="23">
        <f>VLOOKUP(Продажи[[#This Row],[id клиента]],Таблица4[#All],5,FALSE)</f>
        <v>44707</v>
      </c>
      <c r="O254">
        <f>Продажи[[#This Row],[дата создания чека]]-Продажи[[#This Row],[Дата регистрации клиентов]]</f>
        <v>557</v>
      </c>
      <c r="P254" t="str">
        <f>VLOOKUP(Продажи[[#This Row],[id клиента]],Таблица4[#All],7,FALSE)</f>
        <v>Беларусь</v>
      </c>
    </row>
    <row r="255" spans="1:16" x14ac:dyDescent="0.25">
      <c r="A255">
        <v>254</v>
      </c>
      <c r="B255">
        <v>296</v>
      </c>
      <c r="C255">
        <v>210</v>
      </c>
      <c r="D255">
        <v>1</v>
      </c>
      <c r="E255">
        <v>210</v>
      </c>
      <c r="F255" s="23">
        <v>45010</v>
      </c>
      <c r="G255" t="s">
        <v>9</v>
      </c>
      <c r="H255">
        <v>255</v>
      </c>
      <c r="I255" t="str">
        <f>VLOOKUP(Продажи[[#This Row],[id товара]],Товары[#All],2,FALSE)</f>
        <v>Крупа</v>
      </c>
      <c r="J255" s="19">
        <f>AVERAGEIF(Продажи[Категория товара],Продажи[[#This Row],[Категория товара]],Продажи[цена за шт в рублях])</f>
        <v>255.11627906976744</v>
      </c>
      <c r="K255" s="20">
        <f>Продажи[[#This Row],[цена за шт в рублях]]/Продажи[[#This Row],[Средняя цена в категории за шт]]-1</f>
        <v>-0.17684594348222427</v>
      </c>
      <c r="L255" t="str">
        <f>VLOOKUP(Продажи[[#This Row],[id товара]],Товары[#All],3,FALSE)</f>
        <v>Мистраль</v>
      </c>
      <c r="M2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255" s="23">
        <f>VLOOKUP(Продажи[[#This Row],[id клиента]],Таблица4[#All],5,FALSE)</f>
        <v>44793</v>
      </c>
      <c r="O255">
        <f>Продажи[[#This Row],[дата создания чека]]-Продажи[[#This Row],[Дата регистрации клиентов]]</f>
        <v>217</v>
      </c>
      <c r="P255" t="str">
        <f>VLOOKUP(Продажи[[#This Row],[id клиента]],Таблица4[#All],7,FALSE)</f>
        <v>Украина</v>
      </c>
    </row>
    <row r="256" spans="1:16" x14ac:dyDescent="0.25">
      <c r="A256">
        <v>255</v>
      </c>
      <c r="B256">
        <v>116</v>
      </c>
      <c r="C256">
        <v>379</v>
      </c>
      <c r="D256">
        <v>4</v>
      </c>
      <c r="E256">
        <v>1516</v>
      </c>
      <c r="F256" s="23">
        <v>45261</v>
      </c>
      <c r="G256" t="s">
        <v>22</v>
      </c>
      <c r="H256">
        <v>405</v>
      </c>
      <c r="I256" t="str">
        <f>VLOOKUP(Продажи[[#This Row],[id товара]],Товары[#All],2,FALSE)</f>
        <v>Соль</v>
      </c>
      <c r="J256" s="19">
        <f>AVERAGEIF(Продажи[Категория товара],Продажи[[#This Row],[Категория товара]],Продажи[цена за шт в рублях])</f>
        <v>264.8679245283019</v>
      </c>
      <c r="K256" s="20">
        <f>Продажи[[#This Row],[цена за шт в рублях]]/Продажи[[#This Row],[Средняя цена в категории за шт]]-1</f>
        <v>0.43090183786864222</v>
      </c>
      <c r="L256" t="str">
        <f>VLOOKUP(Продажи[[#This Row],[id товара]],Товары[#All],3,FALSE)</f>
        <v>Экстра</v>
      </c>
      <c r="M2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256" s="23">
        <f>VLOOKUP(Продажи[[#This Row],[id клиента]],Таблица4[#All],5,FALSE)</f>
        <v>44798</v>
      </c>
      <c r="O256">
        <f>Продажи[[#This Row],[дата создания чека]]-Продажи[[#This Row],[Дата регистрации клиентов]]</f>
        <v>463</v>
      </c>
      <c r="P256" t="str">
        <f>VLOOKUP(Продажи[[#This Row],[id клиента]],Таблица4[#All],7,FALSE)</f>
        <v>Украина</v>
      </c>
    </row>
    <row r="257" spans="1:16" x14ac:dyDescent="0.25">
      <c r="A257">
        <v>256</v>
      </c>
      <c r="B257">
        <v>117</v>
      </c>
      <c r="C257">
        <v>102</v>
      </c>
      <c r="D257">
        <v>4</v>
      </c>
      <c r="E257">
        <v>408</v>
      </c>
      <c r="F257" s="23">
        <v>45329</v>
      </c>
      <c r="G257" t="s">
        <v>24</v>
      </c>
      <c r="H257">
        <v>376</v>
      </c>
      <c r="I257" t="str">
        <f>VLOOKUP(Продажи[[#This Row],[id товара]],Товары[#All],2,FALSE)</f>
        <v>Макароны</v>
      </c>
      <c r="J257" s="19">
        <f>AVERAGEIF(Продажи[Категория товара],Продажи[[#This Row],[Категория товара]],Продажи[цена за шт в рублях])</f>
        <v>265.47674418604652</v>
      </c>
      <c r="K257" s="20">
        <f>Продажи[[#This Row],[цена за шт в рублях]]/Продажи[[#This Row],[Средняя цена в категории за шт]]-1</f>
        <v>-0.61578555472822039</v>
      </c>
      <c r="L257" t="str">
        <f>VLOOKUP(Продажи[[#This Row],[id товара]],Товары[#All],3,FALSE)</f>
        <v>Роллтон</v>
      </c>
      <c r="M2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257" s="23">
        <f>VLOOKUP(Продажи[[#This Row],[id клиента]],Таблица4[#All],5,FALSE)</f>
        <v>44730</v>
      </c>
      <c r="O257">
        <f>Продажи[[#This Row],[дата создания чека]]-Продажи[[#This Row],[Дата регистрации клиентов]]</f>
        <v>599</v>
      </c>
      <c r="P257" t="str">
        <f>VLOOKUP(Продажи[[#This Row],[id клиента]],Таблица4[#All],7,FALSE)</f>
        <v>Беларусь</v>
      </c>
    </row>
    <row r="258" spans="1:16" x14ac:dyDescent="0.25">
      <c r="A258">
        <v>257</v>
      </c>
      <c r="B258">
        <v>239</v>
      </c>
      <c r="C258">
        <v>380</v>
      </c>
      <c r="D258">
        <v>5</v>
      </c>
      <c r="E258">
        <v>1900</v>
      </c>
      <c r="F258" s="23">
        <v>45129</v>
      </c>
      <c r="G258" t="s">
        <v>8</v>
      </c>
      <c r="H258">
        <v>489</v>
      </c>
      <c r="I258" t="str">
        <f>VLOOKUP(Продажи[[#This Row],[id товара]],Товары[#All],2,FALSE)</f>
        <v>Йогурт</v>
      </c>
      <c r="J258" s="19">
        <f>AVERAGEIF(Продажи[Категория товара],Продажи[[#This Row],[Категория товара]],Продажи[цена за шт в рублях])</f>
        <v>263.25423728813558</v>
      </c>
      <c r="K258" s="20">
        <f>Продажи[[#This Row],[цена за шт в рублях]]/Продажи[[#This Row],[Средняя цена в категории за шт]]-1</f>
        <v>0.44347154262168442</v>
      </c>
      <c r="L258" t="str">
        <f>VLOOKUP(Продажи[[#This Row],[id товара]],Товары[#All],3,FALSE)</f>
        <v>Эрманн</v>
      </c>
      <c r="M2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258" s="23">
        <f>VLOOKUP(Продажи[[#This Row],[id клиента]],Таблица4[#All],5,FALSE)</f>
        <v>44587</v>
      </c>
      <c r="O258">
        <f>Продажи[[#This Row],[дата создания чека]]-Продажи[[#This Row],[Дата регистрации клиентов]]</f>
        <v>542</v>
      </c>
      <c r="P258" t="str">
        <f>VLOOKUP(Продажи[[#This Row],[id клиента]],Таблица4[#All],7,FALSE)</f>
        <v>Россия</v>
      </c>
    </row>
    <row r="259" spans="1:16" x14ac:dyDescent="0.25">
      <c r="A259">
        <v>258</v>
      </c>
      <c r="B259">
        <v>201</v>
      </c>
      <c r="C259">
        <v>355</v>
      </c>
      <c r="D259">
        <v>5</v>
      </c>
      <c r="E259">
        <v>1775</v>
      </c>
      <c r="F259" s="23">
        <v>45343</v>
      </c>
      <c r="G259" t="s">
        <v>19</v>
      </c>
      <c r="H259">
        <v>483</v>
      </c>
      <c r="I259" t="str">
        <f>VLOOKUP(Продажи[[#This Row],[id товара]],Товары[#All],2,FALSE)</f>
        <v>Печенье</v>
      </c>
      <c r="J259" s="19">
        <f>AVERAGEIF(Продажи[Категория товара],Продажи[[#This Row],[Категория товара]],Продажи[цена за шт в рублях])</f>
        <v>283.468085106383</v>
      </c>
      <c r="K259" s="20">
        <f>Продажи[[#This Row],[цена за шт в рублях]]/Продажи[[#This Row],[Средняя цена в категории за шт]]-1</f>
        <v>0.25234556781505657</v>
      </c>
      <c r="L259" t="str">
        <f>VLOOKUP(Продажи[[#This Row],[id товара]],Товары[#All],3,FALSE)</f>
        <v>Белогорье</v>
      </c>
      <c r="M2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259" s="23">
        <f>VLOOKUP(Продажи[[#This Row],[id клиента]],Таблица4[#All],5,FALSE)</f>
        <v>44855</v>
      </c>
      <c r="O259">
        <f>Продажи[[#This Row],[дата создания чека]]-Продажи[[#This Row],[Дата регистрации клиентов]]</f>
        <v>488</v>
      </c>
      <c r="P259" t="str">
        <f>VLOOKUP(Продажи[[#This Row],[id клиента]],Таблица4[#All],7,FALSE)</f>
        <v>Россия</v>
      </c>
    </row>
    <row r="260" spans="1:16" x14ac:dyDescent="0.25">
      <c r="A260">
        <v>259</v>
      </c>
      <c r="B260">
        <v>377</v>
      </c>
      <c r="C260">
        <v>403</v>
      </c>
      <c r="D260">
        <v>4</v>
      </c>
      <c r="E260">
        <v>1612</v>
      </c>
      <c r="F260" s="23">
        <v>45337</v>
      </c>
      <c r="G260" t="s">
        <v>24</v>
      </c>
      <c r="H260">
        <v>107</v>
      </c>
      <c r="I260" t="str">
        <f>VLOOKUP(Продажи[[#This Row],[id товара]],Товары[#All],2,FALSE)</f>
        <v>Колбаса</v>
      </c>
      <c r="J260" s="19">
        <f>AVERAGEIF(Продажи[Категория товара],Продажи[[#This Row],[Категория товара]],Продажи[цена за шт в рублях])</f>
        <v>286.92307692307691</v>
      </c>
      <c r="K260" s="20">
        <f>Продажи[[#This Row],[цена за шт в рублях]]/Продажи[[#This Row],[Средняя цена в категории за шт]]-1</f>
        <v>0.40455764075067036</v>
      </c>
      <c r="L260" t="str">
        <f>VLOOKUP(Продажи[[#This Row],[id товара]],Товары[#All],3,FALSE)</f>
        <v>Окраина</v>
      </c>
      <c r="M2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260" s="23">
        <f>VLOOKUP(Продажи[[#This Row],[id клиента]],Таблица4[#All],5,FALSE)</f>
        <v>44744</v>
      </c>
      <c r="O260">
        <f>Продажи[[#This Row],[дата создания чека]]-Продажи[[#This Row],[Дата регистрации клиентов]]</f>
        <v>593</v>
      </c>
      <c r="P260" t="str">
        <f>VLOOKUP(Продажи[[#This Row],[id клиента]],Таблица4[#All],7,FALSE)</f>
        <v>Таджикистан</v>
      </c>
    </row>
    <row r="261" spans="1:16" x14ac:dyDescent="0.25">
      <c r="A261">
        <v>260</v>
      </c>
      <c r="B261">
        <v>485</v>
      </c>
      <c r="C261">
        <v>101</v>
      </c>
      <c r="D261">
        <v>1</v>
      </c>
      <c r="E261">
        <v>101</v>
      </c>
      <c r="F261" s="23">
        <v>45331</v>
      </c>
      <c r="G261" t="s">
        <v>21</v>
      </c>
      <c r="H261">
        <v>51</v>
      </c>
      <c r="I261" t="str">
        <f>VLOOKUP(Продажи[[#This Row],[id товара]],Товары[#All],2,FALSE)</f>
        <v>Макароны</v>
      </c>
      <c r="J261" s="19">
        <f>AVERAGEIF(Продажи[Категория товара],Продажи[[#This Row],[Категория товара]],Продажи[цена за шт в рублях])</f>
        <v>265.47674418604652</v>
      </c>
      <c r="K261" s="20">
        <f>Продажи[[#This Row],[цена за шт в рублях]]/Продажи[[#This Row],[Средняя цена в категории за шт]]-1</f>
        <v>-0.61955236301519867</v>
      </c>
      <c r="L261" t="str">
        <f>VLOOKUP(Продажи[[#This Row],[id товара]],Товары[#All],3,FALSE)</f>
        <v>Борилла</v>
      </c>
      <c r="M2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261" s="23">
        <f>VLOOKUP(Продажи[[#This Row],[id клиента]],Таблица4[#All],5,FALSE)</f>
        <v>44605</v>
      </c>
      <c r="O261">
        <f>Продажи[[#This Row],[дата создания чека]]-Продажи[[#This Row],[Дата регистрации клиентов]]</f>
        <v>726</v>
      </c>
      <c r="P261" t="str">
        <f>VLOOKUP(Продажи[[#This Row],[id клиента]],Таблица4[#All],7,FALSE)</f>
        <v>Узбекистан</v>
      </c>
    </row>
    <row r="262" spans="1:16" x14ac:dyDescent="0.25">
      <c r="A262">
        <v>261</v>
      </c>
      <c r="B262">
        <v>251</v>
      </c>
      <c r="C262">
        <v>294</v>
      </c>
      <c r="D262">
        <v>1</v>
      </c>
      <c r="E262">
        <v>294</v>
      </c>
      <c r="F262" s="23">
        <v>45082</v>
      </c>
      <c r="G262" t="s">
        <v>12</v>
      </c>
      <c r="H262">
        <v>47</v>
      </c>
      <c r="I262" t="str">
        <f>VLOOKUP(Продажи[[#This Row],[id товара]],Товары[#All],2,FALSE)</f>
        <v>Овощи</v>
      </c>
      <c r="J262" s="19">
        <f>AVERAGEIF(Продажи[Категория товара],Продажи[[#This Row],[Категория товара]],Продажи[цена за шт в рублях])</f>
        <v>250.48780487804879</v>
      </c>
      <c r="K262" s="20">
        <f>Продажи[[#This Row],[цена за шт в рублях]]/Продажи[[#This Row],[Средняя цена в категории за шт]]-1</f>
        <v>0.17370983446932819</v>
      </c>
      <c r="L262" t="str">
        <f>VLOOKUP(Продажи[[#This Row],[id товара]],Товары[#All],3,FALSE)</f>
        <v>Гавриш</v>
      </c>
      <c r="M2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262" s="23">
        <f>VLOOKUP(Продажи[[#This Row],[id клиента]],Таблица4[#All],5,FALSE)</f>
        <v>44693</v>
      </c>
      <c r="O262">
        <f>Продажи[[#This Row],[дата создания чека]]-Продажи[[#This Row],[Дата регистрации клиентов]]</f>
        <v>389</v>
      </c>
      <c r="P262" t="str">
        <f>VLOOKUP(Продажи[[#This Row],[id клиента]],Таблица4[#All],7,FALSE)</f>
        <v>Беларусь</v>
      </c>
    </row>
    <row r="263" spans="1:16" x14ac:dyDescent="0.25">
      <c r="A263">
        <v>262</v>
      </c>
      <c r="B263">
        <v>409</v>
      </c>
      <c r="C263">
        <v>299</v>
      </c>
      <c r="D263">
        <v>1</v>
      </c>
      <c r="E263">
        <v>299</v>
      </c>
      <c r="F263" s="23">
        <v>45361</v>
      </c>
      <c r="G263" t="s">
        <v>10</v>
      </c>
      <c r="H263">
        <v>411</v>
      </c>
      <c r="I263" t="str">
        <f>VLOOKUP(Продажи[[#This Row],[id товара]],Товары[#All],2,FALSE)</f>
        <v>Фрукты</v>
      </c>
      <c r="J263" s="19">
        <f>AVERAGEIF(Продажи[Категория товара],Продажи[[#This Row],[Категория товара]],Продажи[цена за шт в рублях])</f>
        <v>274.16279069767444</v>
      </c>
      <c r="K263" s="20">
        <f>Продажи[[#This Row],[цена за шт в рублях]]/Продажи[[#This Row],[Средняя цена в категории за шт]]-1</f>
        <v>9.0592925608618202E-2</v>
      </c>
      <c r="L263" t="str">
        <f>VLOOKUP(Продажи[[#This Row],[id товара]],Товары[#All],3,FALSE)</f>
        <v>Фруктовый Рай</v>
      </c>
      <c r="M2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263" s="23">
        <f>VLOOKUP(Продажи[[#This Row],[id клиента]],Таблица4[#All],5,FALSE)</f>
        <v>44673</v>
      </c>
      <c r="O263">
        <f>Продажи[[#This Row],[дата создания чека]]-Продажи[[#This Row],[Дата регистрации клиентов]]</f>
        <v>688</v>
      </c>
      <c r="P263" t="str">
        <f>VLOOKUP(Продажи[[#This Row],[id клиента]],Таблица4[#All],7,FALSE)</f>
        <v>Таджикистан</v>
      </c>
    </row>
    <row r="264" spans="1:16" x14ac:dyDescent="0.25">
      <c r="A264">
        <v>263</v>
      </c>
      <c r="B264">
        <v>422</v>
      </c>
      <c r="C264">
        <v>349</v>
      </c>
      <c r="D264">
        <v>2</v>
      </c>
      <c r="E264">
        <v>698</v>
      </c>
      <c r="F264" s="23">
        <v>45045</v>
      </c>
      <c r="G264" t="s">
        <v>18</v>
      </c>
      <c r="H264">
        <v>160</v>
      </c>
      <c r="I264" t="str">
        <f>VLOOKUP(Продажи[[#This Row],[id товара]],Товары[#All],2,FALSE)</f>
        <v>Кофе</v>
      </c>
      <c r="J264" s="19">
        <f>AVERAGEIF(Продажи[Категория товара],Продажи[[#This Row],[Категория товара]],Продажи[цена за шт в рублях])</f>
        <v>249.02380952380952</v>
      </c>
      <c r="K264" s="20">
        <f>Продажи[[#This Row],[цена за шт в рублях]]/Продажи[[#This Row],[Средняя цена в категории за шт]]-1</f>
        <v>0.40147241610096573</v>
      </c>
      <c r="L264" t="str">
        <f>VLOOKUP(Продажи[[#This Row],[id товара]],Товары[#All],3,FALSE)</f>
        <v>Nescafe</v>
      </c>
      <c r="M2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264" s="23">
        <f>VLOOKUP(Продажи[[#This Row],[id клиента]],Таблица4[#All],5,FALSE)</f>
        <v>44649</v>
      </c>
      <c r="O264">
        <f>Продажи[[#This Row],[дата создания чека]]-Продажи[[#This Row],[Дата регистрации клиентов]]</f>
        <v>396</v>
      </c>
      <c r="P264" t="str">
        <f>VLOOKUP(Продажи[[#This Row],[id клиента]],Таблица4[#All],7,FALSE)</f>
        <v>Узбекистан</v>
      </c>
    </row>
    <row r="265" spans="1:16" x14ac:dyDescent="0.25">
      <c r="A265">
        <v>264</v>
      </c>
      <c r="B265">
        <v>222</v>
      </c>
      <c r="C265">
        <v>500</v>
      </c>
      <c r="D265">
        <v>2</v>
      </c>
      <c r="E265">
        <v>1000</v>
      </c>
      <c r="F265" s="23">
        <v>45157</v>
      </c>
      <c r="G265" t="s">
        <v>26</v>
      </c>
      <c r="H265">
        <v>9</v>
      </c>
      <c r="I265" t="str">
        <f>VLOOKUP(Продажи[[#This Row],[id товара]],Товары[#All],2,FALSE)</f>
        <v>Молоко</v>
      </c>
      <c r="J265" s="19">
        <f>AVERAGEIF(Продажи[Категория товара],Продажи[[#This Row],[Категория товара]],Продажи[цена за шт в рублях])</f>
        <v>294.95238095238096</v>
      </c>
      <c r="K265" s="20">
        <f>Продажи[[#This Row],[цена за шт в рублях]]/Продажи[[#This Row],[Средняя цена в категории за шт]]-1</f>
        <v>0.6951888924765901</v>
      </c>
      <c r="L265" t="str">
        <f>VLOOKUP(Продажи[[#This Row],[id товара]],Товары[#All],3,FALSE)</f>
        <v>Простоквашино</v>
      </c>
      <c r="M2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265" s="23">
        <f>VLOOKUP(Продажи[[#This Row],[id клиента]],Таблица4[#All],5,FALSE)</f>
        <v>44900</v>
      </c>
      <c r="O265">
        <f>Продажи[[#This Row],[дата создания чека]]-Продажи[[#This Row],[Дата регистрации клиентов]]</f>
        <v>257</v>
      </c>
      <c r="P265" t="str">
        <f>VLOOKUP(Продажи[[#This Row],[id клиента]],Таблица4[#All],7,FALSE)</f>
        <v>Таджикистан</v>
      </c>
    </row>
    <row r="266" spans="1:16" x14ac:dyDescent="0.25">
      <c r="A266">
        <v>265</v>
      </c>
      <c r="B266">
        <v>497</v>
      </c>
      <c r="C266">
        <v>387</v>
      </c>
      <c r="D266">
        <v>2</v>
      </c>
      <c r="E266">
        <v>774</v>
      </c>
      <c r="F266" s="23">
        <v>44945</v>
      </c>
      <c r="G266" t="s">
        <v>15</v>
      </c>
      <c r="H266">
        <v>456</v>
      </c>
      <c r="I266" t="str">
        <f>VLOOKUP(Продажи[[#This Row],[id товара]],Товары[#All],2,FALSE)</f>
        <v>Конфеты</v>
      </c>
      <c r="J266" s="19">
        <f>AVERAGEIF(Продажи[Категория товара],Продажи[[#This Row],[Категория товара]],Продажи[цена за шт в рублях])</f>
        <v>267.85483870967744</v>
      </c>
      <c r="K266" s="20">
        <f>Продажи[[#This Row],[цена за шт в рублях]]/Продажи[[#This Row],[Средняя цена в категории за шт]]-1</f>
        <v>0.44481242849400848</v>
      </c>
      <c r="L266" t="str">
        <f>VLOOKUP(Продажи[[#This Row],[id товара]],Товары[#All],3,FALSE)</f>
        <v>Бабаевский</v>
      </c>
      <c r="M2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266" s="23">
        <f>VLOOKUP(Продажи[[#This Row],[id клиента]],Таблица4[#All],5,FALSE)</f>
        <v>44618</v>
      </c>
      <c r="O266">
        <f>Продажи[[#This Row],[дата создания чека]]-Продажи[[#This Row],[Дата регистрации клиентов]]</f>
        <v>327</v>
      </c>
      <c r="P266" t="str">
        <f>VLOOKUP(Продажи[[#This Row],[id клиента]],Таблица4[#All],7,FALSE)</f>
        <v>Россия</v>
      </c>
    </row>
    <row r="267" spans="1:16" x14ac:dyDescent="0.25">
      <c r="A267">
        <v>266</v>
      </c>
      <c r="B267">
        <v>217</v>
      </c>
      <c r="C267">
        <v>412</v>
      </c>
      <c r="D267">
        <v>2</v>
      </c>
      <c r="E267">
        <v>824</v>
      </c>
      <c r="F267" s="23">
        <v>45174</v>
      </c>
      <c r="G267" t="s">
        <v>19</v>
      </c>
      <c r="H267">
        <v>110</v>
      </c>
      <c r="I267" t="str">
        <f>VLOOKUP(Продажи[[#This Row],[id товара]],Товары[#All],2,FALSE)</f>
        <v>Мясо</v>
      </c>
      <c r="J267" s="19">
        <f>AVERAGEIF(Продажи[Категория товара],Продажи[[#This Row],[Категория товара]],Продажи[цена за шт в рублях])</f>
        <v>271.74545454545455</v>
      </c>
      <c r="K267" s="20">
        <f>Продажи[[#This Row],[цена за шт в рублях]]/Продажи[[#This Row],[Средняя цена в категории за шт]]-1</f>
        <v>0.51612471564298135</v>
      </c>
      <c r="L267" t="str">
        <f>VLOOKUP(Продажи[[#This Row],[id товара]],Товары[#All],3,FALSE)</f>
        <v>Агрокомплекс</v>
      </c>
      <c r="M2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267" s="23">
        <f>VLOOKUP(Продажи[[#This Row],[id клиента]],Таблица4[#All],5,FALSE)</f>
        <v>44580</v>
      </c>
      <c r="O267">
        <f>Продажи[[#This Row],[дата создания чека]]-Продажи[[#This Row],[Дата регистрации клиентов]]</f>
        <v>594</v>
      </c>
      <c r="P267" t="str">
        <f>VLOOKUP(Продажи[[#This Row],[id клиента]],Таблица4[#All],7,FALSE)</f>
        <v>Узбекистан</v>
      </c>
    </row>
    <row r="268" spans="1:16" x14ac:dyDescent="0.25">
      <c r="A268">
        <v>267</v>
      </c>
      <c r="B268">
        <v>351</v>
      </c>
      <c r="C268">
        <v>155</v>
      </c>
      <c r="D268">
        <v>5</v>
      </c>
      <c r="E268">
        <v>775</v>
      </c>
      <c r="F268" s="23">
        <v>45189</v>
      </c>
      <c r="G268" t="s">
        <v>17</v>
      </c>
      <c r="H268">
        <v>216</v>
      </c>
      <c r="I268" t="str">
        <f>VLOOKUP(Продажи[[#This Row],[id товара]],Товары[#All],2,FALSE)</f>
        <v>Чипсы</v>
      </c>
      <c r="J268" s="19">
        <f>AVERAGEIF(Продажи[Категория товара],Продажи[[#This Row],[Категория товара]],Продажи[цена за шт в рублях])</f>
        <v>273.72549019607845</v>
      </c>
      <c r="K268" s="20">
        <f>Продажи[[#This Row],[цена за шт в рублях]]/Продажи[[#This Row],[Средняя цена в категории за шт]]-1</f>
        <v>-0.43373925501432664</v>
      </c>
      <c r="L268" t="str">
        <f>VLOOKUP(Продажи[[#This Row],[id товара]],Товары[#All],3,FALSE)</f>
        <v>Русская картошка</v>
      </c>
      <c r="M2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268" s="23">
        <f>VLOOKUP(Продажи[[#This Row],[id клиента]],Таблица4[#All],5,FALSE)</f>
        <v>44655</v>
      </c>
      <c r="O268">
        <f>Продажи[[#This Row],[дата создания чека]]-Продажи[[#This Row],[Дата регистрации клиентов]]</f>
        <v>534</v>
      </c>
      <c r="P268" t="str">
        <f>VLOOKUP(Продажи[[#This Row],[id клиента]],Таблица4[#All],7,FALSE)</f>
        <v>Таджикистан</v>
      </c>
    </row>
    <row r="269" spans="1:16" x14ac:dyDescent="0.25">
      <c r="A269">
        <v>268</v>
      </c>
      <c r="B269">
        <v>494</v>
      </c>
      <c r="C269">
        <v>214</v>
      </c>
      <c r="D269">
        <v>1</v>
      </c>
      <c r="E269">
        <v>214</v>
      </c>
      <c r="F269" s="23">
        <v>45029</v>
      </c>
      <c r="G269" t="s">
        <v>14</v>
      </c>
      <c r="H269">
        <v>424</v>
      </c>
      <c r="I269" t="str">
        <f>VLOOKUP(Продажи[[#This Row],[id товара]],Товары[#All],2,FALSE)</f>
        <v>Сыр</v>
      </c>
      <c r="J269" s="19">
        <f>AVERAGEIF(Продажи[Категория товара],Продажи[[#This Row],[Категория товара]],Продажи[цена за шт в рублях])</f>
        <v>262.63492063492066</v>
      </c>
      <c r="K269" s="20">
        <f>Продажи[[#This Row],[цена за шт в рублях]]/Продажи[[#This Row],[Средняя цена в категории за шт]]-1</f>
        <v>-0.18518070832829692</v>
      </c>
      <c r="L269" t="str">
        <f>VLOOKUP(Продажи[[#This Row],[id товара]],Товары[#All],3,FALSE)</f>
        <v>Сырная долина</v>
      </c>
      <c r="M2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269" s="23">
        <f>VLOOKUP(Продажи[[#This Row],[id клиента]],Таблица4[#All],5,FALSE)</f>
        <v>44585</v>
      </c>
      <c r="O269">
        <f>Продажи[[#This Row],[дата создания чека]]-Продажи[[#This Row],[Дата регистрации клиентов]]</f>
        <v>444</v>
      </c>
      <c r="P269" t="str">
        <f>VLOOKUP(Продажи[[#This Row],[id клиента]],Таблица4[#All],7,FALSE)</f>
        <v>Россия</v>
      </c>
    </row>
    <row r="270" spans="1:16" x14ac:dyDescent="0.25">
      <c r="A270">
        <v>269</v>
      </c>
      <c r="B270">
        <v>464</v>
      </c>
      <c r="C270">
        <v>290</v>
      </c>
      <c r="D270">
        <v>3</v>
      </c>
      <c r="E270">
        <v>870</v>
      </c>
      <c r="F270" s="23">
        <v>45185</v>
      </c>
      <c r="G270" t="s">
        <v>22</v>
      </c>
      <c r="H270">
        <v>77</v>
      </c>
      <c r="I270" t="str">
        <f>VLOOKUP(Продажи[[#This Row],[id товара]],Товары[#All],2,FALSE)</f>
        <v>Сыр</v>
      </c>
      <c r="J270" s="19">
        <f>AVERAGEIF(Продажи[Категория товара],Продажи[[#This Row],[Категория товара]],Продажи[цена за шт в рублях])</f>
        <v>262.63492063492066</v>
      </c>
      <c r="K270" s="20">
        <f>Продажи[[#This Row],[цена за шт в рублях]]/Продажи[[#This Row],[Средняя цена в категории за шт]]-1</f>
        <v>0.10419436721866293</v>
      </c>
      <c r="L270" t="str">
        <f>VLOOKUP(Продажи[[#This Row],[id товара]],Товары[#All],3,FALSE)</f>
        <v>Сырная долина</v>
      </c>
      <c r="M2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270" s="23">
        <f>VLOOKUP(Продажи[[#This Row],[id клиента]],Таблица4[#All],5,FALSE)</f>
        <v>44644</v>
      </c>
      <c r="O270">
        <f>Продажи[[#This Row],[дата создания чека]]-Продажи[[#This Row],[Дата регистрации клиентов]]</f>
        <v>541</v>
      </c>
      <c r="P270" t="str">
        <f>VLOOKUP(Продажи[[#This Row],[id клиента]],Таблица4[#All],7,FALSE)</f>
        <v>Россия</v>
      </c>
    </row>
    <row r="271" spans="1:16" x14ac:dyDescent="0.25">
      <c r="A271">
        <v>270</v>
      </c>
      <c r="B271">
        <v>462</v>
      </c>
      <c r="C271">
        <v>271</v>
      </c>
      <c r="D271">
        <v>2</v>
      </c>
      <c r="E271">
        <v>542</v>
      </c>
      <c r="F271" s="23">
        <v>44976</v>
      </c>
      <c r="G271" t="s">
        <v>8</v>
      </c>
      <c r="H271">
        <v>192</v>
      </c>
      <c r="I271" t="str">
        <f>VLOOKUP(Продажи[[#This Row],[id товара]],Товары[#All],2,FALSE)</f>
        <v>Рис</v>
      </c>
      <c r="J271" s="19">
        <f>AVERAGEIF(Продажи[Категория товара],Продажи[[#This Row],[Категория товара]],Продажи[цена за шт в рублях])</f>
        <v>258.375</v>
      </c>
      <c r="K271" s="20">
        <f>Продажи[[#This Row],[цена за шт в рублях]]/Продажи[[#This Row],[Средняя цена в категории за шт]]-1</f>
        <v>4.8863086598935679E-2</v>
      </c>
      <c r="L271" t="str">
        <f>VLOOKUP(Продажи[[#This Row],[id товара]],Товары[#All],3,FALSE)</f>
        <v>Белый Злат</v>
      </c>
      <c r="M2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271" s="23">
        <f>VLOOKUP(Продажи[[#This Row],[id клиента]],Таблица4[#All],5,FALSE)</f>
        <v>44572</v>
      </c>
      <c r="O271">
        <f>Продажи[[#This Row],[дата создания чека]]-Продажи[[#This Row],[Дата регистрации клиентов]]</f>
        <v>404</v>
      </c>
      <c r="P271" t="str">
        <f>VLOOKUP(Продажи[[#This Row],[id клиента]],Таблица4[#All],7,FALSE)</f>
        <v>Россия</v>
      </c>
    </row>
    <row r="272" spans="1:16" x14ac:dyDescent="0.25">
      <c r="A272">
        <v>271</v>
      </c>
      <c r="B272">
        <v>102</v>
      </c>
      <c r="C272">
        <v>326</v>
      </c>
      <c r="D272">
        <v>2</v>
      </c>
      <c r="E272">
        <v>652</v>
      </c>
      <c r="F272" s="23">
        <v>45142</v>
      </c>
      <c r="G272" t="s">
        <v>24</v>
      </c>
      <c r="H272">
        <v>130</v>
      </c>
      <c r="I272" t="str">
        <f>VLOOKUP(Продажи[[#This Row],[id товара]],Товары[#All],2,FALSE)</f>
        <v>Печенье</v>
      </c>
      <c r="J272" s="19">
        <f>AVERAGEIF(Продажи[Категория товара],Продажи[[#This Row],[Категория товара]],Продажи[цена за шт в рублях])</f>
        <v>283.468085106383</v>
      </c>
      <c r="K272" s="20">
        <f>Продажи[[#This Row],[цена за шт в рублях]]/Продажи[[#This Row],[Средняя цена в категории за шт]]-1</f>
        <v>0.15004128199354483</v>
      </c>
      <c r="L272" t="str">
        <f>VLOOKUP(Продажи[[#This Row],[id товара]],Товары[#All],3,FALSE)</f>
        <v>Белогорье</v>
      </c>
      <c r="M2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272" s="23">
        <f>VLOOKUP(Продажи[[#This Row],[id клиента]],Таблица4[#All],5,FALSE)</f>
        <v>44863</v>
      </c>
      <c r="O272">
        <f>Продажи[[#This Row],[дата создания чека]]-Продажи[[#This Row],[Дата регистрации клиентов]]</f>
        <v>279</v>
      </c>
      <c r="P272" t="str">
        <f>VLOOKUP(Продажи[[#This Row],[id клиента]],Таблица4[#All],7,FALSE)</f>
        <v>Таджикистан</v>
      </c>
    </row>
    <row r="273" spans="1:16" x14ac:dyDescent="0.25">
      <c r="A273">
        <v>272</v>
      </c>
      <c r="B273">
        <v>345</v>
      </c>
      <c r="C273">
        <v>420</v>
      </c>
      <c r="D273">
        <v>2</v>
      </c>
      <c r="E273">
        <v>840</v>
      </c>
      <c r="F273" s="23">
        <v>45037</v>
      </c>
      <c r="G273" t="s">
        <v>19</v>
      </c>
      <c r="H273">
        <v>308</v>
      </c>
      <c r="I273" t="str">
        <f>VLOOKUP(Продажи[[#This Row],[id товара]],Товары[#All],2,FALSE)</f>
        <v>Конфеты</v>
      </c>
      <c r="J273" s="19">
        <f>AVERAGEIF(Продажи[Категория товара],Продажи[[#This Row],[Категория товара]],Продажи[цена за шт в рублях])</f>
        <v>267.85483870967744</v>
      </c>
      <c r="K273" s="20">
        <f>Продажи[[#This Row],[цена за шт в рублях]]/Продажи[[#This Row],[Средняя цена в категории за шт]]-1</f>
        <v>0.56801348828807119</v>
      </c>
      <c r="L273" t="str">
        <f>VLOOKUP(Продажи[[#This Row],[id товара]],Товары[#All],3,FALSE)</f>
        <v>Рот Фронт</v>
      </c>
      <c r="M2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273" s="23">
        <f>VLOOKUP(Продажи[[#This Row],[id клиента]],Таблица4[#All],5,FALSE)</f>
        <v>44562</v>
      </c>
      <c r="O273">
        <f>Продажи[[#This Row],[дата создания чека]]-Продажи[[#This Row],[Дата регистрации клиентов]]</f>
        <v>475</v>
      </c>
      <c r="P273" t="str">
        <f>VLOOKUP(Продажи[[#This Row],[id клиента]],Таблица4[#All],7,FALSE)</f>
        <v>Беларусь</v>
      </c>
    </row>
    <row r="274" spans="1:16" x14ac:dyDescent="0.25">
      <c r="A274">
        <v>273</v>
      </c>
      <c r="B274">
        <v>445</v>
      </c>
      <c r="C274">
        <v>71</v>
      </c>
      <c r="D274">
        <v>4</v>
      </c>
      <c r="E274">
        <v>284</v>
      </c>
      <c r="F274" s="23">
        <v>45250</v>
      </c>
      <c r="G274" t="s">
        <v>25</v>
      </c>
      <c r="H274">
        <v>455</v>
      </c>
      <c r="I274" t="str">
        <f>VLOOKUP(Продажи[[#This Row],[id товара]],Товары[#All],2,FALSE)</f>
        <v>Сахар</v>
      </c>
      <c r="J274" s="19">
        <f>AVERAGEIF(Продажи[Категория товара],Продажи[[#This Row],[Категория товара]],Продажи[цена за шт в рублях])</f>
        <v>252.76271186440678</v>
      </c>
      <c r="K274" s="20">
        <f>Продажи[[#This Row],[цена за шт в рублях]]/Продажи[[#This Row],[Средняя цена в категории за шт]]-1</f>
        <v>-0.71910413732984646</v>
      </c>
      <c r="L274" t="str">
        <f>VLOOKUP(Продажи[[#This Row],[id товара]],Товары[#All],3,FALSE)</f>
        <v>Сладов</v>
      </c>
      <c r="M2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274" s="23">
        <f>VLOOKUP(Продажи[[#This Row],[id клиента]],Таблица4[#All],5,FALSE)</f>
        <v>44820</v>
      </c>
      <c r="O274">
        <f>Продажи[[#This Row],[дата создания чека]]-Продажи[[#This Row],[Дата регистрации клиентов]]</f>
        <v>430</v>
      </c>
      <c r="P274" t="str">
        <f>VLOOKUP(Продажи[[#This Row],[id клиента]],Таблица4[#All],7,FALSE)</f>
        <v>Украина</v>
      </c>
    </row>
    <row r="275" spans="1:16" x14ac:dyDescent="0.25">
      <c r="A275">
        <v>274</v>
      </c>
      <c r="B275">
        <v>241</v>
      </c>
      <c r="C275">
        <v>400</v>
      </c>
      <c r="D275">
        <v>3</v>
      </c>
      <c r="E275">
        <v>1200</v>
      </c>
      <c r="F275" s="23">
        <v>45371</v>
      </c>
      <c r="G275" t="s">
        <v>25</v>
      </c>
      <c r="H275">
        <v>490</v>
      </c>
      <c r="I275" t="str">
        <f>VLOOKUP(Продажи[[#This Row],[id товара]],Товары[#All],2,FALSE)</f>
        <v>Колбаса</v>
      </c>
      <c r="J275" s="19">
        <f>AVERAGEIF(Продажи[Категория товара],Продажи[[#This Row],[Категория товара]],Продажи[цена за шт в рублях])</f>
        <v>286.92307692307691</v>
      </c>
      <c r="K275" s="20">
        <f>Продажи[[#This Row],[цена за шт в рублях]]/Продажи[[#This Row],[Средняя цена в категории за шт]]-1</f>
        <v>0.39410187667560326</v>
      </c>
      <c r="L275" t="str">
        <f>VLOOKUP(Продажи[[#This Row],[id товара]],Товары[#All],3,FALSE)</f>
        <v>Окраина</v>
      </c>
      <c r="M2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275" s="23">
        <f>VLOOKUP(Продажи[[#This Row],[id клиента]],Таблица4[#All],5,FALSE)</f>
        <v>44603</v>
      </c>
      <c r="O275">
        <f>Продажи[[#This Row],[дата создания чека]]-Продажи[[#This Row],[Дата регистрации клиентов]]</f>
        <v>768</v>
      </c>
      <c r="P275" t="str">
        <f>VLOOKUP(Продажи[[#This Row],[id клиента]],Таблица4[#All],7,FALSE)</f>
        <v>Россия</v>
      </c>
    </row>
    <row r="276" spans="1:16" x14ac:dyDescent="0.25">
      <c r="A276">
        <v>275</v>
      </c>
      <c r="B276">
        <v>258</v>
      </c>
      <c r="C276">
        <v>109</v>
      </c>
      <c r="D276">
        <v>2</v>
      </c>
      <c r="E276">
        <v>218</v>
      </c>
      <c r="F276" s="23">
        <v>45416</v>
      </c>
      <c r="G276" t="s">
        <v>10</v>
      </c>
      <c r="H276">
        <v>480</v>
      </c>
      <c r="I276" t="str">
        <f>VLOOKUP(Продажи[[#This Row],[id товара]],Товары[#All],2,FALSE)</f>
        <v>Рыба</v>
      </c>
      <c r="J276" s="19">
        <f>AVERAGEIF(Продажи[Категория товара],Продажи[[#This Row],[Категория товара]],Продажи[цена за шт в рублях])</f>
        <v>258.5128205128205</v>
      </c>
      <c r="K276" s="20">
        <f>Продажи[[#This Row],[цена за шт в рублях]]/Продажи[[#This Row],[Средняя цена в категории за шт]]-1</f>
        <v>-0.5783574687561992</v>
      </c>
      <c r="L276" t="str">
        <f>VLOOKUP(Продажи[[#This Row],[id товара]],Товары[#All],3,FALSE)</f>
        <v>Санта Бремор</v>
      </c>
      <c r="M2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276" s="23">
        <f>VLOOKUP(Продажи[[#This Row],[id клиента]],Таблица4[#All],5,FALSE)</f>
        <v>44568</v>
      </c>
      <c r="O276">
        <f>Продажи[[#This Row],[дата создания чека]]-Продажи[[#This Row],[Дата регистрации клиентов]]</f>
        <v>848</v>
      </c>
      <c r="P276" t="str">
        <f>VLOOKUP(Продажи[[#This Row],[id клиента]],Таблица4[#All],7,FALSE)</f>
        <v>Узбекистан</v>
      </c>
    </row>
    <row r="277" spans="1:16" x14ac:dyDescent="0.25">
      <c r="A277">
        <v>276</v>
      </c>
      <c r="B277">
        <v>376</v>
      </c>
      <c r="C277">
        <v>217</v>
      </c>
      <c r="D277">
        <v>1</v>
      </c>
      <c r="E277">
        <v>217</v>
      </c>
      <c r="F277" s="23">
        <v>45199</v>
      </c>
      <c r="G277" t="s">
        <v>12</v>
      </c>
      <c r="H277">
        <v>321</v>
      </c>
      <c r="I277" t="str">
        <f>VLOOKUP(Продажи[[#This Row],[id товара]],Товары[#All],2,FALSE)</f>
        <v>Конфеты</v>
      </c>
      <c r="J277" s="19">
        <f>AVERAGEIF(Продажи[Категория товара],Продажи[[#This Row],[Категория товара]],Продажи[цена за шт в рублях])</f>
        <v>267.85483870967744</v>
      </c>
      <c r="K277" s="20">
        <f>Продажи[[#This Row],[цена за шт в рублях]]/Продажи[[#This Row],[Средняя цена в категории за шт]]-1</f>
        <v>-0.18985969771782985</v>
      </c>
      <c r="L277" t="str">
        <f>VLOOKUP(Продажи[[#This Row],[id товара]],Товары[#All],3,FALSE)</f>
        <v>Красный Октябрь</v>
      </c>
      <c r="M2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277" s="23">
        <f>VLOOKUP(Продажи[[#This Row],[id клиента]],Таблица4[#All],5,FALSE)</f>
        <v>44756</v>
      </c>
      <c r="O277">
        <f>Продажи[[#This Row],[дата создания чека]]-Продажи[[#This Row],[Дата регистрации клиентов]]</f>
        <v>443</v>
      </c>
      <c r="P277" t="str">
        <f>VLOOKUP(Продажи[[#This Row],[id клиента]],Таблица4[#All],7,FALSE)</f>
        <v>Таджикистан</v>
      </c>
    </row>
    <row r="278" spans="1:16" x14ac:dyDescent="0.25">
      <c r="A278">
        <v>277</v>
      </c>
      <c r="B278">
        <v>7</v>
      </c>
      <c r="C278">
        <v>104</v>
      </c>
      <c r="D278">
        <v>1</v>
      </c>
      <c r="E278">
        <v>104</v>
      </c>
      <c r="F278" s="23">
        <v>44989</v>
      </c>
      <c r="G278" t="s">
        <v>15</v>
      </c>
      <c r="H278">
        <v>496</v>
      </c>
      <c r="I278" t="str">
        <f>VLOOKUP(Продажи[[#This Row],[id товара]],Товары[#All],2,FALSE)</f>
        <v>Сыр</v>
      </c>
      <c r="J278" s="19">
        <f>AVERAGEIF(Продажи[Категория товара],Продажи[[#This Row],[Категория товара]],Продажи[цена за шт в рублях])</f>
        <v>262.63492063492066</v>
      </c>
      <c r="K278" s="20">
        <f>Продажи[[#This Row],[цена за шт в рублях]]/Продажи[[#This Row],[Средняя цена в категории за шт]]-1</f>
        <v>-0.60401305451468634</v>
      </c>
      <c r="L278" t="str">
        <f>VLOOKUP(Продажи[[#This Row],[id товара]],Товары[#All],3,FALSE)</f>
        <v>President</v>
      </c>
      <c r="M2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278" s="23">
        <f>VLOOKUP(Продажи[[#This Row],[id клиента]],Таблица4[#All],5,FALSE)</f>
        <v>44867</v>
      </c>
      <c r="O278">
        <f>Продажи[[#This Row],[дата создания чека]]-Продажи[[#This Row],[Дата регистрации клиентов]]</f>
        <v>122</v>
      </c>
      <c r="P278" t="str">
        <f>VLOOKUP(Продажи[[#This Row],[id клиента]],Таблица4[#All],7,FALSE)</f>
        <v>Украина</v>
      </c>
    </row>
    <row r="279" spans="1:16" x14ac:dyDescent="0.25">
      <c r="A279">
        <v>278</v>
      </c>
      <c r="B279">
        <v>428</v>
      </c>
      <c r="C279">
        <v>428</v>
      </c>
      <c r="D279">
        <v>4</v>
      </c>
      <c r="E279">
        <v>1712</v>
      </c>
      <c r="F279" s="23">
        <v>45123</v>
      </c>
      <c r="G279" t="s">
        <v>18</v>
      </c>
      <c r="H279">
        <v>203</v>
      </c>
      <c r="I279" t="str">
        <f>VLOOKUP(Продажи[[#This Row],[id товара]],Товары[#All],2,FALSE)</f>
        <v>Конфеты</v>
      </c>
      <c r="J279" s="19">
        <f>AVERAGEIF(Продажи[Категория товара],Продажи[[#This Row],[Категория товара]],Продажи[цена за шт в рублях])</f>
        <v>267.85483870967744</v>
      </c>
      <c r="K279" s="20">
        <f>Продажи[[#This Row],[цена за шт в рублях]]/Продажи[[#This Row],[Средняя цена в категории за шт]]-1</f>
        <v>0.59788041187451069</v>
      </c>
      <c r="L279" t="str">
        <f>VLOOKUP(Продажи[[#This Row],[id товара]],Товары[#All],3,FALSE)</f>
        <v>Бабаевский</v>
      </c>
      <c r="M2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279" s="23">
        <f>VLOOKUP(Продажи[[#This Row],[id клиента]],Таблица4[#All],5,FALSE)</f>
        <v>44685</v>
      </c>
      <c r="O279">
        <f>Продажи[[#This Row],[дата создания чека]]-Продажи[[#This Row],[Дата регистрации клиентов]]</f>
        <v>438</v>
      </c>
      <c r="P279" t="str">
        <f>VLOOKUP(Продажи[[#This Row],[id клиента]],Таблица4[#All],7,FALSE)</f>
        <v>Россия</v>
      </c>
    </row>
    <row r="280" spans="1:16" x14ac:dyDescent="0.25">
      <c r="A280">
        <v>279</v>
      </c>
      <c r="B280">
        <v>216</v>
      </c>
      <c r="C280">
        <v>83</v>
      </c>
      <c r="D280">
        <v>3</v>
      </c>
      <c r="E280">
        <v>249</v>
      </c>
      <c r="F280" s="23">
        <v>45033</v>
      </c>
      <c r="G280" t="s">
        <v>17</v>
      </c>
      <c r="H280">
        <v>457</v>
      </c>
      <c r="I280" t="str">
        <f>VLOOKUP(Продажи[[#This Row],[id товара]],Товары[#All],2,FALSE)</f>
        <v>Кофе</v>
      </c>
      <c r="J280" s="19">
        <f>AVERAGEIF(Продажи[Категория товара],Продажи[[#This Row],[Категория товара]],Продажи[цена за шт в рублях])</f>
        <v>249.02380952380952</v>
      </c>
      <c r="K280" s="20">
        <f>Продажи[[#This Row],[цена за шт в рублях]]/Продажи[[#This Row],[Средняя цена в категории за шт]]-1</f>
        <v>-0.66669853714504246</v>
      </c>
      <c r="L280" t="str">
        <f>VLOOKUP(Продажи[[#This Row],[id товара]],Товары[#All],3,FALSE)</f>
        <v>Черная Карта</v>
      </c>
      <c r="M2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280" s="23">
        <f>VLOOKUP(Продажи[[#This Row],[id клиента]],Таблица4[#All],5,FALSE)</f>
        <v>44595</v>
      </c>
      <c r="O280">
        <f>Продажи[[#This Row],[дата создания чека]]-Продажи[[#This Row],[Дата регистрации клиентов]]</f>
        <v>438</v>
      </c>
      <c r="P280" t="str">
        <f>VLOOKUP(Продажи[[#This Row],[id клиента]],Таблица4[#All],7,FALSE)</f>
        <v>Таджикистан</v>
      </c>
    </row>
    <row r="281" spans="1:16" x14ac:dyDescent="0.25">
      <c r="A281">
        <v>280</v>
      </c>
      <c r="B281">
        <v>272</v>
      </c>
      <c r="C281">
        <v>113</v>
      </c>
      <c r="D281">
        <v>3</v>
      </c>
      <c r="E281">
        <v>339</v>
      </c>
      <c r="F281" s="23">
        <v>45019</v>
      </c>
      <c r="G281" t="s">
        <v>23</v>
      </c>
      <c r="H281">
        <v>21</v>
      </c>
      <c r="I281" t="str">
        <f>VLOOKUP(Продажи[[#This Row],[id товара]],Товары[#All],2,FALSE)</f>
        <v>Крупа</v>
      </c>
      <c r="J281" s="19">
        <f>AVERAGEIF(Продажи[Категория товара],Продажи[[#This Row],[Категория товара]],Продажи[цена за шт в рублях])</f>
        <v>255.11627906976744</v>
      </c>
      <c r="K281" s="20">
        <f>Продажи[[#This Row],[цена за шт в рублях]]/Продажи[[#This Row],[Средняя цена в категории за шт]]-1</f>
        <v>-0.55706472196900636</v>
      </c>
      <c r="L281" t="str">
        <f>VLOOKUP(Продажи[[#This Row],[id товара]],Товары[#All],3,FALSE)</f>
        <v>Ярмарка</v>
      </c>
      <c r="M2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281" s="23">
        <f>VLOOKUP(Продажи[[#This Row],[id клиента]],Таблица4[#All],5,FALSE)</f>
        <v>44881</v>
      </c>
      <c r="O281">
        <f>Продажи[[#This Row],[дата создания чека]]-Продажи[[#This Row],[Дата регистрации клиентов]]</f>
        <v>138</v>
      </c>
      <c r="P281" t="str">
        <f>VLOOKUP(Продажи[[#This Row],[id клиента]],Таблица4[#All],7,FALSE)</f>
        <v>Беларусь</v>
      </c>
    </row>
    <row r="282" spans="1:16" x14ac:dyDescent="0.25">
      <c r="A282">
        <v>281</v>
      </c>
      <c r="B282">
        <v>236</v>
      </c>
      <c r="C282">
        <v>221</v>
      </c>
      <c r="D282">
        <v>4</v>
      </c>
      <c r="E282">
        <v>884</v>
      </c>
      <c r="F282" s="23">
        <v>45166</v>
      </c>
      <c r="G282" t="s">
        <v>19</v>
      </c>
      <c r="H282">
        <v>333</v>
      </c>
      <c r="I282" t="str">
        <f>VLOOKUP(Продажи[[#This Row],[id товара]],Товары[#All],2,FALSE)</f>
        <v>Печенье</v>
      </c>
      <c r="J282" s="19">
        <f>AVERAGEIF(Продажи[Категория товара],Продажи[[#This Row],[Категория товара]],Продажи[цена за шт в рублях])</f>
        <v>283.468085106383</v>
      </c>
      <c r="K282" s="20">
        <f>Продажи[[#This Row],[цена за шт в рублях]]/Продажи[[#This Row],[Средняя цена в категории за шт]]-1</f>
        <v>-0.22037078736020421</v>
      </c>
      <c r="L282" t="str">
        <f>VLOOKUP(Продажи[[#This Row],[id товара]],Товары[#All],3,FALSE)</f>
        <v>Посиделкино</v>
      </c>
      <c r="M2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282" s="23">
        <f>VLOOKUP(Продажи[[#This Row],[id клиента]],Таблица4[#All],5,FALSE)</f>
        <v>44857</v>
      </c>
      <c r="O282">
        <f>Продажи[[#This Row],[дата создания чека]]-Продажи[[#This Row],[Дата регистрации клиентов]]</f>
        <v>309</v>
      </c>
      <c r="P282" t="str">
        <f>VLOOKUP(Продажи[[#This Row],[id клиента]],Таблица4[#All],7,FALSE)</f>
        <v>Россия</v>
      </c>
    </row>
    <row r="283" spans="1:16" x14ac:dyDescent="0.25">
      <c r="A283">
        <v>282</v>
      </c>
      <c r="B283">
        <v>225</v>
      </c>
      <c r="C283">
        <v>114</v>
      </c>
      <c r="D283">
        <v>3</v>
      </c>
      <c r="E283">
        <v>342</v>
      </c>
      <c r="F283" s="23">
        <v>45126</v>
      </c>
      <c r="G283" t="s">
        <v>15</v>
      </c>
      <c r="H283">
        <v>405</v>
      </c>
      <c r="I283" t="str">
        <f>VLOOKUP(Продажи[[#This Row],[id товара]],Товары[#All],2,FALSE)</f>
        <v>Соль</v>
      </c>
      <c r="J283" s="19">
        <f>AVERAGEIF(Продажи[Категория товара],Продажи[[#This Row],[Категория товара]],Продажи[цена за шт в рублях])</f>
        <v>264.8679245283019</v>
      </c>
      <c r="K283" s="20">
        <f>Продажи[[#This Row],[цена за шт в рублях]]/Продажи[[#This Row],[Средняя цена в категории за шт]]-1</f>
        <v>-0.56959680866220264</v>
      </c>
      <c r="L283" t="str">
        <f>VLOOKUP(Продажи[[#This Row],[id товара]],Товары[#All],3,FALSE)</f>
        <v>Илецкая</v>
      </c>
      <c r="M2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283" s="23">
        <f>VLOOKUP(Продажи[[#This Row],[id клиента]],Таблица4[#All],5,FALSE)</f>
        <v>44798</v>
      </c>
      <c r="O283">
        <f>Продажи[[#This Row],[дата создания чека]]-Продажи[[#This Row],[Дата регистрации клиентов]]</f>
        <v>328</v>
      </c>
      <c r="P283" t="str">
        <f>VLOOKUP(Продажи[[#This Row],[id клиента]],Таблица4[#All],7,FALSE)</f>
        <v>Украина</v>
      </c>
    </row>
    <row r="284" spans="1:16" x14ac:dyDescent="0.25">
      <c r="A284">
        <v>283</v>
      </c>
      <c r="B284">
        <v>167</v>
      </c>
      <c r="C284">
        <v>488</v>
      </c>
      <c r="D284">
        <v>3</v>
      </c>
      <c r="E284">
        <v>1464</v>
      </c>
      <c r="F284" s="23">
        <v>45164</v>
      </c>
      <c r="G284" t="s">
        <v>8</v>
      </c>
      <c r="H284">
        <v>32</v>
      </c>
      <c r="I284" t="str">
        <f>VLOOKUP(Продажи[[#This Row],[id товара]],Товары[#All],2,FALSE)</f>
        <v>Мясо</v>
      </c>
      <c r="J284" s="19">
        <f>AVERAGEIF(Продажи[Категория товара],Продажи[[#This Row],[Категория товара]],Продажи[цена за шт в рублях])</f>
        <v>271.74545454545455</v>
      </c>
      <c r="K284" s="20">
        <f>Продажи[[#This Row],[цена за шт в рублях]]/Продажи[[#This Row],[Средняя цена в категории за шт]]-1</f>
        <v>0.79579820687809444</v>
      </c>
      <c r="L284" t="str">
        <f>VLOOKUP(Продажи[[#This Row],[id товара]],Товары[#All],3,FALSE)</f>
        <v>Сава</v>
      </c>
      <c r="M2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284" s="23">
        <f>VLOOKUP(Продажи[[#This Row],[id клиента]],Таблица4[#All],5,FALSE)</f>
        <v>44922</v>
      </c>
      <c r="O284">
        <f>Продажи[[#This Row],[дата создания чека]]-Продажи[[#This Row],[Дата регистрации клиентов]]</f>
        <v>242</v>
      </c>
      <c r="P284" t="str">
        <f>VLOOKUP(Продажи[[#This Row],[id клиента]],Таблица4[#All],7,FALSE)</f>
        <v>Узбекистан</v>
      </c>
    </row>
    <row r="285" spans="1:16" x14ac:dyDescent="0.25">
      <c r="A285">
        <v>284</v>
      </c>
      <c r="B285">
        <v>467</v>
      </c>
      <c r="C285">
        <v>421</v>
      </c>
      <c r="D285">
        <v>5</v>
      </c>
      <c r="E285">
        <v>2105</v>
      </c>
      <c r="F285" s="23">
        <v>45070</v>
      </c>
      <c r="G285" t="s">
        <v>14</v>
      </c>
      <c r="H285">
        <v>334</v>
      </c>
      <c r="I285" t="str">
        <f>VLOOKUP(Продажи[[#This Row],[id товара]],Товары[#All],2,FALSE)</f>
        <v>Макароны</v>
      </c>
      <c r="J285" s="19">
        <f>AVERAGEIF(Продажи[Категория товара],Продажи[[#This Row],[Категория товара]],Продажи[цена за шт в рублях])</f>
        <v>265.47674418604652</v>
      </c>
      <c r="K285" s="20">
        <f>Продажи[[#This Row],[цена за шт в рублях]]/Продажи[[#This Row],[Средняя цена в категории за шт]]-1</f>
        <v>0.58582628881783538</v>
      </c>
      <c r="L285" t="str">
        <f>VLOOKUP(Продажи[[#This Row],[id товара]],Товары[#All],3,FALSE)</f>
        <v>Борилла</v>
      </c>
      <c r="M2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285" s="23">
        <f>VLOOKUP(Продажи[[#This Row],[id клиента]],Таблица4[#All],5,FALSE)</f>
        <v>44881</v>
      </c>
      <c r="O285">
        <f>Продажи[[#This Row],[дата создания чека]]-Продажи[[#This Row],[Дата регистрации клиентов]]</f>
        <v>189</v>
      </c>
      <c r="P285" t="str">
        <f>VLOOKUP(Продажи[[#This Row],[id клиента]],Таблица4[#All],7,FALSE)</f>
        <v>Украина</v>
      </c>
    </row>
    <row r="286" spans="1:16" x14ac:dyDescent="0.25">
      <c r="A286">
        <v>285</v>
      </c>
      <c r="B286">
        <v>430</v>
      </c>
      <c r="C286">
        <v>380</v>
      </c>
      <c r="D286">
        <v>1</v>
      </c>
      <c r="E286">
        <v>380</v>
      </c>
      <c r="F286" s="23">
        <v>45391</v>
      </c>
      <c r="G286" t="s">
        <v>27</v>
      </c>
      <c r="H286">
        <v>449</v>
      </c>
      <c r="I286" t="str">
        <f>VLOOKUP(Продажи[[#This Row],[id товара]],Товары[#All],2,FALSE)</f>
        <v>Чай</v>
      </c>
      <c r="J286" s="19">
        <f>AVERAGEIF(Продажи[Категория товара],Продажи[[#This Row],[Категория товара]],Продажи[цена за шт в рублях])</f>
        <v>271.18181818181819</v>
      </c>
      <c r="K286" s="20">
        <f>Продажи[[#This Row],[цена за шт в рублях]]/Продажи[[#This Row],[Средняя цена в категории за шт]]-1</f>
        <v>0.40127388535031838</v>
      </c>
      <c r="L286" t="str">
        <f>VLOOKUP(Продажи[[#This Row],[id товара]],Товары[#All],3,FALSE)</f>
        <v>Ахмад</v>
      </c>
      <c r="M2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286" s="23">
        <f>VLOOKUP(Продажи[[#This Row],[id клиента]],Таблица4[#All],5,FALSE)</f>
        <v>44645</v>
      </c>
      <c r="O286">
        <f>Продажи[[#This Row],[дата создания чека]]-Продажи[[#This Row],[Дата регистрации клиентов]]</f>
        <v>746</v>
      </c>
      <c r="P286" t="str">
        <f>VLOOKUP(Продажи[[#This Row],[id клиента]],Таблица4[#All],7,FALSE)</f>
        <v>Таджикистан</v>
      </c>
    </row>
    <row r="287" spans="1:16" x14ac:dyDescent="0.25">
      <c r="A287">
        <v>286</v>
      </c>
      <c r="B287">
        <v>139</v>
      </c>
      <c r="C287">
        <v>232</v>
      </c>
      <c r="D287">
        <v>3</v>
      </c>
      <c r="E287">
        <v>696</v>
      </c>
      <c r="F287" s="23">
        <v>45197</v>
      </c>
      <c r="G287" t="s">
        <v>26</v>
      </c>
      <c r="H287">
        <v>302</v>
      </c>
      <c r="I287" t="str">
        <f>VLOOKUP(Продажи[[#This Row],[id товара]],Товары[#All],2,FALSE)</f>
        <v>Йогурт</v>
      </c>
      <c r="J287" s="19">
        <f>AVERAGEIF(Продажи[Категория товара],Продажи[[#This Row],[Категория товара]],Продажи[цена за шт в рублях])</f>
        <v>263.25423728813558</v>
      </c>
      <c r="K287" s="20">
        <f>Продажи[[#This Row],[цена за шт в рублях]]/Продажи[[#This Row],[Средняя цена в категории за шт]]-1</f>
        <v>-0.11872263713623488</v>
      </c>
      <c r="L287" t="str">
        <f>VLOOKUP(Продажи[[#This Row],[id товара]],Товары[#All],3,FALSE)</f>
        <v>Ростагроэкспорт</v>
      </c>
      <c r="M2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287" s="23">
        <f>VLOOKUP(Продажи[[#This Row],[id клиента]],Таблица4[#All],5,FALSE)</f>
        <v>44859</v>
      </c>
      <c r="O287">
        <f>Продажи[[#This Row],[дата создания чека]]-Продажи[[#This Row],[Дата регистрации клиентов]]</f>
        <v>338</v>
      </c>
      <c r="P287" t="str">
        <f>VLOOKUP(Продажи[[#This Row],[id клиента]],Таблица4[#All],7,FALSE)</f>
        <v>Россия</v>
      </c>
    </row>
    <row r="288" spans="1:16" x14ac:dyDescent="0.25">
      <c r="A288">
        <v>287</v>
      </c>
      <c r="B288">
        <v>351</v>
      </c>
      <c r="C288">
        <v>93</v>
      </c>
      <c r="D288">
        <v>3</v>
      </c>
      <c r="E288">
        <v>279</v>
      </c>
      <c r="F288" s="23">
        <v>45392</v>
      </c>
      <c r="G288" t="s">
        <v>20</v>
      </c>
      <c r="H288">
        <v>341</v>
      </c>
      <c r="I288" t="str">
        <f>VLOOKUP(Продажи[[#This Row],[id товара]],Товары[#All],2,FALSE)</f>
        <v>Чипсы</v>
      </c>
      <c r="J288" s="19">
        <f>AVERAGEIF(Продажи[Категория товара],Продажи[[#This Row],[Категория товара]],Продажи[цена за шт в рублях])</f>
        <v>273.72549019607845</v>
      </c>
      <c r="K288" s="20">
        <f>Продажи[[#This Row],[цена за шт в рублях]]/Продажи[[#This Row],[Средняя цена в категории за шт]]-1</f>
        <v>-0.66024355300859594</v>
      </c>
      <c r="L288" t="str">
        <f>VLOOKUP(Продажи[[#This Row],[id товара]],Товары[#All],3,FALSE)</f>
        <v>Русская картошка</v>
      </c>
      <c r="M2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288" s="23">
        <f>VLOOKUP(Продажи[[#This Row],[id клиента]],Таблица4[#All],5,FALSE)</f>
        <v>44724</v>
      </c>
      <c r="O288">
        <f>Продажи[[#This Row],[дата создания чека]]-Продажи[[#This Row],[Дата регистрации клиентов]]</f>
        <v>668</v>
      </c>
      <c r="P288" t="str">
        <f>VLOOKUP(Продажи[[#This Row],[id клиента]],Таблица4[#All],7,FALSE)</f>
        <v>Россия</v>
      </c>
    </row>
    <row r="289" spans="1:16" x14ac:dyDescent="0.25">
      <c r="A289">
        <v>288</v>
      </c>
      <c r="B289">
        <v>404</v>
      </c>
      <c r="C289">
        <v>136</v>
      </c>
      <c r="D289">
        <v>2</v>
      </c>
      <c r="E289">
        <v>272</v>
      </c>
      <c r="F289" s="23">
        <v>45287</v>
      </c>
      <c r="G289" t="s">
        <v>11</v>
      </c>
      <c r="H289">
        <v>62</v>
      </c>
      <c r="I289" t="str">
        <f>VLOOKUP(Продажи[[#This Row],[id товара]],Товары[#All],2,FALSE)</f>
        <v>Йогурт</v>
      </c>
      <c r="J289" s="19">
        <f>AVERAGEIF(Продажи[Категория товара],Продажи[[#This Row],[Категория товара]],Продажи[цена за шт в рублях])</f>
        <v>263.25423728813558</v>
      </c>
      <c r="K289" s="20">
        <f>Продажи[[#This Row],[цена за шт в рублях]]/Продажи[[#This Row],[Средняя цена в категории за шт]]-1</f>
        <v>-0.48338913211434453</v>
      </c>
      <c r="L289" t="str">
        <f>VLOOKUP(Продажи[[#This Row],[id товара]],Товары[#All],3,FALSE)</f>
        <v>Ростагроэкспорт</v>
      </c>
      <c r="M2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289" s="23">
        <f>VLOOKUP(Продажи[[#This Row],[id клиента]],Таблица4[#All],5,FALSE)</f>
        <v>44671</v>
      </c>
      <c r="O289">
        <f>Продажи[[#This Row],[дата создания чека]]-Продажи[[#This Row],[Дата регистрации клиентов]]</f>
        <v>616</v>
      </c>
      <c r="P289" t="str">
        <f>VLOOKUP(Продажи[[#This Row],[id клиента]],Таблица4[#All],7,FALSE)</f>
        <v>Россия</v>
      </c>
    </row>
    <row r="290" spans="1:16" x14ac:dyDescent="0.25">
      <c r="A290">
        <v>289</v>
      </c>
      <c r="B290">
        <v>237</v>
      </c>
      <c r="C290">
        <v>157</v>
      </c>
      <c r="D290">
        <v>5</v>
      </c>
      <c r="E290">
        <v>785</v>
      </c>
      <c r="F290" s="23">
        <v>44946</v>
      </c>
      <c r="G290" t="s">
        <v>24</v>
      </c>
      <c r="H290">
        <v>366</v>
      </c>
      <c r="I290" t="str">
        <f>VLOOKUP(Продажи[[#This Row],[id товара]],Товары[#All],2,FALSE)</f>
        <v>Конфеты</v>
      </c>
      <c r="J290" s="19">
        <f>AVERAGEIF(Продажи[Категория товара],Продажи[[#This Row],[Категория товара]],Продажи[цена за шт в рублях])</f>
        <v>267.85483870967744</v>
      </c>
      <c r="K290" s="20">
        <f>Продажи[[#This Row],[цена за шт в рублях]]/Продажи[[#This Row],[Средняя цена в категории за шт]]-1</f>
        <v>-0.41386162461612575</v>
      </c>
      <c r="L290" t="str">
        <f>VLOOKUP(Продажи[[#This Row],[id товара]],Товары[#All],3,FALSE)</f>
        <v>Рот Фронт</v>
      </c>
      <c r="M2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290" s="23">
        <f>VLOOKUP(Продажи[[#This Row],[id клиента]],Таблица4[#All],5,FALSE)</f>
        <v>44827</v>
      </c>
      <c r="O290">
        <f>Продажи[[#This Row],[дата создания чека]]-Продажи[[#This Row],[Дата регистрации клиентов]]</f>
        <v>119</v>
      </c>
      <c r="P290" t="str">
        <f>VLOOKUP(Продажи[[#This Row],[id клиента]],Таблица4[#All],7,FALSE)</f>
        <v>Узбекистан</v>
      </c>
    </row>
    <row r="291" spans="1:16" x14ac:dyDescent="0.25">
      <c r="A291">
        <v>290</v>
      </c>
      <c r="B291">
        <v>323</v>
      </c>
      <c r="C291">
        <v>363</v>
      </c>
      <c r="D291">
        <v>4</v>
      </c>
      <c r="E291">
        <v>1452</v>
      </c>
      <c r="F291" s="23">
        <v>45362</v>
      </c>
      <c r="G291" t="s">
        <v>15</v>
      </c>
      <c r="H291">
        <v>463</v>
      </c>
      <c r="I291" t="str">
        <f>VLOOKUP(Продажи[[#This Row],[id товара]],Товары[#All],2,FALSE)</f>
        <v>Рыба</v>
      </c>
      <c r="J291" s="19">
        <f>AVERAGEIF(Продажи[Категория товара],Продажи[[#This Row],[Категория товара]],Продажи[цена за шт в рублях])</f>
        <v>258.5128205128205</v>
      </c>
      <c r="K291" s="20">
        <f>Продажи[[#This Row],[цена за шт в рублях]]/Продажи[[#This Row],[Средняя цена в категории за шт]]-1</f>
        <v>0.40418567744495149</v>
      </c>
      <c r="L291" t="str">
        <f>VLOOKUP(Продажи[[#This Row],[id товара]],Товары[#All],3,FALSE)</f>
        <v>Меридиан</v>
      </c>
      <c r="M2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291" s="23">
        <f>VLOOKUP(Продажи[[#This Row],[id клиента]],Таблица4[#All],5,FALSE)</f>
        <v>44869</v>
      </c>
      <c r="O291">
        <f>Продажи[[#This Row],[дата создания чека]]-Продажи[[#This Row],[Дата регистрации клиентов]]</f>
        <v>493</v>
      </c>
      <c r="P291" t="str">
        <f>VLOOKUP(Продажи[[#This Row],[id клиента]],Таблица4[#All],7,FALSE)</f>
        <v>Украина</v>
      </c>
    </row>
    <row r="292" spans="1:16" x14ac:dyDescent="0.25">
      <c r="A292">
        <v>291</v>
      </c>
      <c r="B292">
        <v>457</v>
      </c>
      <c r="C292">
        <v>289</v>
      </c>
      <c r="D292">
        <v>5</v>
      </c>
      <c r="E292">
        <v>1445</v>
      </c>
      <c r="F292" s="23">
        <v>45167</v>
      </c>
      <c r="G292" t="s">
        <v>24</v>
      </c>
      <c r="H292">
        <v>421</v>
      </c>
      <c r="I292" t="str">
        <f>VLOOKUP(Продажи[[#This Row],[id товара]],Товары[#All],2,FALSE)</f>
        <v>Сок</v>
      </c>
      <c r="J292" s="19">
        <f>AVERAGEIF(Продажи[Категория товара],Продажи[[#This Row],[Категория товара]],Продажи[цена за шт в рублях])</f>
        <v>268.60344827586209</v>
      </c>
      <c r="K292" s="20">
        <f>Продажи[[#This Row],[цена за шт в рублях]]/Продажи[[#This Row],[Средняя цена в категории за шт]]-1</f>
        <v>7.5935554271776118E-2</v>
      </c>
      <c r="L292" t="str">
        <f>VLOOKUP(Продажи[[#This Row],[id товара]],Товары[#All],3,FALSE)</f>
        <v>Rich</v>
      </c>
      <c r="M2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272.25</v>
      </c>
      <c r="N292" s="23">
        <f>VLOOKUP(Продажи[[#This Row],[id клиента]],Таблица4[#All],5,FALSE)</f>
        <v>44620</v>
      </c>
      <c r="O292">
        <f>Продажи[[#This Row],[дата создания чека]]-Продажи[[#This Row],[Дата регистрации клиентов]]</f>
        <v>547</v>
      </c>
      <c r="P292" t="str">
        <f>VLOOKUP(Продажи[[#This Row],[id клиента]],Таблица4[#All],7,FALSE)</f>
        <v>Россия</v>
      </c>
    </row>
    <row r="293" spans="1:16" x14ac:dyDescent="0.25">
      <c r="A293">
        <v>292</v>
      </c>
      <c r="B293">
        <v>328</v>
      </c>
      <c r="C293">
        <v>448</v>
      </c>
      <c r="D293">
        <v>4</v>
      </c>
      <c r="E293">
        <v>1792</v>
      </c>
      <c r="F293" s="23">
        <v>45166</v>
      </c>
      <c r="G293" t="s">
        <v>18</v>
      </c>
      <c r="H293">
        <v>86</v>
      </c>
      <c r="I293" t="str">
        <f>VLOOKUP(Продажи[[#This Row],[id товара]],Товары[#All],2,FALSE)</f>
        <v>Чипсы</v>
      </c>
      <c r="J293" s="19">
        <f>AVERAGEIF(Продажи[Категория товара],Продажи[[#This Row],[Категория товара]],Продажи[цена за шт в рублях])</f>
        <v>273.72549019607845</v>
      </c>
      <c r="K293" s="20">
        <f>Продажи[[#This Row],[цена за шт в рублях]]/Продажи[[#This Row],[Средняя цена в категории за шт]]-1</f>
        <v>0.63667621776504291</v>
      </c>
      <c r="L293" t="str">
        <f>VLOOKUP(Продажи[[#This Row],[id товара]],Товары[#All],3,FALSE)</f>
        <v>Русская картошка</v>
      </c>
      <c r="M2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293" s="23">
        <f>VLOOKUP(Продажи[[#This Row],[id клиента]],Таблица4[#All],5,FALSE)</f>
        <v>44692</v>
      </c>
      <c r="O293">
        <f>Продажи[[#This Row],[дата создания чека]]-Продажи[[#This Row],[Дата регистрации клиентов]]</f>
        <v>474</v>
      </c>
      <c r="P293" t="str">
        <f>VLOOKUP(Продажи[[#This Row],[id клиента]],Таблица4[#All],7,FALSE)</f>
        <v>Узбекистан</v>
      </c>
    </row>
    <row r="294" spans="1:16" x14ac:dyDescent="0.25">
      <c r="A294">
        <v>293</v>
      </c>
      <c r="B294">
        <v>424</v>
      </c>
      <c r="C294">
        <v>226</v>
      </c>
      <c r="D294">
        <v>2</v>
      </c>
      <c r="E294">
        <v>452</v>
      </c>
      <c r="F294" s="23">
        <v>45108</v>
      </c>
      <c r="G294" t="s">
        <v>17</v>
      </c>
      <c r="H294">
        <v>397</v>
      </c>
      <c r="I294" t="str">
        <f>VLOOKUP(Продажи[[#This Row],[id товара]],Товары[#All],2,FALSE)</f>
        <v>Печенье</v>
      </c>
      <c r="J294" s="19">
        <f>AVERAGEIF(Продажи[Категория товара],Продажи[[#This Row],[Категория товара]],Продажи[цена за шт в рублях])</f>
        <v>283.468085106383</v>
      </c>
      <c r="K294" s="20">
        <f>Продажи[[#This Row],[цена за шт в рублях]]/Продажи[[#This Row],[Средняя цена в категории за шт]]-1</f>
        <v>-0.20273211739097807</v>
      </c>
      <c r="L294" t="str">
        <f>VLOOKUP(Продажи[[#This Row],[id товара]],Товары[#All],3,FALSE)</f>
        <v>КДВ</v>
      </c>
      <c r="M2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294" s="23">
        <f>VLOOKUP(Продажи[[#This Row],[id клиента]],Таблица4[#All],5,FALSE)</f>
        <v>44728</v>
      </c>
      <c r="O294">
        <f>Продажи[[#This Row],[дата создания чека]]-Продажи[[#This Row],[Дата регистрации клиентов]]</f>
        <v>380</v>
      </c>
      <c r="P294" t="str">
        <f>VLOOKUP(Продажи[[#This Row],[id клиента]],Таблица4[#All],7,FALSE)</f>
        <v>Беларусь</v>
      </c>
    </row>
    <row r="295" spans="1:16" x14ac:dyDescent="0.25">
      <c r="A295">
        <v>294</v>
      </c>
      <c r="B295">
        <v>86</v>
      </c>
      <c r="C295">
        <v>261</v>
      </c>
      <c r="D295">
        <v>5</v>
      </c>
      <c r="E295">
        <v>1305</v>
      </c>
      <c r="F295" s="23">
        <v>45001</v>
      </c>
      <c r="G295" t="s">
        <v>10</v>
      </c>
      <c r="H295">
        <v>319</v>
      </c>
      <c r="I295" t="str">
        <f>VLOOKUP(Продажи[[#This Row],[id товара]],Товары[#All],2,FALSE)</f>
        <v>Сахар</v>
      </c>
      <c r="J295" s="19">
        <f>AVERAGEIF(Продажи[Категория товара],Продажи[[#This Row],[Категория товара]],Продажи[цена за шт в рублях])</f>
        <v>252.76271186440678</v>
      </c>
      <c r="K295" s="20">
        <f>Продажи[[#This Row],[цена за шт в рублях]]/Продажи[[#This Row],[Средняя цена в категории за шт]]-1</f>
        <v>3.2589016294508166E-2</v>
      </c>
      <c r="L295" t="str">
        <f>VLOOKUP(Продажи[[#This Row],[id товара]],Товары[#All],3,FALSE)</f>
        <v>Русский сахар</v>
      </c>
      <c r="M2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295" s="23">
        <f>VLOOKUP(Продажи[[#This Row],[id клиента]],Таблица4[#All],5,FALSE)</f>
        <v>44674</v>
      </c>
      <c r="O295">
        <f>Продажи[[#This Row],[дата создания чека]]-Продажи[[#This Row],[Дата регистрации клиентов]]</f>
        <v>327</v>
      </c>
      <c r="P295" t="str">
        <f>VLOOKUP(Продажи[[#This Row],[id клиента]],Таблица4[#All],7,FALSE)</f>
        <v>Узбекистан</v>
      </c>
    </row>
    <row r="296" spans="1:16" x14ac:dyDescent="0.25">
      <c r="A296">
        <v>295</v>
      </c>
      <c r="B296">
        <v>17</v>
      </c>
      <c r="C296">
        <v>253</v>
      </c>
      <c r="D296">
        <v>3</v>
      </c>
      <c r="E296">
        <v>759</v>
      </c>
      <c r="F296" s="23">
        <v>45369</v>
      </c>
      <c r="G296" t="s">
        <v>23</v>
      </c>
      <c r="H296">
        <v>290</v>
      </c>
      <c r="I296" t="str">
        <f>VLOOKUP(Продажи[[#This Row],[id товара]],Товары[#All],2,FALSE)</f>
        <v>Кофе</v>
      </c>
      <c r="J296" s="19">
        <f>AVERAGEIF(Продажи[Категория товара],Продажи[[#This Row],[Категория товара]],Продажи[цена за шт в рублях])</f>
        <v>249.02380952380952</v>
      </c>
      <c r="K296" s="20">
        <f>Продажи[[#This Row],[цена за шт в рублях]]/Продажи[[#This Row],[Средняя цена в категории за шт]]-1</f>
        <v>1.5967109666316093E-2</v>
      </c>
      <c r="L296" t="str">
        <f>VLOOKUP(Продажи[[#This Row],[id товара]],Товары[#All],3,FALSE)</f>
        <v>Jacobs</v>
      </c>
      <c r="M2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296" s="23">
        <f>VLOOKUP(Продажи[[#This Row],[id клиента]],Таблица4[#All],5,FALSE)</f>
        <v>44777</v>
      </c>
      <c r="O296">
        <f>Продажи[[#This Row],[дата создания чека]]-Продажи[[#This Row],[Дата регистрации клиентов]]</f>
        <v>592</v>
      </c>
      <c r="P296" t="str">
        <f>VLOOKUP(Продажи[[#This Row],[id клиента]],Таблица4[#All],7,FALSE)</f>
        <v>Россия</v>
      </c>
    </row>
    <row r="297" spans="1:16" x14ac:dyDescent="0.25">
      <c r="A297">
        <v>296</v>
      </c>
      <c r="B297">
        <v>43</v>
      </c>
      <c r="C297">
        <v>457</v>
      </c>
      <c r="D297">
        <v>3</v>
      </c>
      <c r="E297">
        <v>1371</v>
      </c>
      <c r="F297" s="23">
        <v>44943</v>
      </c>
      <c r="G297" t="s">
        <v>16</v>
      </c>
      <c r="H297">
        <v>13</v>
      </c>
      <c r="I297" t="str">
        <f>VLOOKUP(Продажи[[#This Row],[id товара]],Товары[#All],2,FALSE)</f>
        <v>Печенье</v>
      </c>
      <c r="J297" s="19">
        <f>AVERAGEIF(Продажи[Категория товара],Продажи[[#This Row],[Категория товара]],Продажи[цена за шт в рублях])</f>
        <v>283.468085106383</v>
      </c>
      <c r="K297" s="20">
        <f>Продажи[[#This Row],[цена за шт в рублях]]/Продажи[[#This Row],[Средняя цена в категории за шт]]-1</f>
        <v>0.61217443518726999</v>
      </c>
      <c r="L297" t="str">
        <f>VLOOKUP(Продажи[[#This Row],[id товара]],Товары[#All],3,FALSE)</f>
        <v>КДВ</v>
      </c>
      <c r="M2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297" s="23">
        <f>VLOOKUP(Продажи[[#This Row],[id клиента]],Таблица4[#All],5,FALSE)</f>
        <v>44724</v>
      </c>
      <c r="O297">
        <f>Продажи[[#This Row],[дата создания чека]]-Продажи[[#This Row],[Дата регистрации клиентов]]</f>
        <v>219</v>
      </c>
      <c r="P297" t="str">
        <f>VLOOKUP(Продажи[[#This Row],[id клиента]],Таблица4[#All],7,FALSE)</f>
        <v>Россия</v>
      </c>
    </row>
    <row r="298" spans="1:16" x14ac:dyDescent="0.25">
      <c r="A298">
        <v>297</v>
      </c>
      <c r="B298">
        <v>5</v>
      </c>
      <c r="C298">
        <v>65</v>
      </c>
      <c r="D298">
        <v>5</v>
      </c>
      <c r="E298">
        <v>325</v>
      </c>
      <c r="F298" s="23">
        <v>45251</v>
      </c>
      <c r="G298" t="s">
        <v>22</v>
      </c>
      <c r="H298">
        <v>302</v>
      </c>
      <c r="I298" t="str">
        <f>VLOOKUP(Продажи[[#This Row],[id товара]],Товары[#All],2,FALSE)</f>
        <v>Макароны</v>
      </c>
      <c r="J298" s="19">
        <f>AVERAGEIF(Продажи[Категория товара],Продажи[[#This Row],[Категория товара]],Продажи[цена за шт в рублях])</f>
        <v>265.47674418604652</v>
      </c>
      <c r="K298" s="20">
        <f>Продажи[[#This Row],[цена за шт в рублях]]/Продажи[[#This Row],[Средняя цена в категории за шт]]-1</f>
        <v>-0.75515746134641493</v>
      </c>
      <c r="L298" t="str">
        <f>VLOOKUP(Продажи[[#This Row],[id товара]],Товары[#All],3,FALSE)</f>
        <v>Роллтон</v>
      </c>
      <c r="M2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298" s="23">
        <f>VLOOKUP(Продажи[[#This Row],[id клиента]],Таблица4[#All],5,FALSE)</f>
        <v>44859</v>
      </c>
      <c r="O298">
        <f>Продажи[[#This Row],[дата создания чека]]-Продажи[[#This Row],[Дата регистрации клиентов]]</f>
        <v>392</v>
      </c>
      <c r="P298" t="str">
        <f>VLOOKUP(Продажи[[#This Row],[id клиента]],Таблица4[#All],7,FALSE)</f>
        <v>Россия</v>
      </c>
    </row>
    <row r="299" spans="1:16" x14ac:dyDescent="0.25">
      <c r="A299">
        <v>298</v>
      </c>
      <c r="B299">
        <v>298</v>
      </c>
      <c r="C299">
        <v>65</v>
      </c>
      <c r="D299">
        <v>1</v>
      </c>
      <c r="E299">
        <v>65</v>
      </c>
      <c r="F299" s="23">
        <v>44985</v>
      </c>
      <c r="G299" t="s">
        <v>27</v>
      </c>
      <c r="H299">
        <v>453</v>
      </c>
      <c r="I299" t="str">
        <f>VLOOKUP(Продажи[[#This Row],[id товара]],Товары[#All],2,FALSE)</f>
        <v>Крупа</v>
      </c>
      <c r="J299" s="19">
        <f>AVERAGEIF(Продажи[Категория товара],Продажи[[#This Row],[Категория товара]],Продажи[цена за шт в рублях])</f>
        <v>255.11627906976744</v>
      </c>
      <c r="K299" s="20">
        <f>Продажи[[#This Row],[цена за шт в рублях]]/Продажи[[#This Row],[Средняя цена в категории за шт]]-1</f>
        <v>-0.74521422060164078</v>
      </c>
      <c r="L299" t="str">
        <f>VLOOKUP(Продажи[[#This Row],[id товара]],Товары[#All],3,FALSE)</f>
        <v>Увелка</v>
      </c>
      <c r="M2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299" s="23">
        <f>VLOOKUP(Продажи[[#This Row],[id клиента]],Таблица4[#All],5,FALSE)</f>
        <v>44635</v>
      </c>
      <c r="O299">
        <f>Продажи[[#This Row],[дата создания чека]]-Продажи[[#This Row],[Дата регистрации клиентов]]</f>
        <v>350</v>
      </c>
      <c r="P299" t="str">
        <f>VLOOKUP(Продажи[[#This Row],[id клиента]],Таблица4[#All],7,FALSE)</f>
        <v>Россия</v>
      </c>
    </row>
    <row r="300" spans="1:16" x14ac:dyDescent="0.25">
      <c r="A300">
        <v>299</v>
      </c>
      <c r="B300">
        <v>436</v>
      </c>
      <c r="C300">
        <v>320</v>
      </c>
      <c r="D300">
        <v>3</v>
      </c>
      <c r="E300">
        <v>960</v>
      </c>
      <c r="F300" s="23">
        <v>45388</v>
      </c>
      <c r="G300" t="s">
        <v>21</v>
      </c>
      <c r="H300">
        <v>16</v>
      </c>
      <c r="I300" t="str">
        <f>VLOOKUP(Продажи[[#This Row],[id товара]],Товары[#All],2,FALSE)</f>
        <v>Овощи</v>
      </c>
      <c r="J300" s="19">
        <f>AVERAGEIF(Продажи[Категория товара],Продажи[[#This Row],[Категория товара]],Продажи[цена за шт в рублях])</f>
        <v>250.48780487804879</v>
      </c>
      <c r="K300" s="20">
        <f>Продажи[[#This Row],[цена за шт в рублях]]/Продажи[[#This Row],[Средняя цена в категории за шт]]-1</f>
        <v>0.27750730282375846</v>
      </c>
      <c r="L300" t="str">
        <f>VLOOKUP(Продажи[[#This Row],[id товара]],Товары[#All],3,FALSE)</f>
        <v>Гавриш</v>
      </c>
      <c r="M3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300" s="23">
        <f>VLOOKUP(Продажи[[#This Row],[id клиента]],Таблица4[#All],5,FALSE)</f>
        <v>44713</v>
      </c>
      <c r="O300">
        <f>Продажи[[#This Row],[дата создания чека]]-Продажи[[#This Row],[Дата регистрации клиентов]]</f>
        <v>675</v>
      </c>
      <c r="P300" t="str">
        <f>VLOOKUP(Продажи[[#This Row],[id клиента]],Таблица4[#All],7,FALSE)</f>
        <v>Украина</v>
      </c>
    </row>
    <row r="301" spans="1:16" x14ac:dyDescent="0.25">
      <c r="A301">
        <v>300</v>
      </c>
      <c r="B301">
        <v>421</v>
      </c>
      <c r="C301">
        <v>145</v>
      </c>
      <c r="D301">
        <v>4</v>
      </c>
      <c r="E301">
        <v>580</v>
      </c>
      <c r="F301" s="23">
        <v>45323</v>
      </c>
      <c r="G301" t="s">
        <v>21</v>
      </c>
      <c r="H301">
        <v>120</v>
      </c>
      <c r="I301" t="str">
        <f>VLOOKUP(Продажи[[#This Row],[id товара]],Товары[#All],2,FALSE)</f>
        <v>Чай</v>
      </c>
      <c r="J301" s="19">
        <f>AVERAGEIF(Продажи[Категория товара],Продажи[[#This Row],[Категория товара]],Продажи[цена за шт в рублях])</f>
        <v>271.18181818181819</v>
      </c>
      <c r="K301" s="20">
        <f>Продажи[[#This Row],[цена за шт в рублях]]/Продажи[[#This Row],[Средняя цена в категории за шт]]-1</f>
        <v>-0.46530338585316799</v>
      </c>
      <c r="L301" t="str">
        <f>VLOOKUP(Продажи[[#This Row],[id товара]],Товары[#All],3,FALSE)</f>
        <v>Greenfield</v>
      </c>
      <c r="M3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301" s="23">
        <f>VLOOKUP(Продажи[[#This Row],[id клиента]],Таблица4[#All],5,FALSE)</f>
        <v>44691</v>
      </c>
      <c r="O301">
        <f>Продажи[[#This Row],[дата создания чека]]-Продажи[[#This Row],[Дата регистрации клиентов]]</f>
        <v>632</v>
      </c>
      <c r="P301" t="str">
        <f>VLOOKUP(Продажи[[#This Row],[id клиента]],Таблица4[#All],7,FALSE)</f>
        <v>Россия</v>
      </c>
    </row>
    <row r="302" spans="1:16" x14ac:dyDescent="0.25">
      <c r="A302">
        <v>301</v>
      </c>
      <c r="B302">
        <v>223</v>
      </c>
      <c r="C302">
        <v>467</v>
      </c>
      <c r="D302">
        <v>5</v>
      </c>
      <c r="E302">
        <v>2335</v>
      </c>
      <c r="F302" s="23">
        <v>45310</v>
      </c>
      <c r="G302" t="s">
        <v>12</v>
      </c>
      <c r="H302">
        <v>295</v>
      </c>
      <c r="I302" t="str">
        <f>VLOOKUP(Продажи[[#This Row],[id товара]],Товары[#All],2,FALSE)</f>
        <v>Чай</v>
      </c>
      <c r="J302" s="19">
        <f>AVERAGEIF(Продажи[Категория товара],Продажи[[#This Row],[Категория товара]],Продажи[цена за шт в рублях])</f>
        <v>271.18181818181819</v>
      </c>
      <c r="K302" s="20">
        <f>Продажи[[#This Row],[цена за шт в рублях]]/Продажи[[#This Row],[Средняя цена в категории за шт]]-1</f>
        <v>0.72209185383841756</v>
      </c>
      <c r="L302" t="str">
        <f>VLOOKUP(Продажи[[#This Row],[id товара]],Товары[#All],3,FALSE)</f>
        <v>Greenfield</v>
      </c>
      <c r="M3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302" s="23">
        <f>VLOOKUP(Продажи[[#This Row],[id клиента]],Таблица4[#All],5,FALSE)</f>
        <v>44588</v>
      </c>
      <c r="O302">
        <f>Продажи[[#This Row],[дата создания чека]]-Продажи[[#This Row],[Дата регистрации клиентов]]</f>
        <v>722</v>
      </c>
      <c r="P302" t="str">
        <f>VLOOKUP(Продажи[[#This Row],[id клиента]],Таблица4[#All],7,FALSE)</f>
        <v>Россия</v>
      </c>
    </row>
    <row r="303" spans="1:16" x14ac:dyDescent="0.25">
      <c r="A303">
        <v>302</v>
      </c>
      <c r="B303">
        <v>483</v>
      </c>
      <c r="C303">
        <v>124</v>
      </c>
      <c r="D303">
        <v>4</v>
      </c>
      <c r="E303">
        <v>496</v>
      </c>
      <c r="F303" s="23">
        <v>45299</v>
      </c>
      <c r="G303" t="s">
        <v>14</v>
      </c>
      <c r="H303">
        <v>381</v>
      </c>
      <c r="I303" t="str">
        <f>VLOOKUP(Продажи[[#This Row],[id товара]],Товары[#All],2,FALSE)</f>
        <v>Колбаса</v>
      </c>
      <c r="J303" s="19">
        <f>AVERAGEIF(Продажи[Категория товара],Продажи[[#This Row],[Категория товара]],Продажи[цена за шт в рублях])</f>
        <v>286.92307692307691</v>
      </c>
      <c r="K303" s="20">
        <f>Продажи[[#This Row],[цена за шт в рублях]]/Продажи[[#This Row],[Средняя цена в категории за шт]]-1</f>
        <v>-0.56782841823056296</v>
      </c>
      <c r="L303" t="str">
        <f>VLOOKUP(Продажи[[#This Row],[id товара]],Товары[#All],3,FALSE)</f>
        <v>Дымов</v>
      </c>
      <c r="M3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303" s="23">
        <f>VLOOKUP(Продажи[[#This Row],[id клиента]],Таблица4[#All],5,FALSE)</f>
        <v>44714</v>
      </c>
      <c r="O303">
        <f>Продажи[[#This Row],[дата создания чека]]-Продажи[[#This Row],[Дата регистрации клиентов]]</f>
        <v>585</v>
      </c>
      <c r="P303" t="str">
        <f>VLOOKUP(Продажи[[#This Row],[id клиента]],Таблица4[#All],7,FALSE)</f>
        <v>Узбекистан</v>
      </c>
    </row>
    <row r="304" spans="1:16" x14ac:dyDescent="0.25">
      <c r="A304">
        <v>303</v>
      </c>
      <c r="B304">
        <v>414</v>
      </c>
      <c r="C304">
        <v>406</v>
      </c>
      <c r="D304">
        <v>3</v>
      </c>
      <c r="E304">
        <v>1218</v>
      </c>
      <c r="F304" s="23">
        <v>45246</v>
      </c>
      <c r="G304" t="s">
        <v>11</v>
      </c>
      <c r="H304">
        <v>287</v>
      </c>
      <c r="I304" t="str">
        <f>VLOOKUP(Продажи[[#This Row],[id товара]],Товары[#All],2,FALSE)</f>
        <v>Фрукты</v>
      </c>
      <c r="J304" s="19">
        <f>AVERAGEIF(Продажи[Категория товара],Продажи[[#This Row],[Категория товара]],Продажи[цена за шт в рублях])</f>
        <v>274.16279069767444</v>
      </c>
      <c r="K304" s="20">
        <f>Продажи[[#This Row],[цена за шт в рублях]]/Продажи[[#This Row],[Средняя цена в категории за шт]]-1</f>
        <v>0.48087199932140123</v>
      </c>
      <c r="L304" t="str">
        <f>VLOOKUP(Продажи[[#This Row],[id товара]],Товары[#All],3,FALSE)</f>
        <v>Экзотик</v>
      </c>
      <c r="M3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304" s="23">
        <f>VLOOKUP(Продажи[[#This Row],[id клиента]],Таблица4[#All],5,FALSE)</f>
        <v>44608</v>
      </c>
      <c r="O304">
        <f>Продажи[[#This Row],[дата создания чека]]-Продажи[[#This Row],[Дата регистрации клиентов]]</f>
        <v>638</v>
      </c>
      <c r="P304" t="str">
        <f>VLOOKUP(Продажи[[#This Row],[id клиента]],Таблица4[#All],7,FALSE)</f>
        <v>Россия</v>
      </c>
    </row>
    <row r="305" spans="1:16" x14ac:dyDescent="0.25">
      <c r="A305">
        <v>304</v>
      </c>
      <c r="B305">
        <v>389</v>
      </c>
      <c r="C305">
        <v>76</v>
      </c>
      <c r="D305">
        <v>4</v>
      </c>
      <c r="E305">
        <v>304</v>
      </c>
      <c r="F305" s="23">
        <v>45067</v>
      </c>
      <c r="G305" t="s">
        <v>18</v>
      </c>
      <c r="H305">
        <v>415</v>
      </c>
      <c r="I305" t="str">
        <f>VLOOKUP(Продажи[[#This Row],[id товара]],Товары[#All],2,FALSE)</f>
        <v>Чай</v>
      </c>
      <c r="J305" s="19">
        <f>AVERAGEIF(Продажи[Категория товара],Продажи[[#This Row],[Категория товара]],Продажи[цена за шт в рублях])</f>
        <v>271.18181818181819</v>
      </c>
      <c r="K305" s="20">
        <f>Продажи[[#This Row],[цена за шт в рублях]]/Продажи[[#This Row],[Средняя цена в категории за шт]]-1</f>
        <v>-0.71974522292993637</v>
      </c>
      <c r="L305" t="str">
        <f>VLOOKUP(Продажи[[#This Row],[id товара]],Товары[#All],3,FALSE)</f>
        <v>Ахмад</v>
      </c>
      <c r="M3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305" s="23">
        <f>VLOOKUP(Продажи[[#This Row],[id клиента]],Таблица4[#All],5,FALSE)</f>
        <v>44661</v>
      </c>
      <c r="O305">
        <f>Продажи[[#This Row],[дата создания чека]]-Продажи[[#This Row],[Дата регистрации клиентов]]</f>
        <v>406</v>
      </c>
      <c r="P305" t="str">
        <f>VLOOKUP(Продажи[[#This Row],[id клиента]],Таблица4[#All],7,FALSE)</f>
        <v>Украина</v>
      </c>
    </row>
    <row r="306" spans="1:16" x14ac:dyDescent="0.25">
      <c r="A306">
        <v>305</v>
      </c>
      <c r="B306">
        <v>367</v>
      </c>
      <c r="C306">
        <v>79</v>
      </c>
      <c r="D306">
        <v>5</v>
      </c>
      <c r="E306">
        <v>395</v>
      </c>
      <c r="F306" s="23">
        <v>45107</v>
      </c>
      <c r="G306" t="s">
        <v>26</v>
      </c>
      <c r="H306">
        <v>292</v>
      </c>
      <c r="I306" t="str">
        <f>VLOOKUP(Продажи[[#This Row],[id товара]],Товары[#All],2,FALSE)</f>
        <v>Колбаса</v>
      </c>
      <c r="J306" s="19">
        <f>AVERAGEIF(Продажи[Категория товара],Продажи[[#This Row],[Категория товара]],Продажи[цена за шт в рублях])</f>
        <v>286.92307692307691</v>
      </c>
      <c r="K306" s="20">
        <f>Продажи[[#This Row],[цена за шт в рублях]]/Продажи[[#This Row],[Средняя цена в категории за шт]]-1</f>
        <v>-0.72466487935656843</v>
      </c>
      <c r="L306" t="str">
        <f>VLOOKUP(Продажи[[#This Row],[id товара]],Товары[#All],3,FALSE)</f>
        <v>Окраина</v>
      </c>
      <c r="M3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306" s="23">
        <f>VLOOKUP(Продажи[[#This Row],[id клиента]],Таблица4[#All],5,FALSE)</f>
        <v>44608</v>
      </c>
      <c r="O306">
        <f>Продажи[[#This Row],[дата создания чека]]-Продажи[[#This Row],[Дата регистрации клиентов]]</f>
        <v>499</v>
      </c>
      <c r="P306" t="str">
        <f>VLOOKUP(Продажи[[#This Row],[id клиента]],Таблица4[#All],7,FALSE)</f>
        <v>Россия</v>
      </c>
    </row>
    <row r="307" spans="1:16" x14ac:dyDescent="0.25">
      <c r="A307">
        <v>306</v>
      </c>
      <c r="B307">
        <v>128</v>
      </c>
      <c r="C307">
        <v>466</v>
      </c>
      <c r="D307">
        <v>1</v>
      </c>
      <c r="E307">
        <v>466</v>
      </c>
      <c r="F307" s="23">
        <v>44984</v>
      </c>
      <c r="G307" t="s">
        <v>27</v>
      </c>
      <c r="H307">
        <v>389</v>
      </c>
      <c r="I307" t="str">
        <f>VLOOKUP(Продажи[[#This Row],[id товара]],Товары[#All],2,FALSE)</f>
        <v>Мясо</v>
      </c>
      <c r="J307" s="19">
        <f>AVERAGEIF(Продажи[Категория товара],Продажи[[#This Row],[Категория товара]],Продажи[цена за шт в рублях])</f>
        <v>271.74545454545455</v>
      </c>
      <c r="K307" s="20">
        <f>Продажи[[#This Row],[цена за шт в рублях]]/Продажи[[#This Row],[Средняя цена в категории за шт]]-1</f>
        <v>0.71484009099424584</v>
      </c>
      <c r="L307" t="str">
        <f>VLOOKUP(Продажи[[#This Row],[id товара]],Товары[#All],3,FALSE)</f>
        <v>Мираторг</v>
      </c>
      <c r="M3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307" s="23">
        <f>VLOOKUP(Продажи[[#This Row],[id клиента]],Таблица4[#All],5,FALSE)</f>
        <v>44876</v>
      </c>
      <c r="O307">
        <f>Продажи[[#This Row],[дата создания чека]]-Продажи[[#This Row],[Дата регистрации клиентов]]</f>
        <v>108</v>
      </c>
      <c r="P307" t="str">
        <f>VLOOKUP(Продажи[[#This Row],[id клиента]],Таблица4[#All],7,FALSE)</f>
        <v>Россия</v>
      </c>
    </row>
    <row r="308" spans="1:16" x14ac:dyDescent="0.25">
      <c r="A308">
        <v>307</v>
      </c>
      <c r="B308">
        <v>368</v>
      </c>
      <c r="C308">
        <v>265</v>
      </c>
      <c r="D308">
        <v>5</v>
      </c>
      <c r="E308">
        <v>1325</v>
      </c>
      <c r="F308" s="23">
        <v>45192</v>
      </c>
      <c r="G308" t="s">
        <v>15</v>
      </c>
      <c r="H308">
        <v>106</v>
      </c>
      <c r="I308" t="str">
        <f>VLOOKUP(Продажи[[#This Row],[id товара]],Товары[#All],2,FALSE)</f>
        <v>Сыр</v>
      </c>
      <c r="J308" s="19">
        <f>AVERAGEIF(Продажи[Категория товара],Продажи[[#This Row],[Категория товара]],Продажи[цена за шт в рублях])</f>
        <v>262.63492063492066</v>
      </c>
      <c r="K308" s="20">
        <f>Продажи[[#This Row],[цена за шт в рублях]]/Продажи[[#This Row],[Средняя цена в категории за шт]]-1</f>
        <v>9.0051976308471726E-3</v>
      </c>
      <c r="L308" t="str">
        <f>VLOOKUP(Продажи[[#This Row],[id товара]],Товары[#All],3,FALSE)</f>
        <v>Сырная долина</v>
      </c>
      <c r="M3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308" s="23">
        <f>VLOOKUP(Продажи[[#This Row],[id клиента]],Таблица4[#All],5,FALSE)</f>
        <v>44858</v>
      </c>
      <c r="O308">
        <f>Продажи[[#This Row],[дата создания чека]]-Продажи[[#This Row],[Дата регистрации клиентов]]</f>
        <v>334</v>
      </c>
      <c r="P308" t="str">
        <f>VLOOKUP(Продажи[[#This Row],[id клиента]],Таблица4[#All],7,FALSE)</f>
        <v>Украина</v>
      </c>
    </row>
    <row r="309" spans="1:16" x14ac:dyDescent="0.25">
      <c r="A309">
        <v>308</v>
      </c>
      <c r="B309">
        <v>74</v>
      </c>
      <c r="C309">
        <v>397</v>
      </c>
      <c r="D309">
        <v>2</v>
      </c>
      <c r="E309">
        <v>794</v>
      </c>
      <c r="F309" s="23">
        <v>45178</v>
      </c>
      <c r="G309" t="s">
        <v>19</v>
      </c>
      <c r="H309">
        <v>458</v>
      </c>
      <c r="I309" t="str">
        <f>VLOOKUP(Продажи[[#This Row],[id товара]],Товары[#All],2,FALSE)</f>
        <v>Колбаса</v>
      </c>
      <c r="J309" s="19">
        <f>AVERAGEIF(Продажи[Категория товара],Продажи[[#This Row],[Категория товара]],Продажи[цена за шт в рублях])</f>
        <v>286.92307692307691</v>
      </c>
      <c r="K309" s="20">
        <f>Продажи[[#This Row],[цена за шт в рублях]]/Продажи[[#This Row],[Средняя цена в категории за шт]]-1</f>
        <v>0.38364611260053638</v>
      </c>
      <c r="L309" t="str">
        <f>VLOOKUP(Продажи[[#This Row],[id товара]],Товары[#All],3,FALSE)</f>
        <v>Черкизово</v>
      </c>
      <c r="M3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320.25</v>
      </c>
      <c r="N309" s="23">
        <f>VLOOKUP(Продажи[[#This Row],[id клиента]],Таблица4[#All],5,FALSE)</f>
        <v>44694</v>
      </c>
      <c r="O309">
        <f>Продажи[[#This Row],[дата создания чека]]-Продажи[[#This Row],[Дата регистрации клиентов]]</f>
        <v>484</v>
      </c>
      <c r="P309" t="str">
        <f>VLOOKUP(Продажи[[#This Row],[id клиента]],Таблица4[#All],7,FALSE)</f>
        <v>Россия</v>
      </c>
    </row>
    <row r="310" spans="1:16" x14ac:dyDescent="0.25">
      <c r="A310">
        <v>309</v>
      </c>
      <c r="B310">
        <v>276</v>
      </c>
      <c r="C310">
        <v>359</v>
      </c>
      <c r="D310">
        <v>2</v>
      </c>
      <c r="E310">
        <v>718</v>
      </c>
      <c r="F310" s="23">
        <v>45147</v>
      </c>
      <c r="G310" t="s">
        <v>13</v>
      </c>
      <c r="H310">
        <v>203</v>
      </c>
      <c r="I310" t="str">
        <f>VLOOKUP(Продажи[[#This Row],[id товара]],Товары[#All],2,FALSE)</f>
        <v>Колбаса</v>
      </c>
      <c r="J310" s="19">
        <f>AVERAGEIF(Продажи[Категория товара],Продажи[[#This Row],[Категория товара]],Продажи[цена за шт в рублях])</f>
        <v>286.92307692307691</v>
      </c>
      <c r="K310" s="20">
        <f>Продажи[[#This Row],[цена за шт в рублях]]/Продажи[[#This Row],[Средняя цена в категории за шт]]-1</f>
        <v>0.25120643431635403</v>
      </c>
      <c r="L310" t="str">
        <f>VLOOKUP(Продажи[[#This Row],[id товара]],Товары[#All],3,FALSE)</f>
        <v>Дымов</v>
      </c>
      <c r="M3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310" s="23">
        <f>VLOOKUP(Продажи[[#This Row],[id клиента]],Таблица4[#All],5,FALSE)</f>
        <v>44685</v>
      </c>
      <c r="O310">
        <f>Продажи[[#This Row],[дата создания чека]]-Продажи[[#This Row],[Дата регистрации клиентов]]</f>
        <v>462</v>
      </c>
      <c r="P310" t="str">
        <f>VLOOKUP(Продажи[[#This Row],[id клиента]],Таблица4[#All],7,FALSE)</f>
        <v>Россия</v>
      </c>
    </row>
    <row r="311" spans="1:16" x14ac:dyDescent="0.25">
      <c r="A311">
        <v>310</v>
      </c>
      <c r="B311">
        <v>149</v>
      </c>
      <c r="C311">
        <v>168</v>
      </c>
      <c r="D311">
        <v>4</v>
      </c>
      <c r="E311">
        <v>672</v>
      </c>
      <c r="F311" s="23">
        <v>44936</v>
      </c>
      <c r="G311" t="s">
        <v>9</v>
      </c>
      <c r="H311">
        <v>1</v>
      </c>
      <c r="I311" t="str">
        <f>VLOOKUP(Продажи[[#This Row],[id товара]],Товары[#All],2,FALSE)</f>
        <v>Конфеты</v>
      </c>
      <c r="J311" s="19">
        <f>AVERAGEIF(Продажи[Категория товара],Продажи[[#This Row],[Категория товара]],Продажи[цена за шт в рублях])</f>
        <v>267.85483870967744</v>
      </c>
      <c r="K311" s="20">
        <f>Продажи[[#This Row],[цена за шт в рублях]]/Продажи[[#This Row],[Средняя цена в категории за шт]]-1</f>
        <v>-0.37279460468477155</v>
      </c>
      <c r="L311" t="str">
        <f>VLOOKUP(Продажи[[#This Row],[id товара]],Товары[#All],3,FALSE)</f>
        <v>Бабаевский</v>
      </c>
      <c r="M3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311" s="23">
        <f>VLOOKUP(Продажи[[#This Row],[id клиента]],Таблица4[#All],5,FALSE)</f>
        <v>44585</v>
      </c>
      <c r="O311">
        <f>Продажи[[#This Row],[дата создания чека]]-Продажи[[#This Row],[Дата регистрации клиентов]]</f>
        <v>351</v>
      </c>
      <c r="P311" t="str">
        <f>VLOOKUP(Продажи[[#This Row],[id клиента]],Таблица4[#All],7,FALSE)</f>
        <v>Россия</v>
      </c>
    </row>
    <row r="312" spans="1:16" x14ac:dyDescent="0.25">
      <c r="A312">
        <v>311</v>
      </c>
      <c r="B312">
        <v>229</v>
      </c>
      <c r="C312">
        <v>156</v>
      </c>
      <c r="D312">
        <v>4</v>
      </c>
      <c r="E312">
        <v>624</v>
      </c>
      <c r="F312" s="23">
        <v>45168</v>
      </c>
      <c r="G312" t="s">
        <v>22</v>
      </c>
      <c r="H312">
        <v>204</v>
      </c>
      <c r="I312" t="str">
        <f>VLOOKUP(Продажи[[#This Row],[id товара]],Товары[#All],2,FALSE)</f>
        <v>Мясо</v>
      </c>
      <c r="J312" s="19">
        <f>AVERAGEIF(Продажи[Категория товара],Продажи[[#This Row],[Категория товара]],Продажи[цена за шт в рублях])</f>
        <v>271.74545454545455</v>
      </c>
      <c r="K312" s="20">
        <f>Продажи[[#This Row],[цена за шт в рублях]]/Продажи[[#This Row],[Средняя цена в категории за шт]]-1</f>
        <v>-0.42593336009634686</v>
      </c>
      <c r="L312" t="str">
        <f>VLOOKUP(Продажи[[#This Row],[id товара]],Товары[#All],3,FALSE)</f>
        <v>Сава</v>
      </c>
      <c r="M3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312" s="23">
        <f>VLOOKUP(Продажи[[#This Row],[id клиента]],Таблица4[#All],5,FALSE)</f>
        <v>44867</v>
      </c>
      <c r="O312">
        <f>Продажи[[#This Row],[дата создания чека]]-Продажи[[#This Row],[Дата регистрации клиентов]]</f>
        <v>301</v>
      </c>
      <c r="P312" t="str">
        <f>VLOOKUP(Продажи[[#This Row],[id клиента]],Таблица4[#All],7,FALSE)</f>
        <v>Россия</v>
      </c>
    </row>
    <row r="313" spans="1:16" x14ac:dyDescent="0.25">
      <c r="A313">
        <v>312</v>
      </c>
      <c r="B313">
        <v>28</v>
      </c>
      <c r="C313">
        <v>78</v>
      </c>
      <c r="D313">
        <v>4</v>
      </c>
      <c r="E313">
        <v>312</v>
      </c>
      <c r="F313" s="23">
        <v>44955</v>
      </c>
      <c r="G313" t="s">
        <v>22</v>
      </c>
      <c r="H313">
        <v>490</v>
      </c>
      <c r="I313" t="str">
        <f>VLOOKUP(Продажи[[#This Row],[id товара]],Товары[#All],2,FALSE)</f>
        <v>Крупа</v>
      </c>
      <c r="J313" s="19">
        <f>AVERAGEIF(Продажи[Категория товара],Продажи[[#This Row],[Категория товара]],Продажи[цена за шт в рублях])</f>
        <v>255.11627906976744</v>
      </c>
      <c r="K313" s="20">
        <f>Продажи[[#This Row],[цена за шт в рублях]]/Продажи[[#This Row],[Средняя цена в категории за шт]]-1</f>
        <v>-0.69425706472196902</v>
      </c>
      <c r="L313" t="str">
        <f>VLOOKUP(Продажи[[#This Row],[id товара]],Товары[#All],3,FALSE)</f>
        <v>Националь</v>
      </c>
      <c r="M3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313" s="23">
        <f>VLOOKUP(Продажи[[#This Row],[id клиента]],Таблица4[#All],5,FALSE)</f>
        <v>44603</v>
      </c>
      <c r="O313">
        <f>Продажи[[#This Row],[дата создания чека]]-Продажи[[#This Row],[Дата регистрации клиентов]]</f>
        <v>352</v>
      </c>
      <c r="P313" t="str">
        <f>VLOOKUP(Продажи[[#This Row],[id клиента]],Таблица4[#All],7,FALSE)</f>
        <v>Россия</v>
      </c>
    </row>
    <row r="314" spans="1:16" x14ac:dyDescent="0.25">
      <c r="A314">
        <v>313</v>
      </c>
      <c r="B314">
        <v>260</v>
      </c>
      <c r="C314">
        <v>489</v>
      </c>
      <c r="D314">
        <v>3</v>
      </c>
      <c r="E314">
        <v>1467</v>
      </c>
      <c r="F314" s="23">
        <v>45297</v>
      </c>
      <c r="G314" t="s">
        <v>25</v>
      </c>
      <c r="H314">
        <v>98</v>
      </c>
      <c r="I314" t="str">
        <f>VLOOKUP(Продажи[[#This Row],[id товара]],Товары[#All],2,FALSE)</f>
        <v>Соль</v>
      </c>
      <c r="J314" s="19">
        <f>AVERAGEIF(Продажи[Категория товара],Продажи[[#This Row],[Категория товара]],Продажи[цена за шт в рублях])</f>
        <v>264.8679245283019</v>
      </c>
      <c r="K314" s="20">
        <f>Продажи[[#This Row],[цена за шт в рублях]]/Продажи[[#This Row],[Средняя цена в категории за шт]]-1</f>
        <v>0.84620316284370989</v>
      </c>
      <c r="L314" t="str">
        <f>VLOOKUP(Продажи[[#This Row],[id товара]],Товары[#All],3,FALSE)</f>
        <v>Экстра</v>
      </c>
      <c r="M3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314" s="23">
        <f>VLOOKUP(Продажи[[#This Row],[id клиента]],Таблица4[#All],5,FALSE)</f>
        <v>44637</v>
      </c>
      <c r="O314">
        <f>Продажи[[#This Row],[дата создания чека]]-Продажи[[#This Row],[Дата регистрации клиентов]]</f>
        <v>660</v>
      </c>
      <c r="P314" t="str">
        <f>VLOOKUP(Продажи[[#This Row],[id клиента]],Таблица4[#All],7,FALSE)</f>
        <v>Россия</v>
      </c>
    </row>
    <row r="315" spans="1:16" x14ac:dyDescent="0.25">
      <c r="A315">
        <v>314</v>
      </c>
      <c r="B315">
        <v>140</v>
      </c>
      <c r="C315">
        <v>106</v>
      </c>
      <c r="D315">
        <v>3</v>
      </c>
      <c r="E315">
        <v>318</v>
      </c>
      <c r="F315" s="23">
        <v>44949</v>
      </c>
      <c r="G315" t="s">
        <v>11</v>
      </c>
      <c r="H315">
        <v>181</v>
      </c>
      <c r="I315" t="str">
        <f>VLOOKUP(Продажи[[#This Row],[id товара]],Товары[#All],2,FALSE)</f>
        <v>Рис</v>
      </c>
      <c r="J315" s="19">
        <f>AVERAGEIF(Продажи[Категория товара],Продажи[[#This Row],[Категория товара]],Продажи[цена за шт в рублях])</f>
        <v>258.375</v>
      </c>
      <c r="K315" s="20">
        <f>Продажи[[#This Row],[цена за шт в рублях]]/Продажи[[#This Row],[Средняя цена в категории за шт]]-1</f>
        <v>-0.58974358974358976</v>
      </c>
      <c r="L315" t="str">
        <f>VLOOKUP(Продажи[[#This Row],[id товара]],Товары[#All],3,FALSE)</f>
        <v>Белый Злат</v>
      </c>
      <c r="M3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315" s="23">
        <f>VLOOKUP(Продажи[[#This Row],[id клиента]],Таблица4[#All],5,FALSE)</f>
        <v>44568</v>
      </c>
      <c r="O315">
        <f>Продажи[[#This Row],[дата создания чека]]-Продажи[[#This Row],[Дата регистрации клиентов]]</f>
        <v>381</v>
      </c>
      <c r="P315" t="str">
        <f>VLOOKUP(Продажи[[#This Row],[id клиента]],Таблица4[#All],7,FALSE)</f>
        <v>Украина</v>
      </c>
    </row>
    <row r="316" spans="1:16" x14ac:dyDescent="0.25">
      <c r="A316">
        <v>315</v>
      </c>
      <c r="B316">
        <v>270</v>
      </c>
      <c r="C316">
        <v>204</v>
      </c>
      <c r="D316">
        <v>3</v>
      </c>
      <c r="E316">
        <v>612</v>
      </c>
      <c r="F316" s="23">
        <v>45009</v>
      </c>
      <c r="G316" t="s">
        <v>21</v>
      </c>
      <c r="H316">
        <v>226</v>
      </c>
      <c r="I316" t="str">
        <f>VLOOKUP(Продажи[[#This Row],[id товара]],Товары[#All],2,FALSE)</f>
        <v>Соль</v>
      </c>
      <c r="J316" s="19">
        <f>AVERAGEIF(Продажи[Категория товара],Продажи[[#This Row],[Категория товара]],Продажи[цена за шт в рублях])</f>
        <v>264.8679245283019</v>
      </c>
      <c r="K316" s="20">
        <f>Продажи[[#This Row],[цена за шт в рублях]]/Продажи[[#This Row],[Средняя цена в категории за шт]]-1</f>
        <v>-0.22980481550078358</v>
      </c>
      <c r="L316" t="str">
        <f>VLOOKUP(Продажи[[#This Row],[id товара]],Товары[#All],3,FALSE)</f>
        <v>Славянская</v>
      </c>
      <c r="M3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316" s="23">
        <f>VLOOKUP(Продажи[[#This Row],[id клиента]],Таблица4[#All],5,FALSE)</f>
        <v>44702</v>
      </c>
      <c r="O316">
        <f>Продажи[[#This Row],[дата создания чека]]-Продажи[[#This Row],[Дата регистрации клиентов]]</f>
        <v>307</v>
      </c>
      <c r="P316" t="str">
        <f>VLOOKUP(Продажи[[#This Row],[id клиента]],Таблица4[#All],7,FALSE)</f>
        <v>Россия</v>
      </c>
    </row>
    <row r="317" spans="1:16" x14ac:dyDescent="0.25">
      <c r="A317">
        <v>316</v>
      </c>
      <c r="B317">
        <v>67</v>
      </c>
      <c r="C317">
        <v>317</v>
      </c>
      <c r="D317">
        <v>4</v>
      </c>
      <c r="E317">
        <v>1268</v>
      </c>
      <c r="F317" s="23">
        <v>45222</v>
      </c>
      <c r="G317" t="s">
        <v>12</v>
      </c>
      <c r="H317">
        <v>322</v>
      </c>
      <c r="I317" t="str">
        <f>VLOOKUP(Продажи[[#This Row],[id товара]],Товары[#All],2,FALSE)</f>
        <v>Йогурт</v>
      </c>
      <c r="J317" s="19">
        <f>AVERAGEIF(Продажи[Категория товара],Продажи[[#This Row],[Категория товара]],Продажи[цена за шт в рублях])</f>
        <v>263.25423728813558</v>
      </c>
      <c r="K317" s="20">
        <f>Продажи[[#This Row],[цена за шт в рублях]]/Продажи[[#This Row],[Средняя цена в категории за шт]]-1</f>
        <v>0.20415915529229989</v>
      </c>
      <c r="L317" t="str">
        <f>VLOOKUP(Продажи[[#This Row],[id товара]],Товары[#All],3,FALSE)</f>
        <v>Чудо</v>
      </c>
      <c r="M3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317" s="23">
        <f>VLOOKUP(Продажи[[#This Row],[id клиента]],Таблица4[#All],5,FALSE)</f>
        <v>44886</v>
      </c>
      <c r="O317">
        <f>Продажи[[#This Row],[дата создания чека]]-Продажи[[#This Row],[Дата регистрации клиентов]]</f>
        <v>336</v>
      </c>
      <c r="P317" t="str">
        <f>VLOOKUP(Продажи[[#This Row],[id клиента]],Таблица4[#All],7,FALSE)</f>
        <v>Украина</v>
      </c>
    </row>
    <row r="318" spans="1:16" x14ac:dyDescent="0.25">
      <c r="A318">
        <v>317</v>
      </c>
      <c r="B318">
        <v>448</v>
      </c>
      <c r="C318">
        <v>442</v>
      </c>
      <c r="D318">
        <v>1</v>
      </c>
      <c r="E318">
        <v>442</v>
      </c>
      <c r="F318" s="23">
        <v>45040</v>
      </c>
      <c r="G318" t="s">
        <v>23</v>
      </c>
      <c r="H318">
        <v>296</v>
      </c>
      <c r="I318" t="str">
        <f>VLOOKUP(Продажи[[#This Row],[id товара]],Товары[#All],2,FALSE)</f>
        <v>Йогурт</v>
      </c>
      <c r="J318" s="19">
        <f>AVERAGEIF(Продажи[Категория товара],Продажи[[#This Row],[Категория товара]],Продажи[цена за шт в рублях])</f>
        <v>263.25423728813558</v>
      </c>
      <c r="K318" s="20">
        <f>Продажи[[#This Row],[цена за шт в рублях]]/Продажи[[#This Row],[Средняя цена в категории за шт]]-1</f>
        <v>0.67898532062838024</v>
      </c>
      <c r="L318" t="str">
        <f>VLOOKUP(Продажи[[#This Row],[id товара]],Товары[#All],3,FALSE)</f>
        <v>Ростагроэкспорт</v>
      </c>
      <c r="M3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18" s="23">
        <f>VLOOKUP(Продажи[[#This Row],[id клиента]],Таблица4[#All],5,FALSE)</f>
        <v>44758</v>
      </c>
      <c r="O318">
        <f>Продажи[[#This Row],[дата создания чека]]-Продажи[[#This Row],[Дата регистрации клиентов]]</f>
        <v>282</v>
      </c>
      <c r="P318" t="str">
        <f>VLOOKUP(Продажи[[#This Row],[id клиента]],Таблица4[#All],7,FALSE)</f>
        <v>Узбекистан</v>
      </c>
    </row>
    <row r="319" spans="1:16" x14ac:dyDescent="0.25">
      <c r="A319">
        <v>318</v>
      </c>
      <c r="B319">
        <v>331</v>
      </c>
      <c r="C319">
        <v>88</v>
      </c>
      <c r="D319">
        <v>3</v>
      </c>
      <c r="E319">
        <v>264</v>
      </c>
      <c r="F319" s="23">
        <v>45211</v>
      </c>
      <c r="G319" t="s">
        <v>8</v>
      </c>
      <c r="H319">
        <v>458</v>
      </c>
      <c r="I319" t="str">
        <f>VLOOKUP(Продажи[[#This Row],[id товара]],Товары[#All],2,FALSE)</f>
        <v>Соль</v>
      </c>
      <c r="J319" s="19">
        <f>AVERAGEIF(Продажи[Категория товара],Продажи[[#This Row],[Категория товара]],Продажи[цена за шт в рублях])</f>
        <v>264.8679245283019</v>
      </c>
      <c r="K319" s="20">
        <f>Продажи[[#This Row],[цена за шт в рублях]]/Продажи[[#This Row],[Средняя цена в категории за шт]]-1</f>
        <v>-0.66775894001994596</v>
      </c>
      <c r="L319" t="str">
        <f>VLOOKUP(Продажи[[#This Row],[id товара]],Товары[#All],3,FALSE)</f>
        <v>Салта</v>
      </c>
      <c r="M3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319" s="23">
        <f>VLOOKUP(Продажи[[#This Row],[id клиента]],Таблица4[#All],5,FALSE)</f>
        <v>44694</v>
      </c>
      <c r="O319">
        <f>Продажи[[#This Row],[дата создания чека]]-Продажи[[#This Row],[Дата регистрации клиентов]]</f>
        <v>517</v>
      </c>
      <c r="P319" t="str">
        <f>VLOOKUP(Продажи[[#This Row],[id клиента]],Таблица4[#All],7,FALSE)</f>
        <v>Россия</v>
      </c>
    </row>
    <row r="320" spans="1:16" x14ac:dyDescent="0.25">
      <c r="A320">
        <v>319</v>
      </c>
      <c r="B320">
        <v>325</v>
      </c>
      <c r="C320">
        <v>99</v>
      </c>
      <c r="D320">
        <v>2</v>
      </c>
      <c r="E320">
        <v>198</v>
      </c>
      <c r="F320" s="23">
        <v>45184</v>
      </c>
      <c r="G320" t="s">
        <v>16</v>
      </c>
      <c r="H320">
        <v>11</v>
      </c>
      <c r="I320" t="str">
        <f>VLOOKUP(Продажи[[#This Row],[id товара]],Товары[#All],2,FALSE)</f>
        <v>Сок</v>
      </c>
      <c r="J320" s="19">
        <f>AVERAGEIF(Продажи[Категория товара],Продажи[[#This Row],[Категория товара]],Продажи[цена за шт в рублях])</f>
        <v>268.60344827586209</v>
      </c>
      <c r="K320" s="20">
        <f>Продажи[[#This Row],[цена за шт в рублях]]/Продажи[[#This Row],[Средняя цена в категории за шт]]-1</f>
        <v>-0.63142692085499719</v>
      </c>
      <c r="L320" t="str">
        <f>VLOOKUP(Продажи[[#This Row],[id товара]],Товары[#All],3,FALSE)</f>
        <v>Добрый</v>
      </c>
      <c r="M3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320" s="23">
        <f>VLOOKUP(Продажи[[#This Row],[id клиента]],Таблица4[#All],5,FALSE)</f>
        <v>44690</v>
      </c>
      <c r="O320">
        <f>Продажи[[#This Row],[дата создания чека]]-Продажи[[#This Row],[Дата регистрации клиентов]]</f>
        <v>494</v>
      </c>
      <c r="P320" t="str">
        <f>VLOOKUP(Продажи[[#This Row],[id клиента]],Таблица4[#All],7,FALSE)</f>
        <v>Таджикистан</v>
      </c>
    </row>
    <row r="321" spans="1:16" x14ac:dyDescent="0.25">
      <c r="A321">
        <v>320</v>
      </c>
      <c r="B321">
        <v>346</v>
      </c>
      <c r="C321">
        <v>178</v>
      </c>
      <c r="D321">
        <v>5</v>
      </c>
      <c r="E321">
        <v>890</v>
      </c>
      <c r="F321" s="23">
        <v>45297</v>
      </c>
      <c r="G321" t="s">
        <v>22</v>
      </c>
      <c r="H321">
        <v>75</v>
      </c>
      <c r="I321" t="str">
        <f>VLOOKUP(Продажи[[#This Row],[id товара]],Товары[#All],2,FALSE)</f>
        <v>Чай</v>
      </c>
      <c r="J321" s="19">
        <f>AVERAGEIF(Продажи[Категория товара],Продажи[[#This Row],[Категория товара]],Продажи[цена за шт в рублях])</f>
        <v>271.18181818181819</v>
      </c>
      <c r="K321" s="20">
        <f>Продажи[[#This Row],[цена за шт в рублях]]/Продажи[[#This Row],[Средняя цена в категории за шт]]-1</f>
        <v>-0.34361381159906135</v>
      </c>
      <c r="L321" t="str">
        <f>VLOOKUP(Продажи[[#This Row],[id товара]],Товары[#All],3,FALSE)</f>
        <v>Greenfield</v>
      </c>
      <c r="M3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321" s="23">
        <f>VLOOKUP(Продажи[[#This Row],[id клиента]],Таблица4[#All],5,FALSE)</f>
        <v>44796</v>
      </c>
      <c r="O321">
        <f>Продажи[[#This Row],[дата создания чека]]-Продажи[[#This Row],[Дата регистрации клиентов]]</f>
        <v>501</v>
      </c>
      <c r="P321" t="str">
        <f>VLOOKUP(Продажи[[#This Row],[id клиента]],Таблица4[#All],7,FALSE)</f>
        <v>Украина</v>
      </c>
    </row>
    <row r="322" spans="1:16" x14ac:dyDescent="0.25">
      <c r="A322">
        <v>321</v>
      </c>
      <c r="B322">
        <v>397</v>
      </c>
      <c r="C322">
        <v>299</v>
      </c>
      <c r="D322">
        <v>3</v>
      </c>
      <c r="E322">
        <v>897</v>
      </c>
      <c r="F322" s="23">
        <v>45064</v>
      </c>
      <c r="G322" t="s">
        <v>15</v>
      </c>
      <c r="H322">
        <v>29</v>
      </c>
      <c r="I322" t="str">
        <f>VLOOKUP(Продажи[[#This Row],[id товара]],Товары[#All],2,FALSE)</f>
        <v>Йогурт</v>
      </c>
      <c r="J322" s="19">
        <f>AVERAGEIF(Продажи[Категория товара],Продажи[[#This Row],[Категория товара]],Продажи[цена за шт в рублях])</f>
        <v>263.25423728813558</v>
      </c>
      <c r="K322" s="20">
        <f>Продажи[[#This Row],[цена за шт в рублях]]/Продажи[[#This Row],[Средняя цена в категории за шт]]-1</f>
        <v>0.13578418748390431</v>
      </c>
      <c r="L322" t="str">
        <f>VLOOKUP(Продажи[[#This Row],[id товара]],Товары[#All],3,FALSE)</f>
        <v>Ростагроэкспорт</v>
      </c>
      <c r="M3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22" s="23">
        <f>VLOOKUP(Продажи[[#This Row],[id клиента]],Таблица4[#All],5,FALSE)</f>
        <v>44704</v>
      </c>
      <c r="O322">
        <f>Продажи[[#This Row],[дата создания чека]]-Продажи[[#This Row],[Дата регистрации клиентов]]</f>
        <v>360</v>
      </c>
      <c r="P322" t="str">
        <f>VLOOKUP(Продажи[[#This Row],[id клиента]],Таблица4[#All],7,FALSE)</f>
        <v>Россия</v>
      </c>
    </row>
    <row r="323" spans="1:16" x14ac:dyDescent="0.25">
      <c r="A323">
        <v>322</v>
      </c>
      <c r="B323">
        <v>115</v>
      </c>
      <c r="C323">
        <v>479</v>
      </c>
      <c r="D323">
        <v>1</v>
      </c>
      <c r="E323">
        <v>479</v>
      </c>
      <c r="F323" s="23">
        <v>45283</v>
      </c>
      <c r="G323" t="s">
        <v>20</v>
      </c>
      <c r="H323">
        <v>297</v>
      </c>
      <c r="I323" t="str">
        <f>VLOOKUP(Продажи[[#This Row],[id товара]],Товары[#All],2,FALSE)</f>
        <v>Сыр</v>
      </c>
      <c r="J323" s="19">
        <f>AVERAGEIF(Продажи[Категория товара],Продажи[[#This Row],[Категория товара]],Продажи[цена за шт в рублях])</f>
        <v>262.63492063492066</v>
      </c>
      <c r="K323" s="20">
        <f>Продажи[[#This Row],[цена за шт в рублях]]/Продажи[[#This Row],[Средняя цена в категории за шт]]-1</f>
        <v>0.82382448930255037</v>
      </c>
      <c r="L323" t="str">
        <f>VLOOKUP(Продажи[[#This Row],[id товара]],Товары[#All],3,FALSE)</f>
        <v>President</v>
      </c>
      <c r="M3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323" s="23">
        <f>VLOOKUP(Продажи[[#This Row],[id клиента]],Таблица4[#All],5,FALSE)</f>
        <v>44666</v>
      </c>
      <c r="O323">
        <f>Продажи[[#This Row],[дата создания чека]]-Продажи[[#This Row],[Дата регистрации клиентов]]</f>
        <v>617</v>
      </c>
      <c r="P323" t="str">
        <f>VLOOKUP(Продажи[[#This Row],[id клиента]],Таблица4[#All],7,FALSE)</f>
        <v>Украина</v>
      </c>
    </row>
    <row r="324" spans="1:16" x14ac:dyDescent="0.25">
      <c r="A324">
        <v>323</v>
      </c>
      <c r="B324">
        <v>360</v>
      </c>
      <c r="C324">
        <v>463</v>
      </c>
      <c r="D324">
        <v>3</v>
      </c>
      <c r="E324">
        <v>1389</v>
      </c>
      <c r="F324" s="23">
        <v>45258</v>
      </c>
      <c r="G324" t="s">
        <v>27</v>
      </c>
      <c r="H324">
        <v>497</v>
      </c>
      <c r="I324" t="str">
        <f>VLOOKUP(Продажи[[#This Row],[id товара]],Товары[#All],2,FALSE)</f>
        <v>Соль</v>
      </c>
      <c r="J324" s="19">
        <f>AVERAGEIF(Продажи[Категория товара],Продажи[[#This Row],[Категория товара]],Продажи[цена за шт в рублях])</f>
        <v>264.8679245283019</v>
      </c>
      <c r="K324" s="20">
        <f>Продажи[[#This Row],[цена за шт в рублях]]/Продажи[[#This Row],[Средняя цена в категории за шт]]-1</f>
        <v>0.74804103148596668</v>
      </c>
      <c r="L324" t="str">
        <f>VLOOKUP(Продажи[[#This Row],[id товара]],Товары[#All],3,FALSE)</f>
        <v>Славянская</v>
      </c>
      <c r="M3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324" s="23">
        <f>VLOOKUP(Продажи[[#This Row],[id клиента]],Таблица4[#All],5,FALSE)</f>
        <v>44826</v>
      </c>
      <c r="O324">
        <f>Продажи[[#This Row],[дата создания чека]]-Продажи[[#This Row],[Дата регистрации клиентов]]</f>
        <v>432</v>
      </c>
      <c r="P324" t="str">
        <f>VLOOKUP(Продажи[[#This Row],[id клиента]],Таблица4[#All],7,FALSE)</f>
        <v>Узбекистан</v>
      </c>
    </row>
    <row r="325" spans="1:16" x14ac:dyDescent="0.25">
      <c r="A325">
        <v>324</v>
      </c>
      <c r="B325">
        <v>230</v>
      </c>
      <c r="C325">
        <v>431</v>
      </c>
      <c r="D325">
        <v>3</v>
      </c>
      <c r="E325">
        <v>1293</v>
      </c>
      <c r="F325" s="23">
        <v>45282</v>
      </c>
      <c r="G325" t="s">
        <v>26</v>
      </c>
      <c r="H325">
        <v>191</v>
      </c>
      <c r="I325" t="str">
        <f>VLOOKUP(Продажи[[#This Row],[id товара]],Товары[#All],2,FALSE)</f>
        <v>Сок</v>
      </c>
      <c r="J325" s="19">
        <f>AVERAGEIF(Продажи[Категория товара],Продажи[[#This Row],[Категория товара]],Продажи[цена за шт в рублях])</f>
        <v>268.60344827586209</v>
      </c>
      <c r="K325" s="20">
        <f>Продажи[[#This Row],[цена за шт в рублях]]/Продажи[[#This Row],[Средняя цена в категории за шт]]-1</f>
        <v>0.60459593041915394</v>
      </c>
      <c r="L325" t="str">
        <f>VLOOKUP(Продажи[[#This Row],[id товара]],Товары[#All],3,FALSE)</f>
        <v>Фруктовый сад</v>
      </c>
      <c r="M3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325" s="23">
        <f>VLOOKUP(Продажи[[#This Row],[id клиента]],Таблица4[#All],5,FALSE)</f>
        <v>44866</v>
      </c>
      <c r="O325">
        <f>Продажи[[#This Row],[дата создания чека]]-Продажи[[#This Row],[Дата регистрации клиентов]]</f>
        <v>416</v>
      </c>
      <c r="P325" t="str">
        <f>VLOOKUP(Продажи[[#This Row],[id клиента]],Таблица4[#All],7,FALSE)</f>
        <v>Украина</v>
      </c>
    </row>
    <row r="326" spans="1:16" x14ac:dyDescent="0.25">
      <c r="A326">
        <v>325</v>
      </c>
      <c r="B326">
        <v>229</v>
      </c>
      <c r="C326">
        <v>173</v>
      </c>
      <c r="D326">
        <v>4</v>
      </c>
      <c r="E326">
        <v>692</v>
      </c>
      <c r="F326" s="23">
        <v>45038</v>
      </c>
      <c r="G326" t="s">
        <v>24</v>
      </c>
      <c r="H326">
        <v>327</v>
      </c>
      <c r="I326" t="str">
        <f>VLOOKUP(Продажи[[#This Row],[id товара]],Товары[#All],2,FALSE)</f>
        <v>Мясо</v>
      </c>
      <c r="J326" s="19">
        <f>AVERAGEIF(Продажи[Категория товара],Продажи[[#This Row],[Категория товара]],Продажи[цена за шт в рублях])</f>
        <v>271.74545454545455</v>
      </c>
      <c r="K326" s="20">
        <f>Продажи[[#This Row],[цена за шт в рублях]]/Продажи[[#This Row],[Средняя цена в категории за шт]]-1</f>
        <v>-0.36337481600428212</v>
      </c>
      <c r="L326" t="str">
        <f>VLOOKUP(Продажи[[#This Row],[id товара]],Товары[#All],3,FALSE)</f>
        <v>Сава</v>
      </c>
      <c r="M3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326" s="23">
        <f>VLOOKUP(Продажи[[#This Row],[id клиента]],Таблица4[#All],5,FALSE)</f>
        <v>44565</v>
      </c>
      <c r="O326">
        <f>Продажи[[#This Row],[дата создания чека]]-Продажи[[#This Row],[Дата регистрации клиентов]]</f>
        <v>473</v>
      </c>
      <c r="P326" t="str">
        <f>VLOOKUP(Продажи[[#This Row],[id клиента]],Таблица4[#All],7,FALSE)</f>
        <v>Таджикистан</v>
      </c>
    </row>
    <row r="327" spans="1:16" x14ac:dyDescent="0.25">
      <c r="A327">
        <v>326</v>
      </c>
      <c r="B327">
        <v>486</v>
      </c>
      <c r="C327">
        <v>213</v>
      </c>
      <c r="D327">
        <v>1</v>
      </c>
      <c r="E327">
        <v>213</v>
      </c>
      <c r="F327" s="23">
        <v>45279</v>
      </c>
      <c r="G327" t="s">
        <v>26</v>
      </c>
      <c r="H327">
        <v>58</v>
      </c>
      <c r="I327" t="str">
        <f>VLOOKUP(Продажи[[#This Row],[id товара]],Товары[#All],2,FALSE)</f>
        <v>Соль</v>
      </c>
      <c r="J327" s="19">
        <f>AVERAGEIF(Продажи[Категория товара],Продажи[[#This Row],[Категория товара]],Продажи[цена за шт в рублях])</f>
        <v>264.8679245283019</v>
      </c>
      <c r="K327" s="20">
        <f>Продажи[[#This Row],[цена за шт в рублях]]/Продажи[[#This Row],[Средняя цена в категории за шт]]-1</f>
        <v>-0.19582561618464167</v>
      </c>
      <c r="L327" t="str">
        <f>VLOOKUP(Продажи[[#This Row],[id товара]],Товары[#All],3,FALSE)</f>
        <v>Илецкая</v>
      </c>
      <c r="M3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327" s="23">
        <f>VLOOKUP(Продажи[[#This Row],[id клиента]],Таблица4[#All],5,FALSE)</f>
        <v>44628</v>
      </c>
      <c r="O327">
        <f>Продажи[[#This Row],[дата создания чека]]-Продажи[[#This Row],[Дата регистрации клиентов]]</f>
        <v>651</v>
      </c>
      <c r="P327" t="str">
        <f>VLOOKUP(Продажи[[#This Row],[id клиента]],Таблица4[#All],7,FALSE)</f>
        <v>Беларусь</v>
      </c>
    </row>
    <row r="328" spans="1:16" x14ac:dyDescent="0.25">
      <c r="A328">
        <v>327</v>
      </c>
      <c r="B328">
        <v>353</v>
      </c>
      <c r="C328">
        <v>115</v>
      </c>
      <c r="D328">
        <v>2</v>
      </c>
      <c r="E328">
        <v>230</v>
      </c>
      <c r="F328" s="23">
        <v>45087</v>
      </c>
      <c r="G328" t="s">
        <v>21</v>
      </c>
      <c r="H328">
        <v>446</v>
      </c>
      <c r="I328" t="str">
        <f>VLOOKUP(Продажи[[#This Row],[id товара]],Товары[#All],2,FALSE)</f>
        <v>Макароны</v>
      </c>
      <c r="J328" s="19">
        <f>AVERAGEIF(Продажи[Категория товара],Продажи[[#This Row],[Категория товара]],Продажи[цена за шт в рублях])</f>
        <v>265.47674418604652</v>
      </c>
      <c r="K328" s="20">
        <f>Продажи[[#This Row],[цена за шт в рублях]]/Продажи[[#This Row],[Средняя цена в категории за шт]]-1</f>
        <v>-0.56681704699750335</v>
      </c>
      <c r="L328" t="str">
        <f>VLOOKUP(Продажи[[#This Row],[id товара]],Товары[#All],3,FALSE)</f>
        <v>Паста Зара</v>
      </c>
      <c r="M3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328" s="23">
        <f>VLOOKUP(Продажи[[#This Row],[id клиента]],Таблица4[#All],5,FALSE)</f>
        <v>44671</v>
      </c>
      <c r="O328">
        <f>Продажи[[#This Row],[дата создания чека]]-Продажи[[#This Row],[Дата регистрации клиентов]]</f>
        <v>416</v>
      </c>
      <c r="P328" t="str">
        <f>VLOOKUP(Продажи[[#This Row],[id клиента]],Таблица4[#All],7,FALSE)</f>
        <v>Таджикистан</v>
      </c>
    </row>
    <row r="329" spans="1:16" x14ac:dyDescent="0.25">
      <c r="A329">
        <v>328</v>
      </c>
      <c r="B329">
        <v>65</v>
      </c>
      <c r="C329">
        <v>455</v>
      </c>
      <c r="D329">
        <v>5</v>
      </c>
      <c r="E329">
        <v>2275</v>
      </c>
      <c r="F329" s="23">
        <v>45370</v>
      </c>
      <c r="G329" t="s">
        <v>17</v>
      </c>
      <c r="H329">
        <v>117</v>
      </c>
      <c r="I329" t="str">
        <f>VLOOKUP(Продажи[[#This Row],[id товара]],Товары[#All],2,FALSE)</f>
        <v>Хлеб</v>
      </c>
      <c r="J329" s="19">
        <f>AVERAGEIF(Продажи[Категория товара],Продажи[[#This Row],[Категория товара]],Продажи[цена за шт в рублях])</f>
        <v>300.31818181818181</v>
      </c>
      <c r="K329" s="20">
        <f>Продажи[[#This Row],[цена за шт в рублях]]/Продажи[[#This Row],[Средняя цена в категории за шт]]-1</f>
        <v>0.51505978507643402</v>
      </c>
      <c r="L329" t="str">
        <f>VLOOKUP(Продажи[[#This Row],[id товара]],Товары[#All],3,FALSE)</f>
        <v>Хлебный Дом</v>
      </c>
      <c r="M3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329" s="23">
        <f>VLOOKUP(Продажи[[#This Row],[id клиента]],Таблица4[#All],5,FALSE)</f>
        <v>44706</v>
      </c>
      <c r="O329">
        <f>Продажи[[#This Row],[дата создания чека]]-Продажи[[#This Row],[Дата регистрации клиентов]]</f>
        <v>664</v>
      </c>
      <c r="P329" t="str">
        <f>VLOOKUP(Продажи[[#This Row],[id клиента]],Таблица4[#All],7,FALSE)</f>
        <v>Украина</v>
      </c>
    </row>
    <row r="330" spans="1:16" x14ac:dyDescent="0.25">
      <c r="A330">
        <v>329</v>
      </c>
      <c r="B330">
        <v>490</v>
      </c>
      <c r="C330">
        <v>176</v>
      </c>
      <c r="D330">
        <v>3</v>
      </c>
      <c r="E330">
        <v>528</v>
      </c>
      <c r="F330" s="23">
        <v>45183</v>
      </c>
      <c r="G330" t="s">
        <v>23</v>
      </c>
      <c r="H330">
        <v>32</v>
      </c>
      <c r="I330" t="str">
        <f>VLOOKUP(Продажи[[#This Row],[id товара]],Товары[#All],2,FALSE)</f>
        <v>Сыр</v>
      </c>
      <c r="J330" s="19">
        <f>AVERAGEIF(Продажи[Категория товара],Продажи[[#This Row],[Категория товара]],Продажи[цена за шт в рублях])</f>
        <v>262.63492063492066</v>
      </c>
      <c r="K330" s="20">
        <f>Продажи[[#This Row],[цена за шт в рублях]]/Продажи[[#This Row],[Средняя цена в категории за шт]]-1</f>
        <v>-0.3298682461017769</v>
      </c>
      <c r="L330" t="str">
        <f>VLOOKUP(Продажи[[#This Row],[id товара]],Товары[#All],3,FALSE)</f>
        <v>Сырная долина</v>
      </c>
      <c r="M3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330" s="23">
        <f>VLOOKUP(Продажи[[#This Row],[id клиента]],Таблица4[#All],5,FALSE)</f>
        <v>44922</v>
      </c>
      <c r="O330">
        <f>Продажи[[#This Row],[дата создания чека]]-Продажи[[#This Row],[Дата регистрации клиентов]]</f>
        <v>261</v>
      </c>
      <c r="P330" t="str">
        <f>VLOOKUP(Продажи[[#This Row],[id клиента]],Таблица4[#All],7,FALSE)</f>
        <v>Узбекистан</v>
      </c>
    </row>
    <row r="331" spans="1:16" x14ac:dyDescent="0.25">
      <c r="A331">
        <v>330</v>
      </c>
      <c r="B331">
        <v>188</v>
      </c>
      <c r="C331">
        <v>154</v>
      </c>
      <c r="D331">
        <v>4</v>
      </c>
      <c r="E331">
        <v>616</v>
      </c>
      <c r="F331" s="23">
        <v>45243</v>
      </c>
      <c r="G331" t="s">
        <v>26</v>
      </c>
      <c r="H331">
        <v>187</v>
      </c>
      <c r="I331" t="str">
        <f>VLOOKUP(Продажи[[#This Row],[id товара]],Товары[#All],2,FALSE)</f>
        <v>Молоко</v>
      </c>
      <c r="J331" s="19">
        <f>AVERAGEIF(Продажи[Категория товара],Продажи[[#This Row],[Категория товара]],Продажи[цена за шт в рублях])</f>
        <v>294.95238095238096</v>
      </c>
      <c r="K331" s="20">
        <f>Продажи[[#This Row],[цена за шт в рублях]]/Продажи[[#This Row],[Средняя цена в категории за шт]]-1</f>
        <v>-0.47788182111721023</v>
      </c>
      <c r="L331" t="str">
        <f>VLOOKUP(Продажи[[#This Row],[id товара]],Товары[#All],3,FALSE)</f>
        <v>Вимм-Билль-Данн</v>
      </c>
      <c r="M3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193.5</v>
      </c>
      <c r="N331" s="23">
        <f>VLOOKUP(Продажи[[#This Row],[id клиента]],Таблица4[#All],5,FALSE)</f>
        <v>44848</v>
      </c>
      <c r="O331">
        <f>Продажи[[#This Row],[дата создания чека]]-Продажи[[#This Row],[Дата регистрации клиентов]]</f>
        <v>395</v>
      </c>
      <c r="P331" t="str">
        <f>VLOOKUP(Продажи[[#This Row],[id клиента]],Таблица4[#All],7,FALSE)</f>
        <v>Россия</v>
      </c>
    </row>
    <row r="332" spans="1:16" x14ac:dyDescent="0.25">
      <c r="A332">
        <v>331</v>
      </c>
      <c r="B332">
        <v>17</v>
      </c>
      <c r="C332">
        <v>212</v>
      </c>
      <c r="D332">
        <v>3</v>
      </c>
      <c r="E332">
        <v>636</v>
      </c>
      <c r="F332" s="23">
        <v>45366</v>
      </c>
      <c r="G332" t="s">
        <v>24</v>
      </c>
      <c r="H332">
        <v>111</v>
      </c>
      <c r="I332" t="str">
        <f>VLOOKUP(Продажи[[#This Row],[id товара]],Товары[#All],2,FALSE)</f>
        <v>Кофе</v>
      </c>
      <c r="J332" s="19">
        <f>AVERAGEIF(Продажи[Категория товара],Продажи[[#This Row],[Категория товара]],Продажи[цена за шт в рублях])</f>
        <v>249.02380952380952</v>
      </c>
      <c r="K332" s="20">
        <f>Продажи[[#This Row],[цена за шт в рублях]]/Продажи[[#This Row],[Средняя цена в категории за шт]]-1</f>
        <v>-0.14867578162348216</v>
      </c>
      <c r="L332" t="str">
        <f>VLOOKUP(Продажи[[#This Row],[id товара]],Товары[#All],3,FALSE)</f>
        <v>Jacobs</v>
      </c>
      <c r="M3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332" s="23">
        <f>VLOOKUP(Продажи[[#This Row],[id клиента]],Таблица4[#All],5,FALSE)</f>
        <v>44804</v>
      </c>
      <c r="O332">
        <f>Продажи[[#This Row],[дата создания чека]]-Продажи[[#This Row],[Дата регистрации клиентов]]</f>
        <v>562</v>
      </c>
      <c r="P332" t="str">
        <f>VLOOKUP(Продажи[[#This Row],[id клиента]],Таблица4[#All],7,FALSE)</f>
        <v>Узбекистан</v>
      </c>
    </row>
    <row r="333" spans="1:16" x14ac:dyDescent="0.25">
      <c r="A333">
        <v>332</v>
      </c>
      <c r="B333">
        <v>405</v>
      </c>
      <c r="C333">
        <v>389</v>
      </c>
      <c r="D333">
        <v>5</v>
      </c>
      <c r="E333">
        <v>1945</v>
      </c>
      <c r="F333" s="23">
        <v>45009</v>
      </c>
      <c r="G333" t="s">
        <v>14</v>
      </c>
      <c r="H333">
        <v>231</v>
      </c>
      <c r="I333" t="str">
        <f>VLOOKUP(Продажи[[#This Row],[id товара]],Товары[#All],2,FALSE)</f>
        <v>Хлеб</v>
      </c>
      <c r="J333" s="19">
        <f>AVERAGEIF(Продажи[Категория товара],Продажи[[#This Row],[Категория товара]],Продажи[цена за шт в рублях])</f>
        <v>300.31818181818181</v>
      </c>
      <c r="K333" s="20">
        <f>Продажи[[#This Row],[цена за шт в рублях]]/Продажи[[#This Row],[Средняя цена в категории за шт]]-1</f>
        <v>0.29529287119721515</v>
      </c>
      <c r="L333" t="str">
        <f>VLOOKUP(Продажи[[#This Row],[id товара]],Товары[#All],3,FALSE)</f>
        <v>Каравай</v>
      </c>
      <c r="M3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333" s="23">
        <f>VLOOKUP(Продажи[[#This Row],[id клиента]],Таблица4[#All],5,FALSE)</f>
        <v>44752</v>
      </c>
      <c r="O333">
        <f>Продажи[[#This Row],[дата создания чека]]-Продажи[[#This Row],[Дата регистрации клиентов]]</f>
        <v>257</v>
      </c>
      <c r="P333" t="str">
        <f>VLOOKUP(Продажи[[#This Row],[id клиента]],Таблица4[#All],7,FALSE)</f>
        <v>Россия</v>
      </c>
    </row>
    <row r="334" spans="1:16" x14ac:dyDescent="0.25">
      <c r="A334">
        <v>333</v>
      </c>
      <c r="B334">
        <v>23</v>
      </c>
      <c r="C334">
        <v>476</v>
      </c>
      <c r="D334">
        <v>3</v>
      </c>
      <c r="E334">
        <v>1428</v>
      </c>
      <c r="F334" s="23">
        <v>45102</v>
      </c>
      <c r="G334" t="s">
        <v>10</v>
      </c>
      <c r="H334">
        <v>283</v>
      </c>
      <c r="I334" t="str">
        <f>VLOOKUP(Продажи[[#This Row],[id товара]],Товары[#All],2,FALSE)</f>
        <v>Рыба</v>
      </c>
      <c r="J334" s="19">
        <f>AVERAGEIF(Продажи[Категория товара],Продажи[[#This Row],[Категория товара]],Продажи[цена за шт в рублях])</f>
        <v>258.5128205128205</v>
      </c>
      <c r="K334" s="20">
        <f>Продажи[[#This Row],[цена за шт в рублях]]/Продажи[[#This Row],[Средняя цена в категории за шт]]-1</f>
        <v>0.8413013291013689</v>
      </c>
      <c r="L334" t="str">
        <f>VLOOKUP(Продажи[[#This Row],[id товара]],Товары[#All],3,FALSE)</f>
        <v>Санта Бремор</v>
      </c>
      <c r="M3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334" s="23">
        <f>VLOOKUP(Продажи[[#This Row],[id клиента]],Таблица4[#All],5,FALSE)</f>
        <v>44889</v>
      </c>
      <c r="O334">
        <f>Продажи[[#This Row],[дата создания чека]]-Продажи[[#This Row],[Дата регистрации клиентов]]</f>
        <v>213</v>
      </c>
      <c r="P334" t="str">
        <f>VLOOKUP(Продажи[[#This Row],[id клиента]],Таблица4[#All],7,FALSE)</f>
        <v>Таджикистан</v>
      </c>
    </row>
    <row r="335" spans="1:16" x14ac:dyDescent="0.25">
      <c r="A335">
        <v>334</v>
      </c>
      <c r="B335">
        <v>99</v>
      </c>
      <c r="C335">
        <v>51</v>
      </c>
      <c r="D335">
        <v>5</v>
      </c>
      <c r="E335">
        <v>255</v>
      </c>
      <c r="F335" s="23">
        <v>45423</v>
      </c>
      <c r="G335" t="s">
        <v>16</v>
      </c>
      <c r="H335">
        <v>265</v>
      </c>
      <c r="I335" t="str">
        <f>VLOOKUP(Продажи[[#This Row],[id товара]],Товары[#All],2,FALSE)</f>
        <v>Овощи</v>
      </c>
      <c r="J335" s="19">
        <f>AVERAGEIF(Продажи[Категория товара],Продажи[[#This Row],[Категория товара]],Продажи[цена за шт в рублях])</f>
        <v>250.48780487804879</v>
      </c>
      <c r="K335" s="20">
        <f>Продажи[[#This Row],[цена за шт в рублях]]/Продажи[[#This Row],[Средняя цена в категории за шт]]-1</f>
        <v>-0.79639727361246349</v>
      </c>
      <c r="L335" t="str">
        <f>VLOOKUP(Продажи[[#This Row],[id товара]],Товары[#All],3,FALSE)</f>
        <v>Семко</v>
      </c>
      <c r="M3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335" s="23">
        <f>VLOOKUP(Продажи[[#This Row],[id клиента]],Таблица4[#All],5,FALSE)</f>
        <v>44756</v>
      </c>
      <c r="O335">
        <f>Продажи[[#This Row],[дата создания чека]]-Продажи[[#This Row],[Дата регистрации клиентов]]</f>
        <v>667</v>
      </c>
      <c r="P335" t="str">
        <f>VLOOKUP(Продажи[[#This Row],[id клиента]],Таблица4[#All],7,FALSE)</f>
        <v>Узбекистан</v>
      </c>
    </row>
    <row r="336" spans="1:16" x14ac:dyDescent="0.25">
      <c r="A336">
        <v>335</v>
      </c>
      <c r="B336">
        <v>196</v>
      </c>
      <c r="C336">
        <v>452</v>
      </c>
      <c r="D336">
        <v>2</v>
      </c>
      <c r="E336">
        <v>904</v>
      </c>
      <c r="F336" s="23">
        <v>45337</v>
      </c>
      <c r="G336" t="s">
        <v>8</v>
      </c>
      <c r="H336">
        <v>136</v>
      </c>
      <c r="I336" t="str">
        <f>VLOOKUP(Продажи[[#This Row],[id товара]],Товары[#All],2,FALSE)</f>
        <v>Конфеты</v>
      </c>
      <c r="J336" s="19">
        <f>AVERAGEIF(Продажи[Категория товара],Продажи[[#This Row],[Категория товара]],Продажи[цена за шт в рублях])</f>
        <v>267.85483870967744</v>
      </c>
      <c r="K336" s="20">
        <f>Продажи[[#This Row],[цена за шт в рублях]]/Продажи[[#This Row],[Средняя цена в категории за шт]]-1</f>
        <v>0.68748118263382896</v>
      </c>
      <c r="L336" t="str">
        <f>VLOOKUP(Продажи[[#This Row],[id товара]],Товары[#All],3,FALSE)</f>
        <v>Рот Фронт</v>
      </c>
      <c r="M3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336" s="23">
        <f>VLOOKUP(Продажи[[#This Row],[id клиента]],Таблица4[#All],5,FALSE)</f>
        <v>44860</v>
      </c>
      <c r="O336">
        <f>Продажи[[#This Row],[дата создания чека]]-Продажи[[#This Row],[Дата регистрации клиентов]]</f>
        <v>477</v>
      </c>
      <c r="P336" t="str">
        <f>VLOOKUP(Продажи[[#This Row],[id клиента]],Таблица4[#All],7,FALSE)</f>
        <v>Украина</v>
      </c>
    </row>
    <row r="337" spans="1:16" x14ac:dyDescent="0.25">
      <c r="A337">
        <v>336</v>
      </c>
      <c r="B337">
        <v>415</v>
      </c>
      <c r="C337">
        <v>222</v>
      </c>
      <c r="D337">
        <v>3</v>
      </c>
      <c r="E337">
        <v>666</v>
      </c>
      <c r="F337" s="23">
        <v>45161</v>
      </c>
      <c r="G337" t="s">
        <v>25</v>
      </c>
      <c r="H337">
        <v>395</v>
      </c>
      <c r="I337" t="str">
        <f>VLOOKUP(Продажи[[#This Row],[id товара]],Товары[#All],2,FALSE)</f>
        <v>Чипсы</v>
      </c>
      <c r="J337" s="19">
        <f>AVERAGEIF(Продажи[Категория товара],Продажи[[#This Row],[Категория товара]],Продажи[цена за шт в рублях])</f>
        <v>273.72549019607845</v>
      </c>
      <c r="K337" s="20">
        <f>Продажи[[#This Row],[цена за шт в рублях]]/Продажи[[#This Row],[Средняя цена в категории за шт]]-1</f>
        <v>-0.18896848137535827</v>
      </c>
      <c r="L337" t="str">
        <f>VLOOKUP(Продажи[[#This Row],[id товара]],Товары[#All],3,FALSE)</f>
        <v>Pringles</v>
      </c>
      <c r="M3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337" s="23">
        <f>VLOOKUP(Продажи[[#This Row],[id клиента]],Таблица4[#All],5,FALSE)</f>
        <v>44890</v>
      </c>
      <c r="O337">
        <f>Продажи[[#This Row],[дата создания чека]]-Продажи[[#This Row],[Дата регистрации клиентов]]</f>
        <v>271</v>
      </c>
      <c r="P337" t="str">
        <f>VLOOKUP(Продажи[[#This Row],[id клиента]],Таблица4[#All],7,FALSE)</f>
        <v>Узбекистан</v>
      </c>
    </row>
    <row r="338" spans="1:16" x14ac:dyDescent="0.25">
      <c r="A338">
        <v>337</v>
      </c>
      <c r="B338">
        <v>328</v>
      </c>
      <c r="C338">
        <v>100</v>
      </c>
      <c r="D338">
        <v>1</v>
      </c>
      <c r="E338">
        <v>100</v>
      </c>
      <c r="F338" s="23">
        <v>45077</v>
      </c>
      <c r="G338" t="s">
        <v>13</v>
      </c>
      <c r="H338">
        <v>391</v>
      </c>
      <c r="I338" t="str">
        <f>VLOOKUP(Продажи[[#This Row],[id товара]],Товары[#All],2,FALSE)</f>
        <v>Чипсы</v>
      </c>
      <c r="J338" s="19">
        <f>AVERAGEIF(Продажи[Категория товара],Продажи[[#This Row],[Категория товара]],Продажи[цена за шт в рублях])</f>
        <v>273.72549019607845</v>
      </c>
      <c r="K338" s="20">
        <f>Продажи[[#This Row],[цена за шт в рублях]]/Продажи[[#This Row],[Средняя цена в категории за шт]]-1</f>
        <v>-0.63467048710601714</v>
      </c>
      <c r="L338" t="str">
        <f>VLOOKUP(Продажи[[#This Row],[id товара]],Товары[#All],3,FALSE)</f>
        <v>Русская картошка</v>
      </c>
      <c r="M3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338" s="23">
        <f>VLOOKUP(Продажи[[#This Row],[id клиента]],Таблица4[#All],5,FALSE)</f>
        <v>44675</v>
      </c>
      <c r="O338">
        <f>Продажи[[#This Row],[дата создания чека]]-Продажи[[#This Row],[Дата регистрации клиентов]]</f>
        <v>402</v>
      </c>
      <c r="P338" t="str">
        <f>VLOOKUP(Продажи[[#This Row],[id клиента]],Таблица4[#All],7,FALSE)</f>
        <v>Таджикистан</v>
      </c>
    </row>
    <row r="339" spans="1:16" x14ac:dyDescent="0.25">
      <c r="A339">
        <v>338</v>
      </c>
      <c r="B339">
        <v>271</v>
      </c>
      <c r="C339">
        <v>382</v>
      </c>
      <c r="D339">
        <v>1</v>
      </c>
      <c r="E339">
        <v>382</v>
      </c>
      <c r="F339" s="23">
        <v>45182</v>
      </c>
      <c r="G339" t="s">
        <v>9</v>
      </c>
      <c r="H339">
        <v>355</v>
      </c>
      <c r="I339" t="str">
        <f>VLOOKUP(Продажи[[#This Row],[id товара]],Товары[#All],2,FALSE)</f>
        <v>Сыр</v>
      </c>
      <c r="J339" s="19">
        <f>AVERAGEIF(Продажи[Категория товара],Продажи[[#This Row],[Категория товара]],Продажи[цена за шт в рублях])</f>
        <v>262.63492063492066</v>
      </c>
      <c r="K339" s="20">
        <f>Продажи[[#This Row],[цена за шт в рублях]]/Продажи[[#This Row],[Средняя цена в категории за шт]]-1</f>
        <v>0.45449051130182516</v>
      </c>
      <c r="L339" t="str">
        <f>VLOOKUP(Продажи[[#This Row],[id товара]],Товары[#All],3,FALSE)</f>
        <v>Сырная долина</v>
      </c>
      <c r="M3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339" s="23">
        <f>VLOOKUP(Продажи[[#This Row],[id клиента]],Таблица4[#All],5,FALSE)</f>
        <v>44631</v>
      </c>
      <c r="O339">
        <f>Продажи[[#This Row],[дата создания чека]]-Продажи[[#This Row],[Дата регистрации клиентов]]</f>
        <v>551</v>
      </c>
      <c r="P339" t="str">
        <f>VLOOKUP(Продажи[[#This Row],[id клиента]],Таблица4[#All],7,FALSE)</f>
        <v>Россия</v>
      </c>
    </row>
    <row r="340" spans="1:16" x14ac:dyDescent="0.25">
      <c r="A340">
        <v>339</v>
      </c>
      <c r="B340">
        <v>204</v>
      </c>
      <c r="C340">
        <v>279</v>
      </c>
      <c r="D340">
        <v>4</v>
      </c>
      <c r="E340">
        <v>1116</v>
      </c>
      <c r="F340" s="23">
        <v>45227</v>
      </c>
      <c r="G340" t="s">
        <v>12</v>
      </c>
      <c r="H340">
        <v>277</v>
      </c>
      <c r="I340" t="str">
        <f>VLOOKUP(Продажи[[#This Row],[id товара]],Товары[#All],2,FALSE)</f>
        <v>Печенье</v>
      </c>
      <c r="J340" s="19">
        <f>AVERAGEIF(Продажи[Категория товара],Продажи[[#This Row],[Категория товара]],Продажи[цена за шт в рублях])</f>
        <v>283.468085106383</v>
      </c>
      <c r="K340" s="20">
        <f>Продажи[[#This Row],[цена за шт в рублях]]/Продажи[[#This Row],[Средняя цена в категории за шт]]-1</f>
        <v>-1.5762215717180839E-2</v>
      </c>
      <c r="L340" t="str">
        <f>VLOOKUP(Продажи[[#This Row],[id товара]],Товары[#All],3,FALSE)</f>
        <v>Юбилейное</v>
      </c>
      <c r="M3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340" s="23">
        <f>VLOOKUP(Продажи[[#This Row],[id клиента]],Таблица4[#All],5,FALSE)</f>
        <v>44750</v>
      </c>
      <c r="O340">
        <f>Продажи[[#This Row],[дата создания чека]]-Продажи[[#This Row],[Дата регистрации клиентов]]</f>
        <v>477</v>
      </c>
      <c r="P340" t="str">
        <f>VLOOKUP(Продажи[[#This Row],[id клиента]],Таблица4[#All],7,FALSE)</f>
        <v>Россия</v>
      </c>
    </row>
    <row r="341" spans="1:16" x14ac:dyDescent="0.25">
      <c r="A341">
        <v>340</v>
      </c>
      <c r="B341">
        <v>60</v>
      </c>
      <c r="C341">
        <v>500</v>
      </c>
      <c r="D341">
        <v>2</v>
      </c>
      <c r="E341">
        <v>1000</v>
      </c>
      <c r="F341" s="23">
        <v>45125</v>
      </c>
      <c r="G341" t="s">
        <v>27</v>
      </c>
      <c r="H341">
        <v>145</v>
      </c>
      <c r="I341" t="str">
        <f>VLOOKUP(Продажи[[#This Row],[id товара]],Товары[#All],2,FALSE)</f>
        <v>Кофе</v>
      </c>
      <c r="J341" s="19">
        <f>AVERAGEIF(Продажи[Категория товара],Продажи[[#This Row],[Категория товара]],Продажи[цена за шт в рублях])</f>
        <v>249.02380952380952</v>
      </c>
      <c r="K341" s="20">
        <f>Продажи[[#This Row],[цена за шт в рублях]]/Продажи[[#This Row],[Средняя цена в категории за шт]]-1</f>
        <v>1.0078401376804664</v>
      </c>
      <c r="L341" t="str">
        <f>VLOOKUP(Продажи[[#This Row],[id товара]],Товары[#All],3,FALSE)</f>
        <v>Jacobs</v>
      </c>
      <c r="M3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341" s="23">
        <f>VLOOKUP(Продажи[[#This Row],[id клиента]],Таблица4[#All],5,FALSE)</f>
        <v>44653</v>
      </c>
      <c r="O341">
        <f>Продажи[[#This Row],[дата создания чека]]-Продажи[[#This Row],[Дата регистрации клиентов]]</f>
        <v>472</v>
      </c>
      <c r="P341" t="str">
        <f>VLOOKUP(Продажи[[#This Row],[id клиента]],Таблица4[#All],7,FALSE)</f>
        <v>Украина</v>
      </c>
    </row>
    <row r="342" spans="1:16" x14ac:dyDescent="0.25">
      <c r="A342">
        <v>341</v>
      </c>
      <c r="B342">
        <v>76</v>
      </c>
      <c r="C342">
        <v>92</v>
      </c>
      <c r="D342">
        <v>2</v>
      </c>
      <c r="E342">
        <v>184</v>
      </c>
      <c r="F342" s="23">
        <v>45232</v>
      </c>
      <c r="G342" t="s">
        <v>8</v>
      </c>
      <c r="H342">
        <v>104</v>
      </c>
      <c r="I342" t="str">
        <f>VLOOKUP(Продажи[[#This Row],[id товара]],Товары[#All],2,FALSE)</f>
        <v>Печенье</v>
      </c>
      <c r="J342" s="19">
        <f>AVERAGEIF(Продажи[Категория товара],Продажи[[#This Row],[Категория товара]],Продажи[цена за шт в рублях])</f>
        <v>283.468085106383</v>
      </c>
      <c r="K342" s="20">
        <f>Продажи[[#This Row],[цена за шт в рублях]]/Продажи[[#This Row],[Средняя цена в категории за шт]]-1</f>
        <v>-0.67544847256623886</v>
      </c>
      <c r="L342" t="str">
        <f>VLOOKUP(Продажи[[#This Row],[id товара]],Товары[#All],3,FALSE)</f>
        <v>Юбилейное</v>
      </c>
      <c r="M3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342" s="23">
        <f>VLOOKUP(Продажи[[#This Row],[id клиента]],Таблица4[#All],5,FALSE)</f>
        <v>44772</v>
      </c>
      <c r="O342">
        <f>Продажи[[#This Row],[дата создания чека]]-Продажи[[#This Row],[Дата регистрации клиентов]]</f>
        <v>460</v>
      </c>
      <c r="P342" t="str">
        <f>VLOOKUP(Продажи[[#This Row],[id клиента]],Таблица4[#All],7,FALSE)</f>
        <v>Узбекистан</v>
      </c>
    </row>
    <row r="343" spans="1:16" x14ac:dyDescent="0.25">
      <c r="A343">
        <v>342</v>
      </c>
      <c r="B343">
        <v>201</v>
      </c>
      <c r="C343">
        <v>179</v>
      </c>
      <c r="D343">
        <v>5</v>
      </c>
      <c r="E343">
        <v>895</v>
      </c>
      <c r="F343" s="23">
        <v>45091</v>
      </c>
      <c r="G343" t="s">
        <v>14</v>
      </c>
      <c r="H343">
        <v>109</v>
      </c>
      <c r="I343" t="str">
        <f>VLOOKUP(Продажи[[#This Row],[id товара]],Товары[#All],2,FALSE)</f>
        <v>Печенье</v>
      </c>
      <c r="J343" s="19">
        <f>AVERAGEIF(Продажи[Категория товара],Продажи[[#This Row],[Категория товара]],Продажи[цена за шт в рублях])</f>
        <v>283.468085106383</v>
      </c>
      <c r="K343" s="20">
        <f>Продажи[[#This Row],[цена за шт в рублях]]/Продажи[[#This Row],[Средняя цена в категории за шт]]-1</f>
        <v>-0.36853561510170385</v>
      </c>
      <c r="L343" t="str">
        <f>VLOOKUP(Продажи[[#This Row],[id товара]],Товары[#All],3,FALSE)</f>
        <v>Белогорье</v>
      </c>
      <c r="M3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343" s="23">
        <f>VLOOKUP(Продажи[[#This Row],[id клиента]],Таблица4[#All],5,FALSE)</f>
        <v>44732</v>
      </c>
      <c r="O343">
        <f>Продажи[[#This Row],[дата создания чека]]-Продажи[[#This Row],[Дата регистрации клиентов]]</f>
        <v>359</v>
      </c>
      <c r="P343" t="str">
        <f>VLOOKUP(Продажи[[#This Row],[id клиента]],Таблица4[#All],7,FALSE)</f>
        <v>Украина</v>
      </c>
    </row>
    <row r="344" spans="1:16" x14ac:dyDescent="0.25">
      <c r="A344">
        <v>343</v>
      </c>
      <c r="B344">
        <v>462</v>
      </c>
      <c r="C344">
        <v>209</v>
      </c>
      <c r="D344">
        <v>4</v>
      </c>
      <c r="E344">
        <v>836</v>
      </c>
      <c r="F344" s="23">
        <v>45116</v>
      </c>
      <c r="G344" t="s">
        <v>22</v>
      </c>
      <c r="H344">
        <v>369</v>
      </c>
      <c r="I344" t="str">
        <f>VLOOKUP(Продажи[[#This Row],[id товара]],Товары[#All],2,FALSE)</f>
        <v>Рис</v>
      </c>
      <c r="J344" s="19">
        <f>AVERAGEIF(Продажи[Категория товара],Продажи[[#This Row],[Категория товара]],Продажи[цена за шт в рублях])</f>
        <v>258.375</v>
      </c>
      <c r="K344" s="20">
        <f>Продажи[[#This Row],[цена за шт в рублях]]/Продажи[[#This Row],[Средняя цена в категории за шт]]-1</f>
        <v>-0.19109820996613447</v>
      </c>
      <c r="L344" t="str">
        <f>VLOOKUP(Продажи[[#This Row],[id товара]],Товары[#All],3,FALSE)</f>
        <v>Белый Злат</v>
      </c>
      <c r="M3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344" s="23">
        <f>VLOOKUP(Продажи[[#This Row],[id клиента]],Таблица4[#All],5,FALSE)</f>
        <v>44678</v>
      </c>
      <c r="O344">
        <f>Продажи[[#This Row],[дата создания чека]]-Продажи[[#This Row],[Дата регистрации клиентов]]</f>
        <v>438</v>
      </c>
      <c r="P344" t="str">
        <f>VLOOKUP(Продажи[[#This Row],[id клиента]],Таблица4[#All],7,FALSE)</f>
        <v>Россия</v>
      </c>
    </row>
    <row r="345" spans="1:16" x14ac:dyDescent="0.25">
      <c r="A345">
        <v>344</v>
      </c>
      <c r="B345">
        <v>210</v>
      </c>
      <c r="C345">
        <v>486</v>
      </c>
      <c r="D345">
        <v>5</v>
      </c>
      <c r="E345">
        <v>2430</v>
      </c>
      <c r="F345" s="23">
        <v>45350</v>
      </c>
      <c r="G345" t="s">
        <v>11</v>
      </c>
      <c r="H345">
        <v>78</v>
      </c>
      <c r="I345" t="str">
        <f>VLOOKUP(Продажи[[#This Row],[id товара]],Товары[#All],2,FALSE)</f>
        <v>Колбаса</v>
      </c>
      <c r="J345" s="19">
        <f>AVERAGEIF(Продажи[Категория товара],Продажи[[#This Row],[Категория товара]],Продажи[цена за шт в рублях])</f>
        <v>286.92307692307691</v>
      </c>
      <c r="K345" s="20">
        <f>Продажи[[#This Row],[цена за шт в рублях]]/Продажи[[#This Row],[Средняя цена в категории за шт]]-1</f>
        <v>0.69383378016085806</v>
      </c>
      <c r="L345" t="str">
        <f>VLOOKUP(Продажи[[#This Row],[id товара]],Товары[#All],3,FALSE)</f>
        <v>Окраина</v>
      </c>
      <c r="M3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345" s="23">
        <f>VLOOKUP(Продажи[[#This Row],[id клиента]],Таблица4[#All],5,FALSE)</f>
        <v>44658</v>
      </c>
      <c r="O345">
        <f>Продажи[[#This Row],[дата создания чека]]-Продажи[[#This Row],[Дата регистрации клиентов]]</f>
        <v>692</v>
      </c>
      <c r="P345" t="str">
        <f>VLOOKUP(Продажи[[#This Row],[id клиента]],Таблица4[#All],7,FALSE)</f>
        <v>Украина</v>
      </c>
    </row>
    <row r="346" spans="1:16" x14ac:dyDescent="0.25">
      <c r="A346">
        <v>345</v>
      </c>
      <c r="B346">
        <v>404</v>
      </c>
      <c r="C346">
        <v>123</v>
      </c>
      <c r="D346">
        <v>1</v>
      </c>
      <c r="E346">
        <v>123</v>
      </c>
      <c r="F346" s="23">
        <v>45346</v>
      </c>
      <c r="G346" t="s">
        <v>20</v>
      </c>
      <c r="H346">
        <v>298</v>
      </c>
      <c r="I346" t="str">
        <f>VLOOKUP(Продажи[[#This Row],[id товара]],Товары[#All],2,FALSE)</f>
        <v>Йогурт</v>
      </c>
      <c r="J346" s="19">
        <f>AVERAGEIF(Продажи[Категория товара],Продажи[[#This Row],[Категория товара]],Продажи[цена за шт в рублях])</f>
        <v>263.25423728813558</v>
      </c>
      <c r="K346" s="20">
        <f>Продажи[[#This Row],[цена за шт в рублях]]/Продажи[[#This Row],[Средняя цена в категории за шт]]-1</f>
        <v>-0.53277105330929686</v>
      </c>
      <c r="L346" t="str">
        <f>VLOOKUP(Продажи[[#This Row],[id товара]],Товары[#All],3,FALSE)</f>
        <v>Ростагроэкспорт</v>
      </c>
      <c r="M3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46" s="23">
        <f>VLOOKUP(Продажи[[#This Row],[id клиента]],Таблица4[#All],5,FALSE)</f>
        <v>44821</v>
      </c>
      <c r="O346">
        <f>Продажи[[#This Row],[дата создания чека]]-Продажи[[#This Row],[Дата регистрации клиентов]]</f>
        <v>525</v>
      </c>
      <c r="P346" t="str">
        <f>VLOOKUP(Продажи[[#This Row],[id клиента]],Таблица4[#All],7,FALSE)</f>
        <v>Украина</v>
      </c>
    </row>
    <row r="347" spans="1:16" x14ac:dyDescent="0.25">
      <c r="A347">
        <v>346</v>
      </c>
      <c r="B347">
        <v>178</v>
      </c>
      <c r="C347">
        <v>179</v>
      </c>
      <c r="D347">
        <v>1</v>
      </c>
      <c r="E347">
        <v>179</v>
      </c>
      <c r="F347" s="23">
        <v>44938</v>
      </c>
      <c r="G347" t="s">
        <v>21</v>
      </c>
      <c r="H347">
        <v>130</v>
      </c>
      <c r="I347" t="str">
        <f>VLOOKUP(Продажи[[#This Row],[id товара]],Товары[#All],2,FALSE)</f>
        <v>Йогурт</v>
      </c>
      <c r="J347" s="19">
        <f>AVERAGEIF(Продажи[Категория товара],Продажи[[#This Row],[Категория товара]],Продажи[цена за шт в рублях])</f>
        <v>263.25423728813558</v>
      </c>
      <c r="K347" s="20">
        <f>Продажи[[#This Row],[цена за шт в рублях]]/Продажи[[#This Row],[Средняя цена в категории за шт]]-1</f>
        <v>-0.3200489312387329</v>
      </c>
      <c r="L347" t="str">
        <f>VLOOKUP(Продажи[[#This Row],[id товара]],Товары[#All],3,FALSE)</f>
        <v>Ростагроэкспорт</v>
      </c>
      <c r="M3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47" s="23">
        <f>VLOOKUP(Продажи[[#This Row],[id клиента]],Таблица4[#All],5,FALSE)</f>
        <v>44863</v>
      </c>
      <c r="O347">
        <f>Продажи[[#This Row],[дата создания чека]]-Продажи[[#This Row],[Дата регистрации клиентов]]</f>
        <v>75</v>
      </c>
      <c r="P347" t="str">
        <f>VLOOKUP(Продажи[[#This Row],[id клиента]],Таблица4[#All],7,FALSE)</f>
        <v>Таджикистан</v>
      </c>
    </row>
    <row r="348" spans="1:16" x14ac:dyDescent="0.25">
      <c r="A348">
        <v>347</v>
      </c>
      <c r="B348">
        <v>423</v>
      </c>
      <c r="C348">
        <v>218</v>
      </c>
      <c r="D348">
        <v>3</v>
      </c>
      <c r="E348">
        <v>654</v>
      </c>
      <c r="F348" s="23">
        <v>45036</v>
      </c>
      <c r="G348" t="s">
        <v>16</v>
      </c>
      <c r="H348">
        <v>66</v>
      </c>
      <c r="I348" t="str">
        <f>VLOOKUP(Продажи[[#This Row],[id товара]],Товары[#All],2,FALSE)</f>
        <v>Чипсы</v>
      </c>
      <c r="J348" s="19">
        <f>AVERAGEIF(Продажи[Категория товара],Продажи[[#This Row],[Категория товара]],Продажи[цена за шт в рублях])</f>
        <v>273.72549019607845</v>
      </c>
      <c r="K348" s="20">
        <f>Продажи[[#This Row],[цена за шт в рублях]]/Продажи[[#This Row],[Средняя цена в категории за шт]]-1</f>
        <v>-0.20358166189111759</v>
      </c>
      <c r="L348" t="str">
        <f>VLOOKUP(Продажи[[#This Row],[id товара]],Товары[#All],3,FALSE)</f>
        <v>Pringles</v>
      </c>
      <c r="M3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348" s="23">
        <f>VLOOKUP(Продажи[[#This Row],[id клиента]],Таблица4[#All],5,FALSE)</f>
        <v>44777</v>
      </c>
      <c r="O348">
        <f>Продажи[[#This Row],[дата создания чека]]-Продажи[[#This Row],[Дата регистрации клиентов]]</f>
        <v>259</v>
      </c>
      <c r="P348" t="str">
        <f>VLOOKUP(Продажи[[#This Row],[id клиента]],Таблица4[#All],7,FALSE)</f>
        <v>Россия</v>
      </c>
    </row>
    <row r="349" spans="1:16" x14ac:dyDescent="0.25">
      <c r="A349">
        <v>348</v>
      </c>
      <c r="B349">
        <v>70</v>
      </c>
      <c r="C349">
        <v>51</v>
      </c>
      <c r="D349">
        <v>1</v>
      </c>
      <c r="E349">
        <v>51</v>
      </c>
      <c r="F349" s="23">
        <v>45314</v>
      </c>
      <c r="G349" t="s">
        <v>9</v>
      </c>
      <c r="H349">
        <v>261</v>
      </c>
      <c r="I349" t="str">
        <f>VLOOKUP(Продажи[[#This Row],[id товара]],Товары[#All],2,FALSE)</f>
        <v>Рис</v>
      </c>
      <c r="J349" s="19">
        <f>AVERAGEIF(Продажи[Категория товара],Продажи[[#This Row],[Категория товара]],Продажи[цена за шт в рублях])</f>
        <v>258.375</v>
      </c>
      <c r="K349" s="20">
        <f>Продажи[[#This Row],[цена за шт в рублях]]/Продажи[[#This Row],[Средняя цена в категории за шт]]-1</f>
        <v>-0.8026124818577649</v>
      </c>
      <c r="L349" t="str">
        <f>VLOOKUP(Продажи[[#This Row],[id товара]],Товары[#All],3,FALSE)</f>
        <v>Мистраль</v>
      </c>
      <c r="M3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349" s="23">
        <f>VLOOKUP(Продажи[[#This Row],[id клиента]],Таблица4[#All],5,FALSE)</f>
        <v>44848</v>
      </c>
      <c r="O349">
        <f>Продажи[[#This Row],[дата создания чека]]-Продажи[[#This Row],[Дата регистрации клиентов]]</f>
        <v>466</v>
      </c>
      <c r="P349" t="str">
        <f>VLOOKUP(Продажи[[#This Row],[id клиента]],Таблица4[#All],7,FALSE)</f>
        <v>Россия</v>
      </c>
    </row>
    <row r="350" spans="1:16" x14ac:dyDescent="0.25">
      <c r="A350">
        <v>349</v>
      </c>
      <c r="B350">
        <v>335</v>
      </c>
      <c r="C350">
        <v>392</v>
      </c>
      <c r="D350">
        <v>5</v>
      </c>
      <c r="E350">
        <v>1960</v>
      </c>
      <c r="F350" s="23">
        <v>45217</v>
      </c>
      <c r="G350" t="s">
        <v>16</v>
      </c>
      <c r="H350">
        <v>307</v>
      </c>
      <c r="I350" t="str">
        <f>VLOOKUP(Продажи[[#This Row],[id товара]],Товары[#All],2,FALSE)</f>
        <v>Хлеб</v>
      </c>
      <c r="J350" s="19">
        <f>AVERAGEIF(Продажи[Категория товара],Продажи[[#This Row],[Категория товара]],Продажи[цена за шт в рублях])</f>
        <v>300.31818181818181</v>
      </c>
      <c r="K350" s="20">
        <f>Продажи[[#This Row],[цена за шт в рублях]]/Продажи[[#This Row],[Средняя цена в категории за шт]]-1</f>
        <v>0.30528227637354322</v>
      </c>
      <c r="L350" t="str">
        <f>VLOOKUP(Продажи[[#This Row],[id товара]],Товары[#All],3,FALSE)</f>
        <v>Каравай</v>
      </c>
      <c r="M3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350" s="23">
        <f>VLOOKUP(Продажи[[#This Row],[id клиента]],Таблица4[#All],5,FALSE)</f>
        <v>44764</v>
      </c>
      <c r="O350">
        <f>Продажи[[#This Row],[дата создания чека]]-Продажи[[#This Row],[Дата регистрации клиентов]]</f>
        <v>453</v>
      </c>
      <c r="P350" t="str">
        <f>VLOOKUP(Продажи[[#This Row],[id клиента]],Таблица4[#All],7,FALSE)</f>
        <v>Беларусь</v>
      </c>
    </row>
    <row r="351" spans="1:16" x14ac:dyDescent="0.25">
      <c r="A351">
        <v>350</v>
      </c>
      <c r="B351">
        <v>427</v>
      </c>
      <c r="C351">
        <v>273</v>
      </c>
      <c r="D351">
        <v>5</v>
      </c>
      <c r="E351">
        <v>1365</v>
      </c>
      <c r="F351" s="23">
        <v>45398</v>
      </c>
      <c r="G351" t="s">
        <v>22</v>
      </c>
      <c r="H351">
        <v>190</v>
      </c>
      <c r="I351" t="str">
        <f>VLOOKUP(Продажи[[#This Row],[id товара]],Товары[#All],2,FALSE)</f>
        <v>Хлеб</v>
      </c>
      <c r="J351" s="19">
        <f>AVERAGEIF(Продажи[Категория товара],Продажи[[#This Row],[Категория товара]],Продажи[цена за шт в рублях])</f>
        <v>300.31818181818181</v>
      </c>
      <c r="K351" s="20">
        <f>Продажи[[#This Row],[цена за шт в рублях]]/Продажи[[#This Row],[Средняя цена в категории за шт]]-1</f>
        <v>-9.0964128954139523E-2</v>
      </c>
      <c r="L351" t="str">
        <f>VLOOKUP(Продажи[[#This Row],[id товара]],Товары[#All],3,FALSE)</f>
        <v>Русский Хлеб</v>
      </c>
      <c r="M3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351" s="23">
        <f>VLOOKUP(Продажи[[#This Row],[id клиента]],Таблица4[#All],5,FALSE)</f>
        <v>44689</v>
      </c>
      <c r="O351">
        <f>Продажи[[#This Row],[дата создания чека]]-Продажи[[#This Row],[Дата регистрации клиентов]]</f>
        <v>709</v>
      </c>
      <c r="P351" t="str">
        <f>VLOOKUP(Продажи[[#This Row],[id клиента]],Таблица4[#All],7,FALSE)</f>
        <v>Беларусь</v>
      </c>
    </row>
    <row r="352" spans="1:16" x14ac:dyDescent="0.25">
      <c r="A352">
        <v>351</v>
      </c>
      <c r="B352">
        <v>137</v>
      </c>
      <c r="C352">
        <v>154</v>
      </c>
      <c r="D352">
        <v>1</v>
      </c>
      <c r="E352">
        <v>154</v>
      </c>
      <c r="F352" s="23">
        <v>45193</v>
      </c>
      <c r="G352" t="s">
        <v>24</v>
      </c>
      <c r="H352">
        <v>144</v>
      </c>
      <c r="I352" t="str">
        <f>VLOOKUP(Продажи[[#This Row],[id товара]],Товары[#All],2,FALSE)</f>
        <v>Фрукты</v>
      </c>
      <c r="J352" s="19">
        <f>AVERAGEIF(Продажи[Категория товара],Продажи[[#This Row],[Категория товара]],Продажи[цена за шт в рублях])</f>
        <v>274.16279069767444</v>
      </c>
      <c r="K352" s="20">
        <f>Продажи[[#This Row],[цена за шт в рублях]]/Продажи[[#This Row],[Средняя цена в категории за шт]]-1</f>
        <v>-0.43828993129188232</v>
      </c>
      <c r="L352" t="str">
        <f>VLOOKUP(Продажи[[#This Row],[id товара]],Товары[#All],3,FALSE)</f>
        <v>Экзотик</v>
      </c>
      <c r="M3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352" s="23">
        <f>VLOOKUP(Продажи[[#This Row],[id клиента]],Таблица4[#All],5,FALSE)</f>
        <v>44705</v>
      </c>
      <c r="O352">
        <f>Продажи[[#This Row],[дата создания чека]]-Продажи[[#This Row],[Дата регистрации клиентов]]</f>
        <v>488</v>
      </c>
      <c r="P352" t="str">
        <f>VLOOKUP(Продажи[[#This Row],[id клиента]],Таблица4[#All],7,FALSE)</f>
        <v>Украина</v>
      </c>
    </row>
    <row r="353" spans="1:16" x14ac:dyDescent="0.25">
      <c r="A353">
        <v>352</v>
      </c>
      <c r="B353">
        <v>303</v>
      </c>
      <c r="C353">
        <v>68</v>
      </c>
      <c r="D353">
        <v>4</v>
      </c>
      <c r="E353">
        <v>272</v>
      </c>
      <c r="F353" s="23">
        <v>44947</v>
      </c>
      <c r="G353" t="s">
        <v>24</v>
      </c>
      <c r="H353">
        <v>76</v>
      </c>
      <c r="I353" t="str">
        <f>VLOOKUP(Продажи[[#This Row],[id товара]],Товары[#All],2,FALSE)</f>
        <v>Фрукты</v>
      </c>
      <c r="J353" s="19">
        <f>AVERAGEIF(Продажи[Категория товара],Продажи[[#This Row],[Категория товара]],Продажи[цена за шт в рублях])</f>
        <v>274.16279069767444</v>
      </c>
      <c r="K353" s="20">
        <f>Продажи[[#This Row],[цена за шт в рублях]]/Продажи[[#This Row],[Средняя цена в категории за шт]]-1</f>
        <v>-0.75197217745355838</v>
      </c>
      <c r="L353" t="str">
        <f>VLOOKUP(Продажи[[#This Row],[id товара]],Товары[#All],3,FALSE)</f>
        <v>Фруктовый Рай</v>
      </c>
      <c r="M3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353" s="23">
        <f>VLOOKUP(Продажи[[#This Row],[id клиента]],Таблица4[#All],5,FALSE)</f>
        <v>44575</v>
      </c>
      <c r="O353">
        <f>Продажи[[#This Row],[дата создания чека]]-Продажи[[#This Row],[Дата регистрации клиентов]]</f>
        <v>372</v>
      </c>
      <c r="P353" t="str">
        <f>VLOOKUP(Продажи[[#This Row],[id клиента]],Таблица4[#All],7,FALSE)</f>
        <v>Беларусь</v>
      </c>
    </row>
    <row r="354" spans="1:16" x14ac:dyDescent="0.25">
      <c r="A354">
        <v>353</v>
      </c>
      <c r="B354">
        <v>23</v>
      </c>
      <c r="C354">
        <v>380</v>
      </c>
      <c r="D354">
        <v>1</v>
      </c>
      <c r="E354">
        <v>380</v>
      </c>
      <c r="F354" s="23">
        <v>45199</v>
      </c>
      <c r="G354" t="s">
        <v>16</v>
      </c>
      <c r="H354">
        <v>84</v>
      </c>
      <c r="I354" t="str">
        <f>VLOOKUP(Продажи[[#This Row],[id товара]],Товары[#All],2,FALSE)</f>
        <v>Рыба</v>
      </c>
      <c r="J354" s="19">
        <f>AVERAGEIF(Продажи[Категория товара],Продажи[[#This Row],[Категория товара]],Продажи[цена за шт в рублях])</f>
        <v>258.5128205128205</v>
      </c>
      <c r="K354" s="20">
        <f>Продажи[[#This Row],[цена за шт в рублях]]/Продажи[[#This Row],[Средняя цена в категории за шт]]-1</f>
        <v>0.46994643919857171</v>
      </c>
      <c r="L354" t="str">
        <f>VLOOKUP(Продажи[[#This Row],[id товара]],Товары[#All],3,FALSE)</f>
        <v>Санта Бремор</v>
      </c>
      <c r="M3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354" s="23">
        <f>VLOOKUP(Продажи[[#This Row],[id клиента]],Таблица4[#All],5,FALSE)</f>
        <v>44805</v>
      </c>
      <c r="O354">
        <f>Продажи[[#This Row],[дата создания чека]]-Продажи[[#This Row],[Дата регистрации клиентов]]</f>
        <v>394</v>
      </c>
      <c r="P354" t="str">
        <f>VLOOKUP(Продажи[[#This Row],[id клиента]],Таблица4[#All],7,FALSE)</f>
        <v>Таджикистан</v>
      </c>
    </row>
    <row r="355" spans="1:16" x14ac:dyDescent="0.25">
      <c r="A355">
        <v>354</v>
      </c>
      <c r="B355">
        <v>398</v>
      </c>
      <c r="C355">
        <v>417</v>
      </c>
      <c r="D355">
        <v>4</v>
      </c>
      <c r="E355">
        <v>1668</v>
      </c>
      <c r="F355" s="23">
        <v>45167</v>
      </c>
      <c r="G355" t="s">
        <v>23</v>
      </c>
      <c r="H355">
        <v>81</v>
      </c>
      <c r="I355" t="str">
        <f>VLOOKUP(Продажи[[#This Row],[id товара]],Товары[#All],2,FALSE)</f>
        <v>Сок</v>
      </c>
      <c r="J355" s="19">
        <f>AVERAGEIF(Продажи[Категория товара],Продажи[[#This Row],[Категория товара]],Продажи[цена за шт в рублях])</f>
        <v>268.60344827586209</v>
      </c>
      <c r="K355" s="20">
        <f>Продажи[[#This Row],[цена за шт в рублях]]/Продажи[[#This Row],[Средняя цена в категории за шт]]-1</f>
        <v>0.55247448488349682</v>
      </c>
      <c r="L355" t="str">
        <f>VLOOKUP(Продажи[[#This Row],[id товара]],Товары[#All],3,FALSE)</f>
        <v>Фруктовый сад</v>
      </c>
      <c r="M3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355" s="23">
        <f>VLOOKUP(Продажи[[#This Row],[id клиента]],Таблица4[#All],5,FALSE)</f>
        <v>44825</v>
      </c>
      <c r="O355">
        <f>Продажи[[#This Row],[дата создания чека]]-Продажи[[#This Row],[Дата регистрации клиентов]]</f>
        <v>342</v>
      </c>
      <c r="P355" t="str">
        <f>VLOOKUP(Продажи[[#This Row],[id клиента]],Таблица4[#All],7,FALSE)</f>
        <v>Россия</v>
      </c>
    </row>
    <row r="356" spans="1:16" x14ac:dyDescent="0.25">
      <c r="A356">
        <v>355</v>
      </c>
      <c r="B356">
        <v>8</v>
      </c>
      <c r="C356">
        <v>404</v>
      </c>
      <c r="D356">
        <v>1</v>
      </c>
      <c r="E356">
        <v>404</v>
      </c>
      <c r="F356" s="23">
        <v>45077</v>
      </c>
      <c r="G356" t="s">
        <v>22</v>
      </c>
      <c r="H356">
        <v>157</v>
      </c>
      <c r="I356" t="str">
        <f>VLOOKUP(Продажи[[#This Row],[id товара]],Товары[#All],2,FALSE)</f>
        <v>Макароны</v>
      </c>
      <c r="J356" s="19">
        <f>AVERAGEIF(Продажи[Категория товара],Продажи[[#This Row],[Категория товара]],Продажи[цена за шт в рублях])</f>
        <v>265.47674418604652</v>
      </c>
      <c r="K356" s="20">
        <f>Продажи[[#This Row],[цена за шт в рублях]]/Продажи[[#This Row],[Средняя цена в категории за шт]]-1</f>
        <v>0.52179054793920554</v>
      </c>
      <c r="L356" t="str">
        <f>VLOOKUP(Продажи[[#This Row],[id товара]],Товары[#All],3,FALSE)</f>
        <v>Паста Зара</v>
      </c>
      <c r="M3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356" s="23">
        <f>VLOOKUP(Продажи[[#This Row],[id клиента]],Таблица4[#All],5,FALSE)</f>
        <v>44783</v>
      </c>
      <c r="O356">
        <f>Продажи[[#This Row],[дата создания чека]]-Продажи[[#This Row],[Дата регистрации клиентов]]</f>
        <v>294</v>
      </c>
      <c r="P356" t="str">
        <f>VLOOKUP(Продажи[[#This Row],[id клиента]],Таблица4[#All],7,FALSE)</f>
        <v>Россия</v>
      </c>
    </row>
    <row r="357" spans="1:16" x14ac:dyDescent="0.25">
      <c r="A357">
        <v>356</v>
      </c>
      <c r="B357">
        <v>485</v>
      </c>
      <c r="C357">
        <v>193</v>
      </c>
      <c r="D357">
        <v>1</v>
      </c>
      <c r="E357">
        <v>193</v>
      </c>
      <c r="F357" s="23">
        <v>45105</v>
      </c>
      <c r="G357" t="s">
        <v>20</v>
      </c>
      <c r="H357">
        <v>57</v>
      </c>
      <c r="I357" t="str">
        <f>VLOOKUP(Продажи[[#This Row],[id товара]],Товары[#All],2,FALSE)</f>
        <v>Макароны</v>
      </c>
      <c r="J357" s="19">
        <f>AVERAGEIF(Продажи[Категория товара],Продажи[[#This Row],[Категория товара]],Продажи[цена за шт в рублях])</f>
        <v>265.47674418604652</v>
      </c>
      <c r="K357" s="20">
        <f>Продажи[[#This Row],[цена за шт в рублях]]/Продажи[[#This Row],[Средняя цена в категории за шт]]-1</f>
        <v>-0.27300600061320135</v>
      </c>
      <c r="L357" t="str">
        <f>VLOOKUP(Продажи[[#This Row],[id товара]],Товары[#All],3,FALSE)</f>
        <v>Борилла</v>
      </c>
      <c r="M3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357" s="23">
        <f>VLOOKUP(Продажи[[#This Row],[id клиента]],Таблица4[#All],5,FALSE)</f>
        <v>44669</v>
      </c>
      <c r="O357">
        <f>Продажи[[#This Row],[дата создания чека]]-Продажи[[#This Row],[Дата регистрации клиентов]]</f>
        <v>436</v>
      </c>
      <c r="P357" t="str">
        <f>VLOOKUP(Продажи[[#This Row],[id клиента]],Таблица4[#All],7,FALSE)</f>
        <v>Россия</v>
      </c>
    </row>
    <row r="358" spans="1:16" x14ac:dyDescent="0.25">
      <c r="A358">
        <v>357</v>
      </c>
      <c r="B358">
        <v>60</v>
      </c>
      <c r="C358">
        <v>320</v>
      </c>
      <c r="D358">
        <v>4</v>
      </c>
      <c r="E358">
        <v>1280</v>
      </c>
      <c r="F358" s="23">
        <v>45292</v>
      </c>
      <c r="G358" t="s">
        <v>18</v>
      </c>
      <c r="H358">
        <v>273</v>
      </c>
      <c r="I358" t="str">
        <f>VLOOKUP(Продажи[[#This Row],[id товара]],Товары[#All],2,FALSE)</f>
        <v>Кофе</v>
      </c>
      <c r="J358" s="19">
        <f>AVERAGEIF(Продажи[Категория товара],Продажи[[#This Row],[Категория товара]],Продажи[цена за шт в рублях])</f>
        <v>249.02380952380952</v>
      </c>
      <c r="K358" s="20">
        <f>Продажи[[#This Row],[цена за шт в рублях]]/Продажи[[#This Row],[Средняя цена в категории за шт]]-1</f>
        <v>0.28501768811549866</v>
      </c>
      <c r="L358" t="str">
        <f>VLOOKUP(Продажи[[#This Row],[id товара]],Товары[#All],3,FALSE)</f>
        <v>Jacobs</v>
      </c>
      <c r="M3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358" s="23">
        <f>VLOOKUP(Продажи[[#This Row],[id клиента]],Таблица4[#All],5,FALSE)</f>
        <v>44599</v>
      </c>
      <c r="O358">
        <f>Продажи[[#This Row],[дата создания чека]]-Продажи[[#This Row],[Дата регистрации клиентов]]</f>
        <v>693</v>
      </c>
      <c r="P358" t="str">
        <f>VLOOKUP(Продажи[[#This Row],[id клиента]],Таблица4[#All],7,FALSE)</f>
        <v>Узбекистан</v>
      </c>
    </row>
    <row r="359" spans="1:16" x14ac:dyDescent="0.25">
      <c r="A359">
        <v>358</v>
      </c>
      <c r="B359">
        <v>290</v>
      </c>
      <c r="C359">
        <v>470</v>
      </c>
      <c r="D359">
        <v>5</v>
      </c>
      <c r="E359">
        <v>2350</v>
      </c>
      <c r="F359" s="23">
        <v>45039</v>
      </c>
      <c r="G359" t="s">
        <v>20</v>
      </c>
      <c r="H359">
        <v>479</v>
      </c>
      <c r="I359" t="str">
        <f>VLOOKUP(Продажи[[#This Row],[id товара]],Товары[#All],2,FALSE)</f>
        <v>Сахар</v>
      </c>
      <c r="J359" s="19">
        <f>AVERAGEIF(Продажи[Категория товара],Продажи[[#This Row],[Категория товара]],Продажи[цена за шт в рублях])</f>
        <v>252.76271186440678</v>
      </c>
      <c r="K359" s="20">
        <f>Продажи[[#This Row],[цена за шт в рублях]]/Продажи[[#This Row],[Средняя цена в категории за шт]]-1</f>
        <v>0.85945148528129822</v>
      </c>
      <c r="L359" t="str">
        <f>VLOOKUP(Продажи[[#This Row],[id товара]],Товары[#All],3,FALSE)</f>
        <v>Продимекс</v>
      </c>
      <c r="M3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359" s="23">
        <f>VLOOKUP(Продажи[[#This Row],[id клиента]],Таблица4[#All],5,FALSE)</f>
        <v>44793</v>
      </c>
      <c r="O359">
        <f>Продажи[[#This Row],[дата создания чека]]-Продажи[[#This Row],[Дата регистрации клиентов]]</f>
        <v>246</v>
      </c>
      <c r="P359" t="str">
        <f>VLOOKUP(Продажи[[#This Row],[id клиента]],Таблица4[#All],7,FALSE)</f>
        <v>Россия</v>
      </c>
    </row>
    <row r="360" spans="1:16" x14ac:dyDescent="0.25">
      <c r="A360">
        <v>359</v>
      </c>
      <c r="B360">
        <v>386</v>
      </c>
      <c r="C360">
        <v>424</v>
      </c>
      <c r="D360">
        <v>3</v>
      </c>
      <c r="E360">
        <v>1272</v>
      </c>
      <c r="F360" s="23">
        <v>45166</v>
      </c>
      <c r="G360" t="s">
        <v>27</v>
      </c>
      <c r="H360">
        <v>406</v>
      </c>
      <c r="I360" t="str">
        <f>VLOOKUP(Продажи[[#This Row],[id товара]],Товары[#All],2,FALSE)</f>
        <v>Крупа</v>
      </c>
      <c r="J360" s="19">
        <f>AVERAGEIF(Продажи[Категория товара],Продажи[[#This Row],[Категория товара]],Продажи[цена за шт в рублях])</f>
        <v>255.11627906976744</v>
      </c>
      <c r="K360" s="20">
        <f>Продажи[[#This Row],[цена за шт в рублях]]/Продажи[[#This Row],[Средняя цена в категории за шт]]-1</f>
        <v>0.6619872379216043</v>
      </c>
      <c r="L360" t="str">
        <f>VLOOKUP(Продажи[[#This Row],[id товара]],Товары[#All],3,FALSE)</f>
        <v>Увелка</v>
      </c>
      <c r="M3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360" s="23">
        <f>VLOOKUP(Продажи[[#This Row],[id клиента]],Таблица4[#All],5,FALSE)</f>
        <v>44895</v>
      </c>
      <c r="O360">
        <f>Продажи[[#This Row],[дата создания чека]]-Продажи[[#This Row],[Дата регистрации клиентов]]</f>
        <v>271</v>
      </c>
      <c r="P360" t="str">
        <f>VLOOKUP(Продажи[[#This Row],[id клиента]],Таблица4[#All],7,FALSE)</f>
        <v>Украина</v>
      </c>
    </row>
    <row r="361" spans="1:16" x14ac:dyDescent="0.25">
      <c r="A361">
        <v>360</v>
      </c>
      <c r="B361">
        <v>348</v>
      </c>
      <c r="C361">
        <v>147</v>
      </c>
      <c r="D361">
        <v>4</v>
      </c>
      <c r="E361">
        <v>588</v>
      </c>
      <c r="F361" s="23">
        <v>45006</v>
      </c>
      <c r="G361" t="s">
        <v>22</v>
      </c>
      <c r="H361">
        <v>157</v>
      </c>
      <c r="I361" t="str">
        <f>VLOOKUP(Продажи[[#This Row],[id товара]],Товары[#All],2,FALSE)</f>
        <v>Чипсы</v>
      </c>
      <c r="J361" s="19">
        <f>AVERAGEIF(Продажи[Категория товара],Продажи[[#This Row],[Категория товара]],Продажи[цена за шт в рублях])</f>
        <v>273.72549019607845</v>
      </c>
      <c r="K361" s="20">
        <f>Продажи[[#This Row],[цена за шт в рублях]]/Продажи[[#This Row],[Средняя цена в категории за шт]]-1</f>
        <v>-0.4629656160458453</v>
      </c>
      <c r="L361" t="str">
        <f>VLOOKUP(Продажи[[#This Row],[id товара]],Товары[#All],3,FALSE)</f>
        <v>Estrella</v>
      </c>
      <c r="M3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361" s="23">
        <f>VLOOKUP(Продажи[[#This Row],[id клиента]],Таблица4[#All],5,FALSE)</f>
        <v>44783</v>
      </c>
      <c r="O361">
        <f>Продажи[[#This Row],[дата создания чека]]-Продажи[[#This Row],[Дата регистрации клиентов]]</f>
        <v>223</v>
      </c>
      <c r="P361" t="str">
        <f>VLOOKUP(Продажи[[#This Row],[id клиента]],Таблица4[#All],7,FALSE)</f>
        <v>Россия</v>
      </c>
    </row>
    <row r="362" spans="1:16" x14ac:dyDescent="0.25">
      <c r="A362">
        <v>361</v>
      </c>
      <c r="B362">
        <v>350</v>
      </c>
      <c r="C362">
        <v>319</v>
      </c>
      <c r="D362">
        <v>3</v>
      </c>
      <c r="E362">
        <v>957</v>
      </c>
      <c r="F362" s="23">
        <v>45385</v>
      </c>
      <c r="G362" t="s">
        <v>8</v>
      </c>
      <c r="H362">
        <v>56</v>
      </c>
      <c r="I362" t="str">
        <f>VLOOKUP(Продажи[[#This Row],[id товара]],Товары[#All],2,FALSE)</f>
        <v>Фрукты</v>
      </c>
      <c r="J362" s="19">
        <f>AVERAGEIF(Продажи[Категория товара],Продажи[[#This Row],[Категория товара]],Продажи[цена за шт в рублях])</f>
        <v>274.16279069767444</v>
      </c>
      <c r="K362" s="20">
        <f>Продажи[[#This Row],[цена за шт в рублях]]/Продажи[[#This Row],[Средняя цена в категории за шт]]-1</f>
        <v>0.16354228518110103</v>
      </c>
      <c r="L362" t="str">
        <f>VLOOKUP(Продажи[[#This Row],[id товара]],Товары[#All],3,FALSE)</f>
        <v>Фрукты-Ягоды</v>
      </c>
      <c r="M3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362" s="23">
        <f>VLOOKUP(Продажи[[#This Row],[id клиента]],Таблица4[#All],5,FALSE)</f>
        <v>44662</v>
      </c>
      <c r="O362">
        <f>Продажи[[#This Row],[дата создания чека]]-Продажи[[#This Row],[Дата регистрации клиентов]]</f>
        <v>723</v>
      </c>
      <c r="P362" t="str">
        <f>VLOOKUP(Продажи[[#This Row],[id клиента]],Таблица4[#All],7,FALSE)</f>
        <v>Таджикистан</v>
      </c>
    </row>
    <row r="363" spans="1:16" x14ac:dyDescent="0.25">
      <c r="A363">
        <v>362</v>
      </c>
      <c r="B363">
        <v>126</v>
      </c>
      <c r="C363">
        <v>479</v>
      </c>
      <c r="D363">
        <v>2</v>
      </c>
      <c r="E363">
        <v>958</v>
      </c>
      <c r="F363" s="23">
        <v>45045</v>
      </c>
      <c r="G363" t="s">
        <v>24</v>
      </c>
      <c r="H363">
        <v>10</v>
      </c>
      <c r="I363" t="str">
        <f>VLOOKUP(Продажи[[#This Row],[id товара]],Товары[#All],2,FALSE)</f>
        <v>Сахар</v>
      </c>
      <c r="J363" s="19">
        <f>AVERAGEIF(Продажи[Категория товара],Продажи[[#This Row],[Категория товара]],Продажи[цена за шт в рублях])</f>
        <v>252.76271186440678</v>
      </c>
      <c r="K363" s="20">
        <f>Продажи[[#This Row],[цена за шт в рублях]]/Продажи[[#This Row],[Средняя цена в категории за шт]]-1</f>
        <v>0.89505800308455719</v>
      </c>
      <c r="L363" t="str">
        <f>VLOOKUP(Продажи[[#This Row],[id товара]],Товары[#All],3,FALSE)</f>
        <v>Русский сахар</v>
      </c>
      <c r="M3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363" s="23">
        <f>VLOOKUP(Продажи[[#This Row],[id клиента]],Таблица4[#All],5,FALSE)</f>
        <v>44881</v>
      </c>
      <c r="O363">
        <f>Продажи[[#This Row],[дата создания чека]]-Продажи[[#This Row],[Дата регистрации клиентов]]</f>
        <v>164</v>
      </c>
      <c r="P363" t="str">
        <f>VLOOKUP(Продажи[[#This Row],[id клиента]],Таблица4[#All],7,FALSE)</f>
        <v>Украина</v>
      </c>
    </row>
    <row r="364" spans="1:16" x14ac:dyDescent="0.25">
      <c r="A364">
        <v>363</v>
      </c>
      <c r="B364">
        <v>258</v>
      </c>
      <c r="C364">
        <v>181</v>
      </c>
      <c r="D364">
        <v>5</v>
      </c>
      <c r="E364">
        <v>905</v>
      </c>
      <c r="F364" s="23">
        <v>45054</v>
      </c>
      <c r="G364" t="s">
        <v>27</v>
      </c>
      <c r="H364">
        <v>174</v>
      </c>
      <c r="I364" t="str">
        <f>VLOOKUP(Продажи[[#This Row],[id товара]],Товары[#All],2,FALSE)</f>
        <v>Рыба</v>
      </c>
      <c r="J364" s="19">
        <f>AVERAGEIF(Продажи[Категория товара],Продажи[[#This Row],[Категория товара]],Продажи[цена за шт в рублях])</f>
        <v>258.5128205128205</v>
      </c>
      <c r="K364" s="20">
        <f>Продажи[[#This Row],[цена за шт в рублях]]/Продажи[[#This Row],[Средняя цена в категории за шт]]-1</f>
        <v>-0.29984130132910136</v>
      </c>
      <c r="L364" t="str">
        <f>VLOOKUP(Продажи[[#This Row],[id товара]],Товары[#All],3,FALSE)</f>
        <v>Санта Бремор</v>
      </c>
      <c r="M3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364" s="23">
        <f>VLOOKUP(Продажи[[#This Row],[id клиента]],Таблица4[#All],5,FALSE)</f>
        <v>44779</v>
      </c>
      <c r="O364">
        <f>Продажи[[#This Row],[дата создания чека]]-Продажи[[#This Row],[Дата регистрации клиентов]]</f>
        <v>275</v>
      </c>
      <c r="P364" t="str">
        <f>VLOOKUP(Продажи[[#This Row],[id клиента]],Таблица4[#All],7,FALSE)</f>
        <v>Таджикистан</v>
      </c>
    </row>
    <row r="365" spans="1:16" x14ac:dyDescent="0.25">
      <c r="A365">
        <v>364</v>
      </c>
      <c r="B365">
        <v>325</v>
      </c>
      <c r="C365">
        <v>361</v>
      </c>
      <c r="D365">
        <v>5</v>
      </c>
      <c r="E365">
        <v>1805</v>
      </c>
      <c r="F365" s="23">
        <v>45243</v>
      </c>
      <c r="G365" t="s">
        <v>11</v>
      </c>
      <c r="H365">
        <v>110</v>
      </c>
      <c r="I365" t="str">
        <f>VLOOKUP(Продажи[[#This Row],[id товара]],Товары[#All],2,FALSE)</f>
        <v>Сок</v>
      </c>
      <c r="J365" s="19">
        <f>AVERAGEIF(Продажи[Категория товара],Продажи[[#This Row],[Категория товара]],Продажи[цена за шт в рублях])</f>
        <v>268.60344827586209</v>
      </c>
      <c r="K365" s="20">
        <f>Продажи[[#This Row],[цена за шт в рублях]]/Продажи[[#This Row],[Средняя цена в категории за шт]]-1</f>
        <v>0.34398870274086901</v>
      </c>
      <c r="L365" t="str">
        <f>VLOOKUP(Продажи[[#This Row],[id товара]],Товары[#All],3,FALSE)</f>
        <v>Добрый</v>
      </c>
      <c r="M3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365" s="23">
        <f>VLOOKUP(Продажи[[#This Row],[id клиента]],Таблица4[#All],5,FALSE)</f>
        <v>44580</v>
      </c>
      <c r="O365">
        <f>Продажи[[#This Row],[дата создания чека]]-Продажи[[#This Row],[Дата регистрации клиентов]]</f>
        <v>663</v>
      </c>
      <c r="P365" t="str">
        <f>VLOOKUP(Продажи[[#This Row],[id клиента]],Таблица4[#All],7,FALSE)</f>
        <v>Узбекистан</v>
      </c>
    </row>
    <row r="366" spans="1:16" x14ac:dyDescent="0.25">
      <c r="A366">
        <v>365</v>
      </c>
      <c r="B366">
        <v>320</v>
      </c>
      <c r="C366">
        <v>254</v>
      </c>
      <c r="D366">
        <v>1</v>
      </c>
      <c r="E366">
        <v>254</v>
      </c>
      <c r="F366" s="23">
        <v>45316</v>
      </c>
      <c r="G366" t="s">
        <v>19</v>
      </c>
      <c r="H366">
        <v>72</v>
      </c>
      <c r="I366" t="str">
        <f>VLOOKUP(Продажи[[#This Row],[id товара]],Товары[#All],2,FALSE)</f>
        <v>Конфеты</v>
      </c>
      <c r="J366" s="19">
        <f>AVERAGEIF(Продажи[Категория товара],Продажи[[#This Row],[Категория товара]],Продажи[цена за шт в рублях])</f>
        <v>267.85483870967744</v>
      </c>
      <c r="K366" s="20">
        <f>Продажи[[#This Row],[цена за шт в рублях]]/Продажи[[#This Row],[Средняя цена в категории за шт]]-1</f>
        <v>-5.172517613054739E-2</v>
      </c>
      <c r="L366" t="str">
        <f>VLOOKUP(Продажи[[#This Row],[id товара]],Товары[#All],3,FALSE)</f>
        <v>Бабаевский</v>
      </c>
      <c r="M3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366" s="23">
        <f>VLOOKUP(Продажи[[#This Row],[id клиента]],Таблица4[#All],5,FALSE)</f>
        <v>44906</v>
      </c>
      <c r="O366">
        <f>Продажи[[#This Row],[дата создания чека]]-Продажи[[#This Row],[Дата регистрации клиентов]]</f>
        <v>410</v>
      </c>
      <c r="P366" t="str">
        <f>VLOOKUP(Продажи[[#This Row],[id клиента]],Таблица4[#All],7,FALSE)</f>
        <v>Таджикистан</v>
      </c>
    </row>
    <row r="367" spans="1:16" x14ac:dyDescent="0.25">
      <c r="A367">
        <v>366</v>
      </c>
      <c r="B367">
        <v>329</v>
      </c>
      <c r="C367">
        <v>187</v>
      </c>
      <c r="D367">
        <v>4</v>
      </c>
      <c r="E367">
        <v>748</v>
      </c>
      <c r="F367" s="23">
        <v>45274</v>
      </c>
      <c r="G367" t="s">
        <v>20</v>
      </c>
      <c r="H367">
        <v>307</v>
      </c>
      <c r="I367" t="str">
        <f>VLOOKUP(Продажи[[#This Row],[id товара]],Товары[#All],2,FALSE)</f>
        <v>Соль</v>
      </c>
      <c r="J367" s="19">
        <f>AVERAGEIF(Продажи[Категория товара],Продажи[[#This Row],[Категория товара]],Продажи[цена за шт в рублях])</f>
        <v>264.8679245283019</v>
      </c>
      <c r="K367" s="20">
        <f>Продажи[[#This Row],[цена за шт в рублях]]/Продажи[[#This Row],[Средняя цена в категории за шт]]-1</f>
        <v>-0.29398774754238499</v>
      </c>
      <c r="L367" t="str">
        <f>VLOOKUP(Продажи[[#This Row],[id товара]],Товары[#All],3,FALSE)</f>
        <v>Славянская</v>
      </c>
      <c r="M3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367" s="23">
        <f>VLOOKUP(Продажи[[#This Row],[id клиента]],Таблица4[#All],5,FALSE)</f>
        <v>44764</v>
      </c>
      <c r="O367">
        <f>Продажи[[#This Row],[дата создания чека]]-Продажи[[#This Row],[Дата регистрации клиентов]]</f>
        <v>510</v>
      </c>
      <c r="P367" t="str">
        <f>VLOOKUP(Продажи[[#This Row],[id клиента]],Таблица4[#All],7,FALSE)</f>
        <v>Беларусь</v>
      </c>
    </row>
    <row r="368" spans="1:16" x14ac:dyDescent="0.25">
      <c r="A368">
        <v>367</v>
      </c>
      <c r="B368">
        <v>226</v>
      </c>
      <c r="C368">
        <v>155</v>
      </c>
      <c r="D368">
        <v>4</v>
      </c>
      <c r="E368">
        <v>620</v>
      </c>
      <c r="F368" s="23">
        <v>44967</v>
      </c>
      <c r="G368" t="s">
        <v>21</v>
      </c>
      <c r="H368">
        <v>202</v>
      </c>
      <c r="I368" t="str">
        <f>VLOOKUP(Продажи[[#This Row],[id товара]],Товары[#All],2,FALSE)</f>
        <v>Сыр</v>
      </c>
      <c r="J368" s="19">
        <f>AVERAGEIF(Продажи[Категория товара],Продажи[[#This Row],[Категория товара]],Продажи[цена за шт в рублях])</f>
        <v>262.63492063492066</v>
      </c>
      <c r="K368" s="20">
        <f>Продажи[[#This Row],[цена за шт в рублях]]/Продажи[[#This Row],[Средняя цена в категории за шт]]-1</f>
        <v>-0.40982714855554214</v>
      </c>
      <c r="L368" t="str">
        <f>VLOOKUP(Продажи[[#This Row],[id товара]],Товары[#All],3,FALSE)</f>
        <v>Карат</v>
      </c>
      <c r="M3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368" s="23">
        <f>VLOOKUP(Продажи[[#This Row],[id клиента]],Таблица4[#All],5,FALSE)</f>
        <v>44766</v>
      </c>
      <c r="O368">
        <f>Продажи[[#This Row],[дата создания чека]]-Продажи[[#This Row],[Дата регистрации клиентов]]</f>
        <v>201</v>
      </c>
      <c r="P368" t="str">
        <f>VLOOKUP(Продажи[[#This Row],[id клиента]],Таблица4[#All],7,FALSE)</f>
        <v>Беларусь</v>
      </c>
    </row>
    <row r="369" spans="1:16" x14ac:dyDescent="0.25">
      <c r="A369">
        <v>368</v>
      </c>
      <c r="B369">
        <v>270</v>
      </c>
      <c r="C369">
        <v>78</v>
      </c>
      <c r="D369">
        <v>4</v>
      </c>
      <c r="E369">
        <v>312</v>
      </c>
      <c r="F369" s="23">
        <v>44932</v>
      </c>
      <c r="G369" t="s">
        <v>24</v>
      </c>
      <c r="H369">
        <v>157</v>
      </c>
      <c r="I369" t="str">
        <f>VLOOKUP(Продажи[[#This Row],[id товара]],Товары[#All],2,FALSE)</f>
        <v>Соль</v>
      </c>
      <c r="J369" s="19">
        <f>AVERAGEIF(Продажи[Категория товара],Продажи[[#This Row],[Категория товара]],Продажи[цена за шт в рублях])</f>
        <v>264.8679245283019</v>
      </c>
      <c r="K369" s="20">
        <f>Продажи[[#This Row],[цена за шт в рублях]]/Продажи[[#This Row],[Средняя цена в категории за шт]]-1</f>
        <v>-0.70551360592677015</v>
      </c>
      <c r="L369" t="str">
        <f>VLOOKUP(Продажи[[#This Row],[id товара]],Товары[#All],3,FALSE)</f>
        <v>Славянская</v>
      </c>
      <c r="M3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369" s="23">
        <f>VLOOKUP(Продажи[[#This Row],[id клиента]],Таблица4[#All],5,FALSE)</f>
        <v>44783</v>
      </c>
      <c r="O369">
        <f>Продажи[[#This Row],[дата создания чека]]-Продажи[[#This Row],[Дата регистрации клиентов]]</f>
        <v>149</v>
      </c>
      <c r="P369" t="str">
        <f>VLOOKUP(Продажи[[#This Row],[id клиента]],Таблица4[#All],7,FALSE)</f>
        <v>Россия</v>
      </c>
    </row>
    <row r="370" spans="1:16" x14ac:dyDescent="0.25">
      <c r="A370">
        <v>369</v>
      </c>
      <c r="B370">
        <v>233</v>
      </c>
      <c r="C370">
        <v>478</v>
      </c>
      <c r="D370">
        <v>2</v>
      </c>
      <c r="E370">
        <v>956</v>
      </c>
      <c r="F370" s="23">
        <v>45129</v>
      </c>
      <c r="G370" t="s">
        <v>22</v>
      </c>
      <c r="H370">
        <v>270</v>
      </c>
      <c r="I370" t="str">
        <f>VLOOKUP(Продажи[[#This Row],[id товара]],Товары[#All],2,FALSE)</f>
        <v>Йогурт</v>
      </c>
      <c r="J370" s="19">
        <f>AVERAGEIF(Продажи[Категория товара],Продажи[[#This Row],[Категория товара]],Продажи[цена за шт в рублях])</f>
        <v>263.25423728813558</v>
      </c>
      <c r="K370" s="20">
        <f>Продажи[[#This Row],[цена за шт в рублях]]/Продажи[[#This Row],[Средняя цена в категории за шт]]-1</f>
        <v>0.8157352562451714</v>
      </c>
      <c r="L370" t="str">
        <f>VLOOKUP(Продажи[[#This Row],[id товара]],Товары[#All],3,FALSE)</f>
        <v>Ростагроэкспорт</v>
      </c>
      <c r="M3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70" s="23">
        <f>VLOOKUP(Продажи[[#This Row],[id клиента]],Таблица4[#All],5,FALSE)</f>
        <v>44827</v>
      </c>
      <c r="O370">
        <f>Продажи[[#This Row],[дата создания чека]]-Продажи[[#This Row],[Дата регистрации клиентов]]</f>
        <v>302</v>
      </c>
      <c r="P370" t="str">
        <f>VLOOKUP(Продажи[[#This Row],[id клиента]],Таблица4[#All],7,FALSE)</f>
        <v>Таджикистан</v>
      </c>
    </row>
    <row r="371" spans="1:16" x14ac:dyDescent="0.25">
      <c r="A371">
        <v>370</v>
      </c>
      <c r="B371">
        <v>178</v>
      </c>
      <c r="C371">
        <v>176</v>
      </c>
      <c r="D371">
        <v>5</v>
      </c>
      <c r="E371">
        <v>880</v>
      </c>
      <c r="F371" s="23">
        <v>45183</v>
      </c>
      <c r="G371" t="s">
        <v>17</v>
      </c>
      <c r="H371">
        <v>65</v>
      </c>
      <c r="I371" t="str">
        <f>VLOOKUP(Продажи[[#This Row],[id товара]],Товары[#All],2,FALSE)</f>
        <v>Йогурт</v>
      </c>
      <c r="J371" s="19">
        <f>AVERAGEIF(Продажи[Категория товара],Продажи[[#This Row],[Категория товара]],Продажи[цена за шт в рублях])</f>
        <v>263.25423728813558</v>
      </c>
      <c r="K371" s="20">
        <f>Продажи[[#This Row],[цена за шт в рублях]]/Продажи[[#This Row],[Средняя цена в категории за шт]]-1</f>
        <v>-0.33144475920679883</v>
      </c>
      <c r="L371" t="str">
        <f>VLOOKUP(Продажи[[#This Row],[id товара]],Товары[#All],3,FALSE)</f>
        <v>Ростагроэкспорт</v>
      </c>
      <c r="M3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71" s="23">
        <f>VLOOKUP(Продажи[[#This Row],[id клиента]],Таблица4[#All],5,FALSE)</f>
        <v>44623</v>
      </c>
      <c r="O371">
        <f>Продажи[[#This Row],[дата создания чека]]-Продажи[[#This Row],[Дата регистрации клиентов]]</f>
        <v>560</v>
      </c>
      <c r="P371" t="str">
        <f>VLOOKUP(Продажи[[#This Row],[id клиента]],Таблица4[#All],7,FALSE)</f>
        <v>Украина</v>
      </c>
    </row>
    <row r="372" spans="1:16" x14ac:dyDescent="0.25">
      <c r="A372">
        <v>371</v>
      </c>
      <c r="B372">
        <v>293</v>
      </c>
      <c r="C372">
        <v>179</v>
      </c>
      <c r="D372">
        <v>4</v>
      </c>
      <c r="E372">
        <v>716</v>
      </c>
      <c r="F372" s="23">
        <v>45258</v>
      </c>
      <c r="G372" t="s">
        <v>11</v>
      </c>
      <c r="H372">
        <v>38</v>
      </c>
      <c r="I372" t="str">
        <f>VLOOKUP(Продажи[[#This Row],[id товара]],Товары[#All],2,FALSE)</f>
        <v>Конфеты</v>
      </c>
      <c r="J372" s="19">
        <f>AVERAGEIF(Продажи[Категория товара],Продажи[[#This Row],[Категория товара]],Продажи[цена за шт в рублях])</f>
        <v>267.85483870967744</v>
      </c>
      <c r="K372" s="20">
        <f>Продажи[[#This Row],[цена за шт в рублях]]/Продажи[[#This Row],[Средняя цена в категории за шт]]-1</f>
        <v>-0.33172758475341724</v>
      </c>
      <c r="L372" t="str">
        <f>VLOOKUP(Продажи[[#This Row],[id товара]],Товары[#All],3,FALSE)</f>
        <v>Бабаевский</v>
      </c>
      <c r="M3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372" s="23">
        <f>VLOOKUP(Продажи[[#This Row],[id клиента]],Таблица4[#All],5,FALSE)</f>
        <v>44819</v>
      </c>
      <c r="O372">
        <f>Продажи[[#This Row],[дата создания чека]]-Продажи[[#This Row],[Дата регистрации клиентов]]</f>
        <v>439</v>
      </c>
      <c r="P372" t="str">
        <f>VLOOKUP(Продажи[[#This Row],[id клиента]],Таблица4[#All],7,FALSE)</f>
        <v>Таджикистан</v>
      </c>
    </row>
    <row r="373" spans="1:16" x14ac:dyDescent="0.25">
      <c r="A373">
        <v>372</v>
      </c>
      <c r="B373">
        <v>286</v>
      </c>
      <c r="C373">
        <v>122</v>
      </c>
      <c r="D373">
        <v>5</v>
      </c>
      <c r="E373">
        <v>610</v>
      </c>
      <c r="F373" s="23">
        <v>45147</v>
      </c>
      <c r="G373" t="s">
        <v>13</v>
      </c>
      <c r="H373">
        <v>356</v>
      </c>
      <c r="I373" t="str">
        <f>VLOOKUP(Продажи[[#This Row],[id товара]],Товары[#All],2,FALSE)</f>
        <v>Йогурт</v>
      </c>
      <c r="J373" s="19">
        <f>AVERAGEIF(Продажи[Категория товара],Продажи[[#This Row],[Категория товара]],Продажи[цена за шт в рублях])</f>
        <v>263.25423728813558</v>
      </c>
      <c r="K373" s="20">
        <f>Продажи[[#This Row],[цена за шт в рублях]]/Продажи[[#This Row],[Средняя цена в категории за шт]]-1</f>
        <v>-0.53656966263198558</v>
      </c>
      <c r="L373" t="str">
        <f>VLOOKUP(Продажи[[#This Row],[id товара]],Товары[#All],3,FALSE)</f>
        <v>Ростагроэкспорт</v>
      </c>
      <c r="M3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373" s="23">
        <f>VLOOKUP(Продажи[[#This Row],[id клиента]],Таблица4[#All],5,FALSE)</f>
        <v>44570</v>
      </c>
      <c r="O373">
        <f>Продажи[[#This Row],[дата создания чека]]-Продажи[[#This Row],[Дата регистрации клиентов]]</f>
        <v>577</v>
      </c>
      <c r="P373" t="str">
        <f>VLOOKUP(Продажи[[#This Row],[id клиента]],Таблица4[#All],7,FALSE)</f>
        <v>Таджикистан</v>
      </c>
    </row>
    <row r="374" spans="1:16" x14ac:dyDescent="0.25">
      <c r="A374">
        <v>373</v>
      </c>
      <c r="B374">
        <v>11</v>
      </c>
      <c r="C374">
        <v>199</v>
      </c>
      <c r="D374">
        <v>4</v>
      </c>
      <c r="E374">
        <v>796</v>
      </c>
      <c r="F374" s="23">
        <v>45374</v>
      </c>
      <c r="G374" t="s">
        <v>17</v>
      </c>
      <c r="H374">
        <v>296</v>
      </c>
      <c r="I374" t="str">
        <f>VLOOKUP(Продажи[[#This Row],[id товара]],Товары[#All],2,FALSE)</f>
        <v>Хлеб</v>
      </c>
      <c r="J374" s="19">
        <f>AVERAGEIF(Продажи[Категория товара],Продажи[[#This Row],[Категория товара]],Продажи[цена за шт в рублях])</f>
        <v>300.31818181818181</v>
      </c>
      <c r="K374" s="20">
        <f>Продажи[[#This Row],[цена за шт в рублях]]/Продажи[[#This Row],[Средняя цена в категории за шт]]-1</f>
        <v>-0.33736945663690021</v>
      </c>
      <c r="L374" t="str">
        <f>VLOOKUP(Продажи[[#This Row],[id товара]],Товары[#All],3,FALSE)</f>
        <v>Русский Хлеб</v>
      </c>
      <c r="M3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374" s="23">
        <f>VLOOKUP(Продажи[[#This Row],[id клиента]],Таблица4[#All],5,FALSE)</f>
        <v>44758</v>
      </c>
      <c r="O374">
        <f>Продажи[[#This Row],[дата создания чека]]-Продажи[[#This Row],[Дата регистрации клиентов]]</f>
        <v>616</v>
      </c>
      <c r="P374" t="str">
        <f>VLOOKUP(Продажи[[#This Row],[id клиента]],Таблица4[#All],7,FALSE)</f>
        <v>Узбекистан</v>
      </c>
    </row>
    <row r="375" spans="1:16" x14ac:dyDescent="0.25">
      <c r="A375">
        <v>374</v>
      </c>
      <c r="B375">
        <v>441</v>
      </c>
      <c r="C375">
        <v>173</v>
      </c>
      <c r="D375">
        <v>3</v>
      </c>
      <c r="E375">
        <v>519</v>
      </c>
      <c r="F375" s="23">
        <v>45349</v>
      </c>
      <c r="G375" t="s">
        <v>14</v>
      </c>
      <c r="H375">
        <v>62</v>
      </c>
      <c r="I375" t="str">
        <f>VLOOKUP(Продажи[[#This Row],[id товара]],Товары[#All],2,FALSE)</f>
        <v>Чай</v>
      </c>
      <c r="J375" s="19">
        <f>AVERAGEIF(Продажи[Категория товара],Продажи[[#This Row],[Категория товара]],Продажи[цена за шт в рублях])</f>
        <v>271.18181818181819</v>
      </c>
      <c r="K375" s="20">
        <f>Продажи[[#This Row],[цена за шт в рублях]]/Продажи[[#This Row],[Средняя цена в категории за шт]]-1</f>
        <v>-0.36205162587998663</v>
      </c>
      <c r="L375" t="str">
        <f>VLOOKUP(Продажи[[#This Row],[id товара]],Товары[#All],3,FALSE)</f>
        <v>Lipton</v>
      </c>
      <c r="M3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375" s="23">
        <f>VLOOKUP(Продажи[[#This Row],[id клиента]],Таблица4[#All],5,FALSE)</f>
        <v>44671</v>
      </c>
      <c r="O375">
        <f>Продажи[[#This Row],[дата создания чека]]-Продажи[[#This Row],[Дата регистрации клиентов]]</f>
        <v>678</v>
      </c>
      <c r="P375" t="str">
        <f>VLOOKUP(Продажи[[#This Row],[id клиента]],Таблица4[#All],7,FALSE)</f>
        <v>Россия</v>
      </c>
    </row>
    <row r="376" spans="1:16" x14ac:dyDescent="0.25">
      <c r="A376">
        <v>375</v>
      </c>
      <c r="B376">
        <v>19</v>
      </c>
      <c r="C376">
        <v>142</v>
      </c>
      <c r="D376">
        <v>3</v>
      </c>
      <c r="E376">
        <v>426</v>
      </c>
      <c r="F376" s="23">
        <v>45157</v>
      </c>
      <c r="G376" t="s">
        <v>10</v>
      </c>
      <c r="H376">
        <v>18</v>
      </c>
      <c r="I376" t="str">
        <f>VLOOKUP(Продажи[[#This Row],[id товара]],Товары[#All],2,FALSE)</f>
        <v>Мясо</v>
      </c>
      <c r="J376" s="19">
        <f>AVERAGEIF(Продажи[Категория товара],Продажи[[#This Row],[Категория товара]],Продажи[цена за шт в рублях])</f>
        <v>271.74545454545455</v>
      </c>
      <c r="K376" s="20">
        <f>Продажи[[#This Row],[цена за шт в рублях]]/Продажи[[#This Row],[Средняя цена в категории за шт]]-1</f>
        <v>-0.47745216111334132</v>
      </c>
      <c r="L376" t="str">
        <f>VLOOKUP(Продажи[[#This Row],[id товара]],Товары[#All],3,FALSE)</f>
        <v>Снежана</v>
      </c>
      <c r="M3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376" s="23">
        <f>VLOOKUP(Продажи[[#This Row],[id клиента]],Таблица4[#All],5,FALSE)</f>
        <v>44578</v>
      </c>
      <c r="O376">
        <f>Продажи[[#This Row],[дата создания чека]]-Продажи[[#This Row],[Дата регистрации клиентов]]</f>
        <v>579</v>
      </c>
      <c r="P376" t="str">
        <f>VLOOKUP(Продажи[[#This Row],[id клиента]],Таблица4[#All],7,FALSE)</f>
        <v>Украина</v>
      </c>
    </row>
    <row r="377" spans="1:16" x14ac:dyDescent="0.25">
      <c r="A377">
        <v>376</v>
      </c>
      <c r="B377">
        <v>340</v>
      </c>
      <c r="C377">
        <v>157</v>
      </c>
      <c r="D377">
        <v>2</v>
      </c>
      <c r="E377">
        <v>314</v>
      </c>
      <c r="F377" s="23">
        <v>45075</v>
      </c>
      <c r="G377" t="s">
        <v>18</v>
      </c>
      <c r="H377">
        <v>376</v>
      </c>
      <c r="I377" t="str">
        <f>VLOOKUP(Продажи[[#This Row],[id товара]],Товары[#All],2,FALSE)</f>
        <v>Сыр</v>
      </c>
      <c r="J377" s="19">
        <f>AVERAGEIF(Продажи[Категория товара],Продажи[[#This Row],[Категория товара]],Продажи[цена за шт в рублях])</f>
        <v>262.63492063492066</v>
      </c>
      <c r="K377" s="20">
        <f>Продажи[[#This Row],[цена за шт в рублях]]/Продажи[[#This Row],[Средняя цена в категории за шт]]-1</f>
        <v>-0.40221201498851689</v>
      </c>
      <c r="L377" t="str">
        <f>VLOOKUP(Продажи[[#This Row],[id товара]],Товары[#All],3,FALSE)</f>
        <v>Карат</v>
      </c>
      <c r="M3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377" s="23">
        <f>VLOOKUP(Продажи[[#This Row],[id клиента]],Таблица4[#All],5,FALSE)</f>
        <v>44730</v>
      </c>
      <c r="O377">
        <f>Продажи[[#This Row],[дата создания чека]]-Продажи[[#This Row],[Дата регистрации клиентов]]</f>
        <v>345</v>
      </c>
      <c r="P377" t="str">
        <f>VLOOKUP(Продажи[[#This Row],[id клиента]],Таблица4[#All],7,FALSE)</f>
        <v>Беларусь</v>
      </c>
    </row>
    <row r="378" spans="1:16" x14ac:dyDescent="0.25">
      <c r="A378">
        <v>377</v>
      </c>
      <c r="B378">
        <v>142</v>
      </c>
      <c r="C378">
        <v>160</v>
      </c>
      <c r="D378">
        <v>4</v>
      </c>
      <c r="E378">
        <v>640</v>
      </c>
      <c r="F378" s="23">
        <v>45414</v>
      </c>
      <c r="G378" t="s">
        <v>10</v>
      </c>
      <c r="H378">
        <v>459</v>
      </c>
      <c r="I378" t="str">
        <f>VLOOKUP(Продажи[[#This Row],[id товара]],Товары[#All],2,FALSE)</f>
        <v>Фрукты</v>
      </c>
      <c r="J378" s="19">
        <f>AVERAGEIF(Продажи[Категория товара],Продажи[[#This Row],[Категория товара]],Продажи[цена за шт в рублях])</f>
        <v>274.16279069767444</v>
      </c>
      <c r="K378" s="20">
        <f>Продажи[[#This Row],[цена за шт в рублях]]/Продажи[[#This Row],[Средняя цена в категории за шт]]-1</f>
        <v>-0.41640512342013747</v>
      </c>
      <c r="L378" t="str">
        <f>VLOOKUP(Продажи[[#This Row],[id товара]],Товары[#All],3,FALSE)</f>
        <v>Фруктовый Рай</v>
      </c>
      <c r="M3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378" s="23">
        <f>VLOOKUP(Продажи[[#This Row],[id клиента]],Таблица4[#All],5,FALSE)</f>
        <v>44743</v>
      </c>
      <c r="O378">
        <f>Продажи[[#This Row],[дата создания чека]]-Продажи[[#This Row],[Дата регистрации клиентов]]</f>
        <v>671</v>
      </c>
      <c r="P378" t="str">
        <f>VLOOKUP(Продажи[[#This Row],[id клиента]],Таблица4[#All],7,FALSE)</f>
        <v>Россия</v>
      </c>
    </row>
    <row r="379" spans="1:16" x14ac:dyDescent="0.25">
      <c r="A379">
        <v>378</v>
      </c>
      <c r="B379">
        <v>452</v>
      </c>
      <c r="C379">
        <v>325</v>
      </c>
      <c r="D379">
        <v>2</v>
      </c>
      <c r="E379">
        <v>650</v>
      </c>
      <c r="F379" s="23">
        <v>45160</v>
      </c>
      <c r="G379" t="s">
        <v>15</v>
      </c>
      <c r="H379">
        <v>88</v>
      </c>
      <c r="I379" t="str">
        <f>VLOOKUP(Продажи[[#This Row],[id товара]],Товары[#All],2,FALSE)</f>
        <v>Фрукты</v>
      </c>
      <c r="J379" s="19">
        <f>AVERAGEIF(Продажи[Категория товара],Продажи[[#This Row],[Категория товара]],Продажи[цена за шт в рублях])</f>
        <v>274.16279069767444</v>
      </c>
      <c r="K379" s="20">
        <f>Продажи[[#This Row],[цена за шт в рублях]]/Продажи[[#This Row],[Средняя цена в категории за шт]]-1</f>
        <v>0.18542709305284588</v>
      </c>
      <c r="L379" t="str">
        <f>VLOOKUP(Продажи[[#This Row],[id товара]],Товары[#All],3,FALSE)</f>
        <v>Экзотик</v>
      </c>
      <c r="M3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379" s="23">
        <f>VLOOKUP(Продажи[[#This Row],[id клиента]],Таблица4[#All],5,FALSE)</f>
        <v>44630</v>
      </c>
      <c r="O379">
        <f>Продажи[[#This Row],[дата создания чека]]-Продажи[[#This Row],[Дата регистрации клиентов]]</f>
        <v>530</v>
      </c>
      <c r="P379" t="str">
        <f>VLOOKUP(Продажи[[#This Row],[id клиента]],Таблица4[#All],7,FALSE)</f>
        <v>Украина</v>
      </c>
    </row>
    <row r="380" spans="1:16" x14ac:dyDescent="0.25">
      <c r="A380">
        <v>379</v>
      </c>
      <c r="B380">
        <v>340</v>
      </c>
      <c r="C380">
        <v>457</v>
      </c>
      <c r="D380">
        <v>1</v>
      </c>
      <c r="E380">
        <v>457</v>
      </c>
      <c r="F380" s="23">
        <v>44945</v>
      </c>
      <c r="G380" t="s">
        <v>13</v>
      </c>
      <c r="H380">
        <v>325</v>
      </c>
      <c r="I380" t="str">
        <f>VLOOKUP(Продажи[[#This Row],[id товара]],Товары[#All],2,FALSE)</f>
        <v>Сыр</v>
      </c>
      <c r="J380" s="19">
        <f>AVERAGEIF(Продажи[Категория товара],Продажи[[#This Row],[Категория товара]],Продажи[цена за шт в рублях])</f>
        <v>262.63492063492066</v>
      </c>
      <c r="K380" s="20">
        <f>Продажи[[#This Row],[цена за шт в рублях]]/Продажи[[#This Row],[Средняя цена в категории за шт]]-1</f>
        <v>0.74005802006527244</v>
      </c>
      <c r="L380" t="str">
        <f>VLOOKUP(Продажи[[#This Row],[id товара]],Товары[#All],3,FALSE)</f>
        <v>Карат</v>
      </c>
      <c r="M3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380" s="23">
        <f>VLOOKUP(Продажи[[#This Row],[id клиента]],Таблица4[#All],5,FALSE)</f>
        <v>44875</v>
      </c>
      <c r="O380">
        <f>Продажи[[#This Row],[дата создания чека]]-Продажи[[#This Row],[Дата регистрации клиентов]]</f>
        <v>70</v>
      </c>
      <c r="P380" t="str">
        <f>VLOOKUP(Продажи[[#This Row],[id клиента]],Таблица4[#All],7,FALSE)</f>
        <v>Таджикистан</v>
      </c>
    </row>
    <row r="381" spans="1:16" x14ac:dyDescent="0.25">
      <c r="A381">
        <v>380</v>
      </c>
      <c r="B381">
        <v>466</v>
      </c>
      <c r="C381">
        <v>425</v>
      </c>
      <c r="D381">
        <v>5</v>
      </c>
      <c r="E381">
        <v>2125</v>
      </c>
      <c r="F381" s="23">
        <v>45132</v>
      </c>
      <c r="G381" t="s">
        <v>21</v>
      </c>
      <c r="H381">
        <v>129</v>
      </c>
      <c r="I381" t="str">
        <f>VLOOKUP(Продажи[[#This Row],[id товара]],Товары[#All],2,FALSE)</f>
        <v>Фрукты</v>
      </c>
      <c r="J381" s="19">
        <f>AVERAGEIF(Продажи[Категория товара],Продажи[[#This Row],[Категория товара]],Продажи[цена за шт в рублях])</f>
        <v>274.16279069767444</v>
      </c>
      <c r="K381" s="20">
        <f>Продажи[[#This Row],[цена за шт в рублях]]/Продажи[[#This Row],[Средняя цена в категории за шт]]-1</f>
        <v>0.55017389091525981</v>
      </c>
      <c r="L381" t="str">
        <f>VLOOKUP(Продажи[[#This Row],[id товара]],Товары[#All],3,FALSE)</f>
        <v>Green Garden</v>
      </c>
      <c r="M3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369.2</v>
      </c>
      <c r="N381" s="23">
        <f>VLOOKUP(Продажи[[#This Row],[id клиента]],Таблица4[#All],5,FALSE)</f>
        <v>44868</v>
      </c>
      <c r="O381">
        <f>Продажи[[#This Row],[дата создания чека]]-Продажи[[#This Row],[Дата регистрации клиентов]]</f>
        <v>264</v>
      </c>
      <c r="P381" t="str">
        <f>VLOOKUP(Продажи[[#This Row],[id клиента]],Таблица4[#All],7,FALSE)</f>
        <v>Беларусь</v>
      </c>
    </row>
    <row r="382" spans="1:16" x14ac:dyDescent="0.25">
      <c r="A382">
        <v>381</v>
      </c>
      <c r="B382">
        <v>71</v>
      </c>
      <c r="C382">
        <v>125</v>
      </c>
      <c r="D382">
        <v>4</v>
      </c>
      <c r="E382">
        <v>500</v>
      </c>
      <c r="F382" s="23">
        <v>45182</v>
      </c>
      <c r="G382" t="s">
        <v>17</v>
      </c>
      <c r="H382">
        <v>19</v>
      </c>
      <c r="I382" t="str">
        <f>VLOOKUP(Продажи[[#This Row],[id товара]],Товары[#All],2,FALSE)</f>
        <v>Печенье</v>
      </c>
      <c r="J382" s="19">
        <f>AVERAGEIF(Продажи[Категория товара],Продажи[[#This Row],[Категория товара]],Продажи[цена за шт в рублях])</f>
        <v>283.468085106383</v>
      </c>
      <c r="K382" s="20">
        <f>Продажи[[#This Row],[цена за шт в рублях]]/Продажи[[#This Row],[Средняя цена в категории за шт]]-1</f>
        <v>-0.55903325076934629</v>
      </c>
      <c r="L382" t="str">
        <f>VLOOKUP(Продажи[[#This Row],[id товара]],Товары[#All],3,FALSE)</f>
        <v>Белогорье</v>
      </c>
      <c r="M3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382" s="23">
        <f>VLOOKUP(Продажи[[#This Row],[id клиента]],Таблица4[#All],5,FALSE)</f>
        <v>44902</v>
      </c>
      <c r="O382">
        <f>Продажи[[#This Row],[дата создания чека]]-Продажи[[#This Row],[Дата регистрации клиентов]]</f>
        <v>280</v>
      </c>
      <c r="P382" t="str">
        <f>VLOOKUP(Продажи[[#This Row],[id клиента]],Таблица4[#All],7,FALSE)</f>
        <v>Россия</v>
      </c>
    </row>
    <row r="383" spans="1:16" x14ac:dyDescent="0.25">
      <c r="A383">
        <v>382</v>
      </c>
      <c r="B383">
        <v>451</v>
      </c>
      <c r="C383">
        <v>227</v>
      </c>
      <c r="D383">
        <v>3</v>
      </c>
      <c r="E383">
        <v>681</v>
      </c>
      <c r="F383" s="23">
        <v>45098</v>
      </c>
      <c r="G383" t="s">
        <v>18</v>
      </c>
      <c r="H383">
        <v>304</v>
      </c>
      <c r="I383" t="str">
        <f>VLOOKUP(Продажи[[#This Row],[id товара]],Товары[#All],2,FALSE)</f>
        <v>Рис</v>
      </c>
      <c r="J383" s="19">
        <f>AVERAGEIF(Продажи[Категория товара],Продажи[[#This Row],[Категория товара]],Продажи[цена за шт в рублях])</f>
        <v>258.375</v>
      </c>
      <c r="K383" s="20">
        <f>Продажи[[#This Row],[цена за шт в рублях]]/Продажи[[#This Row],[Средняя цена в категории за шт]]-1</f>
        <v>-0.12143202709240442</v>
      </c>
      <c r="L383" t="str">
        <f>VLOOKUP(Продажи[[#This Row],[id товара]],Товары[#All],3,FALSE)</f>
        <v>Белый Злат</v>
      </c>
      <c r="M3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383" s="23">
        <f>VLOOKUP(Продажи[[#This Row],[id клиента]],Таблица4[#All],5,FALSE)</f>
        <v>44886</v>
      </c>
      <c r="O383">
        <f>Продажи[[#This Row],[дата создания чека]]-Продажи[[#This Row],[Дата регистрации клиентов]]</f>
        <v>212</v>
      </c>
      <c r="P383" t="str">
        <f>VLOOKUP(Продажи[[#This Row],[id клиента]],Таблица4[#All],7,FALSE)</f>
        <v>Россия</v>
      </c>
    </row>
    <row r="384" spans="1:16" x14ac:dyDescent="0.25">
      <c r="A384">
        <v>383</v>
      </c>
      <c r="B384">
        <v>116</v>
      </c>
      <c r="C384">
        <v>426</v>
      </c>
      <c r="D384">
        <v>5</v>
      </c>
      <c r="E384">
        <v>2130</v>
      </c>
      <c r="F384" s="23">
        <v>44993</v>
      </c>
      <c r="G384" t="s">
        <v>25</v>
      </c>
      <c r="H384">
        <v>285</v>
      </c>
      <c r="I384" t="str">
        <f>VLOOKUP(Продажи[[#This Row],[id товара]],Товары[#All],2,FALSE)</f>
        <v>Соль</v>
      </c>
      <c r="J384" s="19">
        <f>AVERAGEIF(Продажи[Категория товара],Продажи[[#This Row],[Категория товара]],Продажи[цена за шт в рублях])</f>
        <v>264.8679245283019</v>
      </c>
      <c r="K384" s="20">
        <f>Продажи[[#This Row],[цена за шт в рублях]]/Продажи[[#This Row],[Средняя цена в категории за шт]]-1</f>
        <v>0.60834876763071666</v>
      </c>
      <c r="L384" t="str">
        <f>VLOOKUP(Продажи[[#This Row],[id товара]],Товары[#All],3,FALSE)</f>
        <v>Экстра</v>
      </c>
      <c r="M3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384" s="23">
        <f>VLOOKUP(Продажи[[#This Row],[id клиента]],Таблица4[#All],5,FALSE)</f>
        <v>44922</v>
      </c>
      <c r="O384">
        <f>Продажи[[#This Row],[дата создания чека]]-Продажи[[#This Row],[Дата регистрации клиентов]]</f>
        <v>71</v>
      </c>
      <c r="P384" t="str">
        <f>VLOOKUP(Продажи[[#This Row],[id клиента]],Таблица4[#All],7,FALSE)</f>
        <v>Таджикистан</v>
      </c>
    </row>
    <row r="385" spans="1:16" x14ac:dyDescent="0.25">
      <c r="A385">
        <v>384</v>
      </c>
      <c r="B385">
        <v>480</v>
      </c>
      <c r="C385">
        <v>70</v>
      </c>
      <c r="D385">
        <v>1</v>
      </c>
      <c r="E385">
        <v>70</v>
      </c>
      <c r="F385" s="23">
        <v>44945</v>
      </c>
      <c r="G385" t="s">
        <v>10</v>
      </c>
      <c r="H385">
        <v>464</v>
      </c>
      <c r="I385" t="str">
        <f>VLOOKUP(Продажи[[#This Row],[id товара]],Товары[#All],2,FALSE)</f>
        <v>Молоко</v>
      </c>
      <c r="J385" s="19">
        <f>AVERAGEIF(Продажи[Категория товара],Продажи[[#This Row],[Категория товара]],Продажи[цена за шт в рублях])</f>
        <v>294.95238095238096</v>
      </c>
      <c r="K385" s="20">
        <f>Продажи[[#This Row],[цена за шт в рублях]]/Продажи[[#This Row],[Средняя цена в категории за шт]]-1</f>
        <v>-0.76267355505327739</v>
      </c>
      <c r="L385" t="str">
        <f>VLOOKUP(Продажи[[#This Row],[id товара]],Товары[#All],3,FALSE)</f>
        <v>Беллакт</v>
      </c>
      <c r="M3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385" s="23">
        <f>VLOOKUP(Продажи[[#This Row],[id клиента]],Таблица4[#All],5,FALSE)</f>
        <v>44827</v>
      </c>
      <c r="O385">
        <f>Продажи[[#This Row],[дата создания чека]]-Продажи[[#This Row],[Дата регистрации клиентов]]</f>
        <v>118</v>
      </c>
      <c r="P385" t="str">
        <f>VLOOKUP(Продажи[[#This Row],[id клиента]],Таблица4[#All],7,FALSE)</f>
        <v>Россия</v>
      </c>
    </row>
    <row r="386" spans="1:16" x14ac:dyDescent="0.25">
      <c r="A386">
        <v>385</v>
      </c>
      <c r="B386">
        <v>409</v>
      </c>
      <c r="C386">
        <v>386</v>
      </c>
      <c r="D386">
        <v>1</v>
      </c>
      <c r="E386">
        <v>386</v>
      </c>
      <c r="F386" s="23">
        <v>45192</v>
      </c>
      <c r="G386" t="s">
        <v>13</v>
      </c>
      <c r="H386">
        <v>461</v>
      </c>
      <c r="I386" t="str">
        <f>VLOOKUP(Продажи[[#This Row],[id товара]],Товары[#All],2,FALSE)</f>
        <v>Фрукты</v>
      </c>
      <c r="J386" s="19">
        <f>AVERAGEIF(Продажи[Категория товара],Продажи[[#This Row],[Категория товара]],Продажи[цена за шт в рублях])</f>
        <v>274.16279069767444</v>
      </c>
      <c r="K386" s="20">
        <f>Продажи[[#This Row],[цена за шт в рублях]]/Продажи[[#This Row],[Средняя цена в категории за шт]]-1</f>
        <v>0.4079226397489184</v>
      </c>
      <c r="L386" t="str">
        <f>VLOOKUP(Продажи[[#This Row],[id товара]],Товары[#All],3,FALSE)</f>
        <v>Фруктовый Рай</v>
      </c>
      <c r="M3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386" s="23">
        <f>VLOOKUP(Продажи[[#This Row],[id клиента]],Таблица4[#All],5,FALSE)</f>
        <v>44667</v>
      </c>
      <c r="O386">
        <f>Продажи[[#This Row],[дата создания чека]]-Продажи[[#This Row],[Дата регистрации клиентов]]</f>
        <v>525</v>
      </c>
      <c r="P386" t="str">
        <f>VLOOKUP(Продажи[[#This Row],[id клиента]],Таблица4[#All],7,FALSE)</f>
        <v>Узбекистан</v>
      </c>
    </row>
    <row r="387" spans="1:16" x14ac:dyDescent="0.25">
      <c r="A387">
        <v>386</v>
      </c>
      <c r="B387">
        <v>129</v>
      </c>
      <c r="C387">
        <v>235</v>
      </c>
      <c r="D387">
        <v>2</v>
      </c>
      <c r="E387">
        <v>470</v>
      </c>
      <c r="F387" s="23">
        <v>45207</v>
      </c>
      <c r="G387" t="s">
        <v>10</v>
      </c>
      <c r="H387">
        <v>149</v>
      </c>
      <c r="I387" t="str">
        <f>VLOOKUP(Продажи[[#This Row],[id товара]],Товары[#All],2,FALSE)</f>
        <v>Мясо</v>
      </c>
      <c r="J387" s="19">
        <f>AVERAGEIF(Продажи[Категория товара],Продажи[[#This Row],[Категория товара]],Продажи[цена за шт в рублях])</f>
        <v>271.74545454545455</v>
      </c>
      <c r="K387" s="20">
        <f>Продажи[[#This Row],[цена за шт в рублях]]/Продажи[[#This Row],[Средняя цена в категории за шт]]-1</f>
        <v>-0.13522012578616349</v>
      </c>
      <c r="L387" t="str">
        <f>VLOOKUP(Продажи[[#This Row],[id товара]],Товары[#All],3,FALSE)</f>
        <v>Агрокомплекс</v>
      </c>
      <c r="M3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387" s="23">
        <f>VLOOKUP(Продажи[[#This Row],[id клиента]],Таблица4[#All],5,FALSE)</f>
        <v>44882</v>
      </c>
      <c r="O387">
        <f>Продажи[[#This Row],[дата создания чека]]-Продажи[[#This Row],[Дата регистрации клиентов]]</f>
        <v>325</v>
      </c>
      <c r="P387" t="str">
        <f>VLOOKUP(Продажи[[#This Row],[id клиента]],Таблица4[#All],7,FALSE)</f>
        <v>Таджикистан</v>
      </c>
    </row>
    <row r="388" spans="1:16" x14ac:dyDescent="0.25">
      <c r="A388">
        <v>387</v>
      </c>
      <c r="B388">
        <v>283</v>
      </c>
      <c r="C388">
        <v>107</v>
      </c>
      <c r="D388">
        <v>3</v>
      </c>
      <c r="E388">
        <v>321</v>
      </c>
      <c r="F388" s="23">
        <v>45413</v>
      </c>
      <c r="G388" t="s">
        <v>18</v>
      </c>
      <c r="H388">
        <v>222</v>
      </c>
      <c r="I388" t="str">
        <f>VLOOKUP(Продажи[[#This Row],[id товара]],Товары[#All],2,FALSE)</f>
        <v>Конфеты</v>
      </c>
      <c r="J388" s="19">
        <f>AVERAGEIF(Продажи[Категория товара],Продажи[[#This Row],[Категория товара]],Продажи[цена за шт в рублях])</f>
        <v>267.85483870967744</v>
      </c>
      <c r="K388" s="20">
        <f>Продажи[[#This Row],[цена за шт в рублях]]/Продажи[[#This Row],[Средняя цена в категории за шт]]-1</f>
        <v>-0.60052989703137238</v>
      </c>
      <c r="L388" t="str">
        <f>VLOOKUP(Продажи[[#This Row],[id товара]],Товары[#All],3,FALSE)</f>
        <v>Рот Фронт</v>
      </c>
      <c r="M3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388" s="23">
        <f>VLOOKUP(Продажи[[#This Row],[id клиента]],Таблица4[#All],5,FALSE)</f>
        <v>44694</v>
      </c>
      <c r="O388">
        <f>Продажи[[#This Row],[дата создания чека]]-Продажи[[#This Row],[Дата регистрации клиентов]]</f>
        <v>719</v>
      </c>
      <c r="P388" t="str">
        <f>VLOOKUP(Продажи[[#This Row],[id клиента]],Таблица4[#All],7,FALSE)</f>
        <v>Украина</v>
      </c>
    </row>
    <row r="389" spans="1:16" x14ac:dyDescent="0.25">
      <c r="A389">
        <v>388</v>
      </c>
      <c r="B389">
        <v>36</v>
      </c>
      <c r="C389">
        <v>83</v>
      </c>
      <c r="D389">
        <v>4</v>
      </c>
      <c r="E389">
        <v>332</v>
      </c>
      <c r="F389" s="23">
        <v>45265</v>
      </c>
      <c r="G389" t="s">
        <v>13</v>
      </c>
      <c r="H389">
        <v>333</v>
      </c>
      <c r="I389" t="str">
        <f>VLOOKUP(Продажи[[#This Row],[id товара]],Товары[#All],2,FALSE)</f>
        <v>Макароны</v>
      </c>
      <c r="J389" s="19">
        <f>AVERAGEIF(Продажи[Категория товара],Продажи[[#This Row],[Категория товара]],Продажи[цена за шт в рублях])</f>
        <v>265.47674418604652</v>
      </c>
      <c r="K389" s="20">
        <f>Продажи[[#This Row],[цена за шт в рублях]]/Продажи[[#This Row],[Средняя цена в категории за шт]]-1</f>
        <v>-0.6873549121808068</v>
      </c>
      <c r="L389" t="str">
        <f>VLOOKUP(Продажи[[#This Row],[id товара]],Товары[#All],3,FALSE)</f>
        <v>Роллтон</v>
      </c>
      <c r="M3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389" s="23">
        <f>VLOOKUP(Продажи[[#This Row],[id клиента]],Таблица4[#All],5,FALSE)</f>
        <v>44857</v>
      </c>
      <c r="O389">
        <f>Продажи[[#This Row],[дата создания чека]]-Продажи[[#This Row],[Дата регистрации клиентов]]</f>
        <v>408</v>
      </c>
      <c r="P389" t="str">
        <f>VLOOKUP(Продажи[[#This Row],[id клиента]],Таблица4[#All],7,FALSE)</f>
        <v>Россия</v>
      </c>
    </row>
    <row r="390" spans="1:16" x14ac:dyDescent="0.25">
      <c r="A390">
        <v>389</v>
      </c>
      <c r="B390">
        <v>290</v>
      </c>
      <c r="C390">
        <v>50</v>
      </c>
      <c r="D390">
        <v>5</v>
      </c>
      <c r="E390">
        <v>250</v>
      </c>
      <c r="F390" s="23">
        <v>45052</v>
      </c>
      <c r="G390" t="s">
        <v>17</v>
      </c>
      <c r="H390">
        <v>495</v>
      </c>
      <c r="I390" t="str">
        <f>VLOOKUP(Продажи[[#This Row],[id товара]],Товары[#All],2,FALSE)</f>
        <v>Сахар</v>
      </c>
      <c r="J390" s="19">
        <f>AVERAGEIF(Продажи[Категория товара],Продажи[[#This Row],[Категория товара]],Продажи[цена за шт в рублях])</f>
        <v>252.76271186440678</v>
      </c>
      <c r="K390" s="20">
        <f>Продажи[[#This Row],[цена за шт в рублях]]/Продажи[[#This Row],[Средняя цена в категории за шт]]-1</f>
        <v>-0.80218601220411723</v>
      </c>
      <c r="L390" t="str">
        <f>VLOOKUP(Продажи[[#This Row],[id товара]],Товары[#All],3,FALSE)</f>
        <v>Продимекс</v>
      </c>
      <c r="M3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390" s="23">
        <f>VLOOKUP(Продажи[[#This Row],[id клиента]],Таблица4[#All],5,FALSE)</f>
        <v>44654</v>
      </c>
      <c r="O390">
        <f>Продажи[[#This Row],[дата создания чека]]-Продажи[[#This Row],[Дата регистрации клиентов]]</f>
        <v>398</v>
      </c>
      <c r="P390" t="str">
        <f>VLOOKUP(Продажи[[#This Row],[id клиента]],Таблица4[#All],7,FALSE)</f>
        <v>Узбекистан</v>
      </c>
    </row>
    <row r="391" spans="1:16" x14ac:dyDescent="0.25">
      <c r="A391">
        <v>390</v>
      </c>
      <c r="B391">
        <v>229</v>
      </c>
      <c r="C391">
        <v>269</v>
      </c>
      <c r="D391">
        <v>5</v>
      </c>
      <c r="E391">
        <v>1345</v>
      </c>
      <c r="F391" s="23">
        <v>45011</v>
      </c>
      <c r="G391" t="s">
        <v>14</v>
      </c>
      <c r="H391">
        <v>278</v>
      </c>
      <c r="I391" t="str">
        <f>VLOOKUP(Продажи[[#This Row],[id товара]],Товары[#All],2,FALSE)</f>
        <v>Мясо</v>
      </c>
      <c r="J391" s="19">
        <f>AVERAGEIF(Продажи[Категория товара],Продажи[[#This Row],[Категория товара]],Продажи[цена за шт в рублях])</f>
        <v>271.74545454545455</v>
      </c>
      <c r="K391" s="20">
        <f>Продажи[[#This Row],[цена за шт в рублях]]/Продажи[[#This Row],[Средняя цена в категории за шт]]-1</f>
        <v>-1.0103037602034015E-2</v>
      </c>
      <c r="L391" t="str">
        <f>VLOOKUP(Продажи[[#This Row],[id товара]],Товары[#All],3,FALSE)</f>
        <v>Сава</v>
      </c>
      <c r="M3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391" s="23">
        <f>VLOOKUP(Продажи[[#This Row],[id клиента]],Таблица4[#All],5,FALSE)</f>
        <v>44920</v>
      </c>
      <c r="O391">
        <f>Продажи[[#This Row],[дата создания чека]]-Продажи[[#This Row],[Дата регистрации клиентов]]</f>
        <v>91</v>
      </c>
      <c r="P391" t="str">
        <f>VLOOKUP(Продажи[[#This Row],[id клиента]],Таблица4[#All],7,FALSE)</f>
        <v>Узбекистан</v>
      </c>
    </row>
    <row r="392" spans="1:16" x14ac:dyDescent="0.25">
      <c r="A392">
        <v>391</v>
      </c>
      <c r="B392">
        <v>313</v>
      </c>
      <c r="C392">
        <v>385</v>
      </c>
      <c r="D392">
        <v>4</v>
      </c>
      <c r="E392">
        <v>1540</v>
      </c>
      <c r="F392" s="23">
        <v>44982</v>
      </c>
      <c r="G392" t="s">
        <v>18</v>
      </c>
      <c r="H392">
        <v>246</v>
      </c>
      <c r="I392" t="str">
        <f>VLOOKUP(Продажи[[#This Row],[id товара]],Товары[#All],2,FALSE)</f>
        <v>Конфеты</v>
      </c>
      <c r="J392" s="19">
        <f>AVERAGEIF(Продажи[Категория товара],Продажи[[#This Row],[Категория товара]],Продажи[цена за шт в рублях])</f>
        <v>267.85483870967744</v>
      </c>
      <c r="K392" s="20">
        <f>Продажи[[#This Row],[цена за шт в рублях]]/Продажи[[#This Row],[Средняя цена в категории за шт]]-1</f>
        <v>0.43734569759739861</v>
      </c>
      <c r="L392" t="str">
        <f>VLOOKUP(Продажи[[#This Row],[id товара]],Товары[#All],3,FALSE)</f>
        <v>Бабаевский</v>
      </c>
      <c r="M3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392" s="23">
        <f>VLOOKUP(Продажи[[#This Row],[id клиента]],Таблица4[#All],5,FALSE)</f>
        <v>44805</v>
      </c>
      <c r="O392">
        <f>Продажи[[#This Row],[дата создания чека]]-Продажи[[#This Row],[Дата регистрации клиентов]]</f>
        <v>177</v>
      </c>
      <c r="P392" t="str">
        <f>VLOOKUP(Продажи[[#This Row],[id клиента]],Таблица4[#All],7,FALSE)</f>
        <v>Узбекистан</v>
      </c>
    </row>
    <row r="393" spans="1:16" x14ac:dyDescent="0.25">
      <c r="A393">
        <v>392</v>
      </c>
      <c r="B393">
        <v>368</v>
      </c>
      <c r="C393">
        <v>64</v>
      </c>
      <c r="D393">
        <v>5</v>
      </c>
      <c r="E393">
        <v>320</v>
      </c>
      <c r="F393" s="23">
        <v>45340</v>
      </c>
      <c r="G393" t="s">
        <v>12</v>
      </c>
      <c r="H393">
        <v>480</v>
      </c>
      <c r="I393" t="str">
        <f>VLOOKUP(Продажи[[#This Row],[id товара]],Товары[#All],2,FALSE)</f>
        <v>Сыр</v>
      </c>
      <c r="J393" s="19">
        <f>AVERAGEIF(Продажи[Категория товара],Продажи[[#This Row],[Категория товара]],Продажи[цена за шт в рублях])</f>
        <v>262.63492063492066</v>
      </c>
      <c r="K393" s="20">
        <f>Продажи[[#This Row],[цена за шт в рублях]]/Продажи[[#This Row],[Средняя цена в категории за шт]]-1</f>
        <v>-0.75631572585519158</v>
      </c>
      <c r="L393" t="str">
        <f>VLOOKUP(Продажи[[#This Row],[id товара]],Товары[#All],3,FALSE)</f>
        <v>Сырная долина</v>
      </c>
      <c r="M3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393" s="23">
        <f>VLOOKUP(Продажи[[#This Row],[id клиента]],Таблица4[#All],5,FALSE)</f>
        <v>44568</v>
      </c>
      <c r="O393">
        <f>Продажи[[#This Row],[дата создания чека]]-Продажи[[#This Row],[Дата регистрации клиентов]]</f>
        <v>772</v>
      </c>
      <c r="P393" t="str">
        <f>VLOOKUP(Продажи[[#This Row],[id клиента]],Таблица4[#All],7,FALSE)</f>
        <v>Узбекистан</v>
      </c>
    </row>
    <row r="394" spans="1:16" x14ac:dyDescent="0.25">
      <c r="A394">
        <v>393</v>
      </c>
      <c r="B394">
        <v>322</v>
      </c>
      <c r="C394">
        <v>223</v>
      </c>
      <c r="D394">
        <v>2</v>
      </c>
      <c r="E394">
        <v>446</v>
      </c>
      <c r="F394" s="23">
        <v>45254</v>
      </c>
      <c r="G394" t="s">
        <v>15</v>
      </c>
      <c r="H394">
        <v>205</v>
      </c>
      <c r="I394" t="str">
        <f>VLOOKUP(Продажи[[#This Row],[id товара]],Товары[#All],2,FALSE)</f>
        <v>Крупа</v>
      </c>
      <c r="J394" s="19">
        <f>AVERAGEIF(Продажи[Категория товара],Продажи[[#This Row],[Категория товара]],Продажи[цена за шт в рублях])</f>
        <v>255.11627906976744</v>
      </c>
      <c r="K394" s="20">
        <f>Продажи[[#This Row],[цена за шт в рублях]]/Продажи[[#This Row],[Средняя цена в категории за шт]]-1</f>
        <v>-0.1258887876025524</v>
      </c>
      <c r="L394" t="str">
        <f>VLOOKUP(Продажи[[#This Row],[id товара]],Товары[#All],3,FALSE)</f>
        <v>Увелка</v>
      </c>
      <c r="M3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394" s="23">
        <f>VLOOKUP(Продажи[[#This Row],[id клиента]],Таблица4[#All],5,FALSE)</f>
        <v>44918</v>
      </c>
      <c r="O394">
        <f>Продажи[[#This Row],[дата создания чека]]-Продажи[[#This Row],[Дата регистрации клиентов]]</f>
        <v>336</v>
      </c>
      <c r="P394" t="str">
        <f>VLOOKUP(Продажи[[#This Row],[id клиента]],Таблица4[#All],7,FALSE)</f>
        <v>Россия</v>
      </c>
    </row>
    <row r="395" spans="1:16" x14ac:dyDescent="0.25">
      <c r="A395">
        <v>394</v>
      </c>
      <c r="B395">
        <v>206</v>
      </c>
      <c r="C395">
        <v>226</v>
      </c>
      <c r="D395">
        <v>2</v>
      </c>
      <c r="E395">
        <v>452</v>
      </c>
      <c r="F395" s="23">
        <v>45264</v>
      </c>
      <c r="G395" t="s">
        <v>15</v>
      </c>
      <c r="H395">
        <v>357</v>
      </c>
      <c r="I395" t="str">
        <f>VLOOKUP(Продажи[[#This Row],[id товара]],Товары[#All],2,FALSE)</f>
        <v>Молоко</v>
      </c>
      <c r="J395" s="19">
        <f>AVERAGEIF(Продажи[Категория товара],Продажи[[#This Row],[Категория товара]],Продажи[цена за шт в рублях])</f>
        <v>294.95238095238096</v>
      </c>
      <c r="K395" s="20">
        <f>Продажи[[#This Row],[цена за шт в рублях]]/Продажи[[#This Row],[Средняя цена в категории за шт]]-1</f>
        <v>-0.23377462060058118</v>
      </c>
      <c r="L395" t="str">
        <f>VLOOKUP(Продажи[[#This Row],[id товара]],Товары[#All],3,FALSE)</f>
        <v>Домик в деревне</v>
      </c>
      <c r="M3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395" s="23">
        <f>VLOOKUP(Продажи[[#This Row],[id клиента]],Таблица4[#All],5,FALSE)</f>
        <v>44913</v>
      </c>
      <c r="O395">
        <f>Продажи[[#This Row],[дата создания чека]]-Продажи[[#This Row],[Дата регистрации клиентов]]</f>
        <v>351</v>
      </c>
      <c r="P395" t="str">
        <f>VLOOKUP(Продажи[[#This Row],[id клиента]],Таблица4[#All],7,FALSE)</f>
        <v>Узбекистан</v>
      </c>
    </row>
    <row r="396" spans="1:16" x14ac:dyDescent="0.25">
      <c r="A396">
        <v>395</v>
      </c>
      <c r="B396">
        <v>18</v>
      </c>
      <c r="C396">
        <v>459</v>
      </c>
      <c r="D396">
        <v>3</v>
      </c>
      <c r="E396">
        <v>1377</v>
      </c>
      <c r="F396" s="23">
        <v>45342</v>
      </c>
      <c r="G396" t="s">
        <v>16</v>
      </c>
      <c r="H396">
        <v>152</v>
      </c>
      <c r="I396" t="str">
        <f>VLOOKUP(Продажи[[#This Row],[id товара]],Товары[#All],2,FALSE)</f>
        <v>Рыба</v>
      </c>
      <c r="J396" s="19">
        <f>AVERAGEIF(Продажи[Категория товара],Продажи[[#This Row],[Категория товара]],Продажи[цена за шт в рублях])</f>
        <v>258.5128205128205</v>
      </c>
      <c r="K396" s="20">
        <f>Продажи[[#This Row],[цена за шт в рублях]]/Продажи[[#This Row],[Средняя цена в категории за шт]]-1</f>
        <v>0.77554056734774868</v>
      </c>
      <c r="L396" t="str">
        <f>VLOOKUP(Продажи[[#This Row],[id товара]],Товары[#All],3,FALSE)</f>
        <v>Меридиан</v>
      </c>
      <c r="M3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396" s="23">
        <f>VLOOKUP(Продажи[[#This Row],[id клиента]],Таблица4[#All],5,FALSE)</f>
        <v>44791</v>
      </c>
      <c r="O396">
        <f>Продажи[[#This Row],[дата создания чека]]-Продажи[[#This Row],[Дата регистрации клиентов]]</f>
        <v>551</v>
      </c>
      <c r="P396" t="str">
        <f>VLOOKUP(Продажи[[#This Row],[id клиента]],Таблица4[#All],7,FALSE)</f>
        <v>Беларусь</v>
      </c>
    </row>
    <row r="397" spans="1:16" x14ac:dyDescent="0.25">
      <c r="A397">
        <v>396</v>
      </c>
      <c r="B397">
        <v>145</v>
      </c>
      <c r="C397">
        <v>455</v>
      </c>
      <c r="D397">
        <v>3</v>
      </c>
      <c r="E397">
        <v>1365</v>
      </c>
      <c r="F397" s="23">
        <v>45373</v>
      </c>
      <c r="G397" t="s">
        <v>22</v>
      </c>
      <c r="H397">
        <v>323</v>
      </c>
      <c r="I397" t="str">
        <f>VLOOKUP(Продажи[[#This Row],[id товара]],Товары[#All],2,FALSE)</f>
        <v>Овощи</v>
      </c>
      <c r="J397" s="19">
        <f>AVERAGEIF(Продажи[Категория товара],Продажи[[#This Row],[Категория товара]],Продажи[цена за шт в рублях])</f>
        <v>250.48780487804879</v>
      </c>
      <c r="K397" s="20">
        <f>Продажи[[#This Row],[цена за шт в рублях]]/Продажи[[#This Row],[Средняя цена в категории за шт]]-1</f>
        <v>0.81645569620253156</v>
      </c>
      <c r="L397" t="str">
        <f>VLOOKUP(Продажи[[#This Row],[id товара]],Товары[#All],3,FALSE)</f>
        <v>Семко</v>
      </c>
      <c r="M3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397" s="23">
        <f>VLOOKUP(Продажи[[#This Row],[id клиента]],Таблица4[#All],5,FALSE)</f>
        <v>44821</v>
      </c>
      <c r="O397">
        <f>Продажи[[#This Row],[дата создания чека]]-Продажи[[#This Row],[Дата регистрации клиентов]]</f>
        <v>552</v>
      </c>
      <c r="P397" t="str">
        <f>VLOOKUP(Продажи[[#This Row],[id клиента]],Таблица4[#All],7,FALSE)</f>
        <v>Таджикистан</v>
      </c>
    </row>
    <row r="398" spans="1:16" x14ac:dyDescent="0.25">
      <c r="A398">
        <v>397</v>
      </c>
      <c r="B398">
        <v>491</v>
      </c>
      <c r="C398">
        <v>193</v>
      </c>
      <c r="D398">
        <v>1</v>
      </c>
      <c r="E398">
        <v>193</v>
      </c>
      <c r="F398" s="23">
        <v>45332</v>
      </c>
      <c r="G398" t="s">
        <v>14</v>
      </c>
      <c r="H398">
        <v>185</v>
      </c>
      <c r="I398" t="str">
        <f>VLOOKUP(Продажи[[#This Row],[id товара]],Товары[#All],2,FALSE)</f>
        <v>Овощи</v>
      </c>
      <c r="J398" s="19">
        <f>AVERAGEIF(Продажи[Категория товара],Продажи[[#This Row],[Категория товара]],Продажи[цена за шт в рублях])</f>
        <v>250.48780487804879</v>
      </c>
      <c r="K398" s="20">
        <f>Продажи[[#This Row],[цена за шт в рублях]]/Продажи[[#This Row],[Средняя цена в категории за шт]]-1</f>
        <v>-0.2295034079844207</v>
      </c>
      <c r="L398" t="str">
        <f>VLOOKUP(Продажи[[#This Row],[id товара]],Товары[#All],3,FALSE)</f>
        <v>Зеленая грядка</v>
      </c>
      <c r="M3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159.19999999999999</v>
      </c>
      <c r="N398" s="23">
        <f>VLOOKUP(Продажи[[#This Row],[id клиента]],Таблица4[#All],5,FALSE)</f>
        <v>44683</v>
      </c>
      <c r="O398">
        <f>Продажи[[#This Row],[дата создания чека]]-Продажи[[#This Row],[Дата регистрации клиентов]]</f>
        <v>649</v>
      </c>
      <c r="P398" t="str">
        <f>VLOOKUP(Продажи[[#This Row],[id клиента]],Таблица4[#All],7,FALSE)</f>
        <v>Узбекистан</v>
      </c>
    </row>
    <row r="399" spans="1:16" x14ac:dyDescent="0.25">
      <c r="A399">
        <v>398</v>
      </c>
      <c r="B399">
        <v>258</v>
      </c>
      <c r="C399">
        <v>113</v>
      </c>
      <c r="D399">
        <v>1</v>
      </c>
      <c r="E399">
        <v>113</v>
      </c>
      <c r="F399" s="23">
        <v>45289</v>
      </c>
      <c r="G399" t="s">
        <v>24</v>
      </c>
      <c r="H399">
        <v>314</v>
      </c>
      <c r="I399" t="str">
        <f>VLOOKUP(Продажи[[#This Row],[id товара]],Товары[#All],2,FALSE)</f>
        <v>Рыба</v>
      </c>
      <c r="J399" s="19">
        <f>AVERAGEIF(Продажи[Категория товара],Продажи[[#This Row],[Категория товара]],Продажи[цена за шт в рублях])</f>
        <v>258.5128205128205</v>
      </c>
      <c r="K399" s="20">
        <f>Продажи[[#This Row],[цена за шт в рублях]]/Продажи[[#This Row],[Средняя цена в категории за шт]]-1</f>
        <v>-0.56288434834358259</v>
      </c>
      <c r="L399" t="str">
        <f>VLOOKUP(Продажи[[#This Row],[id товара]],Товары[#All],3,FALSE)</f>
        <v>Санта Бремор</v>
      </c>
      <c r="M3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399" s="23">
        <f>VLOOKUP(Продажи[[#This Row],[id клиента]],Таблица4[#All],5,FALSE)</f>
        <v>44899</v>
      </c>
      <c r="O399">
        <f>Продажи[[#This Row],[дата создания чека]]-Продажи[[#This Row],[Дата регистрации клиентов]]</f>
        <v>390</v>
      </c>
      <c r="P399" t="str">
        <f>VLOOKUP(Продажи[[#This Row],[id клиента]],Таблица4[#All],7,FALSE)</f>
        <v>Россия</v>
      </c>
    </row>
    <row r="400" spans="1:16" x14ac:dyDescent="0.25">
      <c r="A400">
        <v>399</v>
      </c>
      <c r="B400">
        <v>29</v>
      </c>
      <c r="C400">
        <v>91</v>
      </c>
      <c r="D400">
        <v>5</v>
      </c>
      <c r="E400">
        <v>455</v>
      </c>
      <c r="F400" s="23">
        <v>45375</v>
      </c>
      <c r="G400" t="s">
        <v>8</v>
      </c>
      <c r="H400">
        <v>476</v>
      </c>
      <c r="I400" t="str">
        <f>VLOOKUP(Продажи[[#This Row],[id товара]],Товары[#All],2,FALSE)</f>
        <v>Соль</v>
      </c>
      <c r="J400" s="19">
        <f>AVERAGEIF(Продажи[Категория товара],Продажи[[#This Row],[Категория товара]],Продажи[цена за шт в рублях])</f>
        <v>264.8679245283019</v>
      </c>
      <c r="K400" s="20">
        <f>Продажи[[#This Row],[цена за шт в рублях]]/Продажи[[#This Row],[Средняя цена в категории за шт]]-1</f>
        <v>-0.65643254024789854</v>
      </c>
      <c r="L400" t="str">
        <f>VLOOKUP(Продажи[[#This Row],[id товара]],Товары[#All],3,FALSE)</f>
        <v>Илецкая</v>
      </c>
      <c r="M4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400" s="23">
        <f>VLOOKUP(Продажи[[#This Row],[id клиента]],Таблица4[#All],5,FALSE)</f>
        <v>44703</v>
      </c>
      <c r="O400">
        <f>Продажи[[#This Row],[дата создания чека]]-Продажи[[#This Row],[Дата регистрации клиентов]]</f>
        <v>672</v>
      </c>
      <c r="P400" t="str">
        <f>VLOOKUP(Продажи[[#This Row],[id клиента]],Таблица4[#All],7,FALSE)</f>
        <v>Украина</v>
      </c>
    </row>
    <row r="401" spans="1:16" x14ac:dyDescent="0.25">
      <c r="A401">
        <v>400</v>
      </c>
      <c r="B401">
        <v>321</v>
      </c>
      <c r="C401">
        <v>61</v>
      </c>
      <c r="D401">
        <v>5</v>
      </c>
      <c r="E401">
        <v>305</v>
      </c>
      <c r="F401" s="23">
        <v>45104</v>
      </c>
      <c r="G401" t="s">
        <v>20</v>
      </c>
      <c r="H401">
        <v>375</v>
      </c>
      <c r="I401" t="str">
        <f>VLOOKUP(Продажи[[#This Row],[id товара]],Товары[#All],2,FALSE)</f>
        <v>Мясо</v>
      </c>
      <c r="J401" s="19">
        <f>AVERAGEIF(Продажи[Категория товара],Продажи[[#This Row],[Категория товара]],Продажи[цена за шт в рублях])</f>
        <v>271.74545454545455</v>
      </c>
      <c r="K401" s="20">
        <f>Продажи[[#This Row],[цена за шт в рублях]]/Продажи[[#This Row],[Средняя цена в категории за шт]]-1</f>
        <v>-0.77552522414023817</v>
      </c>
      <c r="L401" t="str">
        <f>VLOOKUP(Продажи[[#This Row],[id товара]],Товары[#All],3,FALSE)</f>
        <v>Сава</v>
      </c>
      <c r="M4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401" s="23">
        <f>VLOOKUP(Продажи[[#This Row],[id клиента]],Таблица4[#All],5,FALSE)</f>
        <v>44674</v>
      </c>
      <c r="O401">
        <f>Продажи[[#This Row],[дата создания чека]]-Продажи[[#This Row],[Дата регистрации клиентов]]</f>
        <v>430</v>
      </c>
      <c r="P401" t="str">
        <f>VLOOKUP(Продажи[[#This Row],[id клиента]],Таблица4[#All],7,FALSE)</f>
        <v>Россия</v>
      </c>
    </row>
    <row r="402" spans="1:16" x14ac:dyDescent="0.25">
      <c r="A402">
        <v>401</v>
      </c>
      <c r="B402">
        <v>50</v>
      </c>
      <c r="C402">
        <v>95</v>
      </c>
      <c r="D402">
        <v>4</v>
      </c>
      <c r="E402">
        <v>380</v>
      </c>
      <c r="F402" s="23">
        <v>45069</v>
      </c>
      <c r="G402" t="s">
        <v>20</v>
      </c>
      <c r="H402">
        <v>376</v>
      </c>
      <c r="I402" t="str">
        <f>VLOOKUP(Продажи[[#This Row],[id товара]],Товары[#All],2,FALSE)</f>
        <v>Сок</v>
      </c>
      <c r="J402" s="19">
        <f>AVERAGEIF(Продажи[Категория товара],Продажи[[#This Row],[Категория товара]],Продажи[цена за шт в рублях])</f>
        <v>268.60344827586209</v>
      </c>
      <c r="K402" s="20">
        <f>Продажи[[#This Row],[цена за шт в рублях]]/Продажи[[#This Row],[Средняя цена в категории за шт]]-1</f>
        <v>-0.64631876243661335</v>
      </c>
      <c r="L402" t="str">
        <f>VLOOKUP(Продажи[[#This Row],[id товара]],Товары[#All],3,FALSE)</f>
        <v>Добрый</v>
      </c>
      <c r="M4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402" s="23">
        <f>VLOOKUP(Продажи[[#This Row],[id клиента]],Таблица4[#All],5,FALSE)</f>
        <v>44730</v>
      </c>
      <c r="O402">
        <f>Продажи[[#This Row],[дата создания чека]]-Продажи[[#This Row],[Дата регистрации клиентов]]</f>
        <v>339</v>
      </c>
      <c r="P402" t="str">
        <f>VLOOKUP(Продажи[[#This Row],[id клиента]],Таблица4[#All],7,FALSE)</f>
        <v>Беларусь</v>
      </c>
    </row>
    <row r="403" spans="1:16" x14ac:dyDescent="0.25">
      <c r="A403">
        <v>402</v>
      </c>
      <c r="B403">
        <v>495</v>
      </c>
      <c r="C403">
        <v>469</v>
      </c>
      <c r="D403">
        <v>2</v>
      </c>
      <c r="E403">
        <v>938</v>
      </c>
      <c r="F403" s="23">
        <v>45368</v>
      </c>
      <c r="G403" t="s">
        <v>24</v>
      </c>
      <c r="H403">
        <v>233</v>
      </c>
      <c r="I403" t="str">
        <f>VLOOKUP(Продажи[[#This Row],[id товара]],Товары[#All],2,FALSE)</f>
        <v>Чай</v>
      </c>
      <c r="J403" s="19">
        <f>AVERAGEIF(Продажи[Категория товара],Продажи[[#This Row],[Категория товара]],Продажи[цена за шт в рублях])</f>
        <v>271.18181818181819</v>
      </c>
      <c r="K403" s="20">
        <f>Продажи[[#This Row],[цена за шт в рублях]]/Продажи[[#This Row],[Средняя цена в категории за шт]]-1</f>
        <v>0.72946697955078776</v>
      </c>
      <c r="L403" t="str">
        <f>VLOOKUP(Продажи[[#This Row],[id товара]],Товары[#All],3,FALSE)</f>
        <v>Greenfield</v>
      </c>
      <c r="M4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03" s="23">
        <f>VLOOKUP(Продажи[[#This Row],[id клиента]],Таблица4[#All],5,FALSE)</f>
        <v>44616</v>
      </c>
      <c r="O403">
        <f>Продажи[[#This Row],[дата создания чека]]-Продажи[[#This Row],[Дата регистрации клиентов]]</f>
        <v>752</v>
      </c>
      <c r="P403" t="str">
        <f>VLOOKUP(Продажи[[#This Row],[id клиента]],Таблица4[#All],7,FALSE)</f>
        <v>Таджикистан</v>
      </c>
    </row>
    <row r="404" spans="1:16" x14ac:dyDescent="0.25">
      <c r="A404">
        <v>403</v>
      </c>
      <c r="B404">
        <v>207</v>
      </c>
      <c r="C404">
        <v>237</v>
      </c>
      <c r="D404">
        <v>2</v>
      </c>
      <c r="E404">
        <v>474</v>
      </c>
      <c r="F404" s="23">
        <v>45081</v>
      </c>
      <c r="G404" t="s">
        <v>11</v>
      </c>
      <c r="H404">
        <v>69</v>
      </c>
      <c r="I404" t="str">
        <f>VLOOKUP(Продажи[[#This Row],[id товара]],Товары[#All],2,FALSE)</f>
        <v>Сахар</v>
      </c>
      <c r="J404" s="19">
        <f>AVERAGEIF(Продажи[Категория товара],Продажи[[#This Row],[Категория товара]],Продажи[цена за шт в рублях])</f>
        <v>252.76271186440678</v>
      </c>
      <c r="K404" s="20">
        <f>Продажи[[#This Row],[цена за шт в рублях]]/Продажи[[#This Row],[Средняя цена в категории за шт]]-1</f>
        <v>-6.2361697847515551E-2</v>
      </c>
      <c r="L404" t="str">
        <f>VLOOKUP(Продажи[[#This Row],[id товара]],Товары[#All],3,FALSE)</f>
        <v>Агросахар</v>
      </c>
      <c r="M4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404" s="23">
        <f>VLOOKUP(Продажи[[#This Row],[id клиента]],Таблица4[#All],5,FALSE)</f>
        <v>44587</v>
      </c>
      <c r="O404">
        <f>Продажи[[#This Row],[дата создания чека]]-Продажи[[#This Row],[Дата регистрации клиентов]]</f>
        <v>494</v>
      </c>
      <c r="P404" t="str">
        <f>VLOOKUP(Продажи[[#This Row],[id клиента]],Таблица4[#All],7,FALSE)</f>
        <v>Таджикистан</v>
      </c>
    </row>
    <row r="405" spans="1:16" x14ac:dyDescent="0.25">
      <c r="A405">
        <v>404</v>
      </c>
      <c r="B405">
        <v>145</v>
      </c>
      <c r="C405">
        <v>356</v>
      </c>
      <c r="D405">
        <v>3</v>
      </c>
      <c r="E405">
        <v>1068</v>
      </c>
      <c r="F405" s="23">
        <v>44928</v>
      </c>
      <c r="G405" t="s">
        <v>8</v>
      </c>
      <c r="H405">
        <v>254</v>
      </c>
      <c r="I405" t="str">
        <f>VLOOKUP(Продажи[[#This Row],[id товара]],Товары[#All],2,FALSE)</f>
        <v>Овощи</v>
      </c>
      <c r="J405" s="19">
        <f>AVERAGEIF(Продажи[Категория товара],Продажи[[#This Row],[Категория товара]],Продажи[цена за шт в рублях])</f>
        <v>250.48780487804879</v>
      </c>
      <c r="K405" s="20">
        <f>Продажи[[#This Row],[цена за шт в рублях]]/Продажи[[#This Row],[Средняя цена в категории за шт]]-1</f>
        <v>0.42122687439143136</v>
      </c>
      <c r="L405" t="str">
        <f>VLOOKUP(Продажи[[#This Row],[id товара]],Товары[#All],3,FALSE)</f>
        <v>Семко</v>
      </c>
      <c r="M4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405" s="23">
        <f>VLOOKUP(Продажи[[#This Row],[id клиента]],Таблица4[#All],5,FALSE)</f>
        <v>44862</v>
      </c>
      <c r="O405">
        <f>Продажи[[#This Row],[дата создания чека]]-Продажи[[#This Row],[Дата регистрации клиентов]]</f>
        <v>66</v>
      </c>
      <c r="P405" t="str">
        <f>VLOOKUP(Продажи[[#This Row],[id клиента]],Таблица4[#All],7,FALSE)</f>
        <v>Беларусь</v>
      </c>
    </row>
    <row r="406" spans="1:16" x14ac:dyDescent="0.25">
      <c r="A406">
        <v>405</v>
      </c>
      <c r="B406">
        <v>249</v>
      </c>
      <c r="C406">
        <v>275</v>
      </c>
      <c r="D406">
        <v>3</v>
      </c>
      <c r="E406">
        <v>825</v>
      </c>
      <c r="F406" s="23">
        <v>45039</v>
      </c>
      <c r="G406" t="s">
        <v>23</v>
      </c>
      <c r="H406">
        <v>219</v>
      </c>
      <c r="I406" t="str">
        <f>VLOOKUP(Продажи[[#This Row],[id товара]],Товары[#All],2,FALSE)</f>
        <v>Чай</v>
      </c>
      <c r="J406" s="19">
        <f>AVERAGEIF(Продажи[Категория товара],Продажи[[#This Row],[Категория товара]],Продажи[цена за шт в рублях])</f>
        <v>271.18181818181819</v>
      </c>
      <c r="K406" s="20">
        <f>Продажи[[#This Row],[цена за шт в рублях]]/Продажи[[#This Row],[Средняя цена в категории за шт]]-1</f>
        <v>1.4079785450888282E-2</v>
      </c>
      <c r="L406" t="str">
        <f>VLOOKUP(Продажи[[#This Row],[id товара]],Товары[#All],3,FALSE)</f>
        <v>Lipton</v>
      </c>
      <c r="M4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406" s="23">
        <f>VLOOKUP(Продажи[[#This Row],[id клиента]],Таблица4[#All],5,FALSE)</f>
        <v>44585</v>
      </c>
      <c r="O406">
        <f>Продажи[[#This Row],[дата создания чека]]-Продажи[[#This Row],[Дата регистрации клиентов]]</f>
        <v>454</v>
      </c>
      <c r="P406" t="str">
        <f>VLOOKUP(Продажи[[#This Row],[id клиента]],Таблица4[#All],7,FALSE)</f>
        <v>Таджикистан</v>
      </c>
    </row>
    <row r="407" spans="1:16" x14ac:dyDescent="0.25">
      <c r="A407">
        <v>406</v>
      </c>
      <c r="B407">
        <v>377</v>
      </c>
      <c r="C407">
        <v>129</v>
      </c>
      <c r="D407">
        <v>1</v>
      </c>
      <c r="E407">
        <v>129</v>
      </c>
      <c r="F407" s="23">
        <v>45231</v>
      </c>
      <c r="G407" t="s">
        <v>12</v>
      </c>
      <c r="H407">
        <v>456</v>
      </c>
      <c r="I407" t="str">
        <f>VLOOKUP(Продажи[[#This Row],[id товара]],Товары[#All],2,FALSE)</f>
        <v>Колбаса</v>
      </c>
      <c r="J407" s="19">
        <f>AVERAGEIF(Продажи[Категория товара],Продажи[[#This Row],[Категория товара]],Продажи[цена за шт в рублях])</f>
        <v>286.92307692307691</v>
      </c>
      <c r="K407" s="20">
        <f>Продажи[[#This Row],[цена за шт в рублях]]/Продажи[[#This Row],[Средняя цена в категории за шт]]-1</f>
        <v>-0.55040214477211791</v>
      </c>
      <c r="L407" t="str">
        <f>VLOOKUP(Продажи[[#This Row],[id товара]],Товары[#All],3,FALSE)</f>
        <v>Окраина</v>
      </c>
      <c r="M4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407" s="23">
        <f>VLOOKUP(Продажи[[#This Row],[id клиента]],Таблица4[#All],5,FALSE)</f>
        <v>44618</v>
      </c>
      <c r="O407">
        <f>Продажи[[#This Row],[дата создания чека]]-Продажи[[#This Row],[Дата регистрации клиентов]]</f>
        <v>613</v>
      </c>
      <c r="P407" t="str">
        <f>VLOOKUP(Продажи[[#This Row],[id клиента]],Таблица4[#All],7,FALSE)</f>
        <v>Россия</v>
      </c>
    </row>
    <row r="408" spans="1:16" x14ac:dyDescent="0.25">
      <c r="A408">
        <v>407</v>
      </c>
      <c r="B408">
        <v>427</v>
      </c>
      <c r="C408">
        <v>499</v>
      </c>
      <c r="D408">
        <v>4</v>
      </c>
      <c r="E408">
        <v>1996</v>
      </c>
      <c r="F408" s="23">
        <v>45368</v>
      </c>
      <c r="G408" t="s">
        <v>23</v>
      </c>
      <c r="H408">
        <v>283</v>
      </c>
      <c r="I408" t="str">
        <f>VLOOKUP(Продажи[[#This Row],[id товара]],Товары[#All],2,FALSE)</f>
        <v>Хлеб</v>
      </c>
      <c r="J408" s="19">
        <f>AVERAGEIF(Продажи[Категория товара],Продажи[[#This Row],[Категория товара]],Продажи[цена за шт в рублях])</f>
        <v>300.31818181818181</v>
      </c>
      <c r="K408" s="20">
        <f>Продажи[[#This Row],[цена за шт в рублях]]/Продажи[[#This Row],[Средняя цена в категории за шт]]-1</f>
        <v>0.66157106099591356</v>
      </c>
      <c r="L408" t="str">
        <f>VLOOKUP(Продажи[[#This Row],[id товара]],Товары[#All],3,FALSE)</f>
        <v>Русский Хлеб</v>
      </c>
      <c r="M4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408" s="23">
        <f>VLOOKUP(Продажи[[#This Row],[id клиента]],Таблица4[#All],5,FALSE)</f>
        <v>44889</v>
      </c>
      <c r="O408">
        <f>Продажи[[#This Row],[дата создания чека]]-Продажи[[#This Row],[Дата регистрации клиентов]]</f>
        <v>479</v>
      </c>
      <c r="P408" t="str">
        <f>VLOOKUP(Продажи[[#This Row],[id клиента]],Таблица4[#All],7,FALSE)</f>
        <v>Таджикистан</v>
      </c>
    </row>
    <row r="409" spans="1:16" x14ac:dyDescent="0.25">
      <c r="A409">
        <v>408</v>
      </c>
      <c r="B409">
        <v>445</v>
      </c>
      <c r="C409">
        <v>164</v>
      </c>
      <c r="D409">
        <v>2</v>
      </c>
      <c r="E409">
        <v>328</v>
      </c>
      <c r="F409" s="23">
        <v>45258</v>
      </c>
      <c r="G409" t="s">
        <v>15</v>
      </c>
      <c r="H409">
        <v>232</v>
      </c>
      <c r="I409" t="str">
        <f>VLOOKUP(Продажи[[#This Row],[id товара]],Товары[#All],2,FALSE)</f>
        <v>Сахар</v>
      </c>
      <c r="J409" s="19">
        <f>AVERAGEIF(Продажи[Категория товара],Продажи[[#This Row],[Категория товара]],Продажи[цена за шт в рублях])</f>
        <v>252.76271186440678</v>
      </c>
      <c r="K409" s="20">
        <f>Продажи[[#This Row],[цена за шт в рублях]]/Продажи[[#This Row],[Средняя цена в категории за шт]]-1</f>
        <v>-0.35117012002950443</v>
      </c>
      <c r="L409" t="str">
        <f>VLOOKUP(Продажи[[#This Row],[id товара]],Товары[#All],3,FALSE)</f>
        <v>Сладов</v>
      </c>
      <c r="M4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409" s="23">
        <f>VLOOKUP(Продажи[[#This Row],[id клиента]],Таблица4[#All],5,FALSE)</f>
        <v>44923</v>
      </c>
      <c r="O409">
        <f>Продажи[[#This Row],[дата создания чека]]-Продажи[[#This Row],[Дата регистрации клиентов]]</f>
        <v>335</v>
      </c>
      <c r="P409" t="str">
        <f>VLOOKUP(Продажи[[#This Row],[id клиента]],Таблица4[#All],7,FALSE)</f>
        <v>Таджикистан</v>
      </c>
    </row>
    <row r="410" spans="1:16" x14ac:dyDescent="0.25">
      <c r="A410">
        <v>409</v>
      </c>
      <c r="B410">
        <v>336</v>
      </c>
      <c r="C410">
        <v>265</v>
      </c>
      <c r="D410">
        <v>3</v>
      </c>
      <c r="E410">
        <v>795</v>
      </c>
      <c r="F410" s="23">
        <v>45124</v>
      </c>
      <c r="G410" t="s">
        <v>9</v>
      </c>
      <c r="H410">
        <v>434</v>
      </c>
      <c r="I410" t="str">
        <f>VLOOKUP(Продажи[[#This Row],[id товара]],Товары[#All],2,FALSE)</f>
        <v>Чипсы</v>
      </c>
      <c r="J410" s="19">
        <f>AVERAGEIF(Продажи[Категория товара],Продажи[[#This Row],[Категория товара]],Продажи[цена за шт в рублях])</f>
        <v>273.72549019607845</v>
      </c>
      <c r="K410" s="20">
        <f>Продажи[[#This Row],[цена за шт в рублях]]/Продажи[[#This Row],[Средняя цена в категории за шт]]-1</f>
        <v>-3.1876790830945634E-2</v>
      </c>
      <c r="L410" t="str">
        <f>VLOOKUP(Продажи[[#This Row],[id товара]],Товары[#All],3,FALSE)</f>
        <v>Estrella</v>
      </c>
      <c r="M4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410" s="23">
        <f>VLOOKUP(Продажи[[#This Row],[id клиента]],Таблица4[#All],5,FALSE)</f>
        <v>44730</v>
      </c>
      <c r="O410">
        <f>Продажи[[#This Row],[дата создания чека]]-Продажи[[#This Row],[Дата регистрации клиентов]]</f>
        <v>394</v>
      </c>
      <c r="P410" t="str">
        <f>VLOOKUP(Продажи[[#This Row],[id клиента]],Таблица4[#All],7,FALSE)</f>
        <v>Украина</v>
      </c>
    </row>
    <row r="411" spans="1:16" x14ac:dyDescent="0.25">
      <c r="A411">
        <v>410</v>
      </c>
      <c r="B411">
        <v>96</v>
      </c>
      <c r="C411">
        <v>386</v>
      </c>
      <c r="D411">
        <v>4</v>
      </c>
      <c r="E411">
        <v>1544</v>
      </c>
      <c r="F411" s="23">
        <v>45145</v>
      </c>
      <c r="G411" t="s">
        <v>17</v>
      </c>
      <c r="H411">
        <v>252</v>
      </c>
      <c r="I411" t="str">
        <f>VLOOKUP(Продажи[[#This Row],[id товара]],Товары[#All],2,FALSE)</f>
        <v>Соль</v>
      </c>
      <c r="J411" s="19">
        <f>AVERAGEIF(Продажи[Категория товара],Продажи[[#This Row],[Категория товара]],Продажи[цена за шт в рублях])</f>
        <v>264.8679245283019</v>
      </c>
      <c r="K411" s="20">
        <f>Продажи[[#This Row],[цена за шт в рублях]]/Продажи[[#This Row],[Средняя цена в категории за шт]]-1</f>
        <v>0.45733010400341922</v>
      </c>
      <c r="L411" t="str">
        <f>VLOOKUP(Продажи[[#This Row],[id товара]],Товары[#All],3,FALSE)</f>
        <v>Салта</v>
      </c>
      <c r="M4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411" s="23">
        <f>VLOOKUP(Продажи[[#This Row],[id клиента]],Таблица4[#All],5,FALSE)</f>
        <v>44643</v>
      </c>
      <c r="O411">
        <f>Продажи[[#This Row],[дата создания чека]]-Продажи[[#This Row],[Дата регистрации клиентов]]</f>
        <v>502</v>
      </c>
      <c r="P411" t="str">
        <f>VLOOKUP(Продажи[[#This Row],[id клиента]],Таблица4[#All],7,FALSE)</f>
        <v>Россия</v>
      </c>
    </row>
    <row r="412" spans="1:16" x14ac:dyDescent="0.25">
      <c r="A412">
        <v>411</v>
      </c>
      <c r="B412">
        <v>117</v>
      </c>
      <c r="C412">
        <v>288</v>
      </c>
      <c r="D412">
        <v>5</v>
      </c>
      <c r="E412">
        <v>1440</v>
      </c>
      <c r="F412" s="23">
        <v>45348</v>
      </c>
      <c r="G412" t="s">
        <v>19</v>
      </c>
      <c r="H412">
        <v>372</v>
      </c>
      <c r="I412" t="str">
        <f>VLOOKUP(Продажи[[#This Row],[id товара]],Товары[#All],2,FALSE)</f>
        <v>Макароны</v>
      </c>
      <c r="J412" s="19">
        <f>AVERAGEIF(Продажи[Категория товара],Продажи[[#This Row],[Категория товара]],Продажи[цена за шт в рублях])</f>
        <v>265.47674418604652</v>
      </c>
      <c r="K412" s="20">
        <f>Продажи[[#This Row],[цена за шт в рублях]]/Продажи[[#This Row],[Средняя цена в категории за шт]]-1</f>
        <v>8.4840786649730715E-2</v>
      </c>
      <c r="L412" t="str">
        <f>VLOOKUP(Продажи[[#This Row],[id товара]],Товары[#All],3,FALSE)</f>
        <v>Роллтон</v>
      </c>
      <c r="M4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412" s="23">
        <f>VLOOKUP(Продажи[[#This Row],[id клиента]],Таблица4[#All],5,FALSE)</f>
        <v>44772</v>
      </c>
      <c r="O412">
        <f>Продажи[[#This Row],[дата создания чека]]-Продажи[[#This Row],[Дата регистрации клиентов]]</f>
        <v>576</v>
      </c>
      <c r="P412" t="str">
        <f>VLOOKUP(Продажи[[#This Row],[id клиента]],Таблица4[#All],7,FALSE)</f>
        <v>Таджикистан</v>
      </c>
    </row>
    <row r="413" spans="1:16" x14ac:dyDescent="0.25">
      <c r="A413">
        <v>412</v>
      </c>
      <c r="B413">
        <v>440</v>
      </c>
      <c r="C413">
        <v>201</v>
      </c>
      <c r="D413">
        <v>5</v>
      </c>
      <c r="E413">
        <v>1005</v>
      </c>
      <c r="F413" s="23">
        <v>45233</v>
      </c>
      <c r="G413" t="s">
        <v>22</v>
      </c>
      <c r="H413">
        <v>432</v>
      </c>
      <c r="I413" t="str">
        <f>VLOOKUP(Продажи[[#This Row],[id товара]],Товары[#All],2,FALSE)</f>
        <v>Фрукты</v>
      </c>
      <c r="J413" s="19">
        <f>AVERAGEIF(Продажи[Категория товара],Продажи[[#This Row],[Категория товара]],Продажи[цена за шт в рублях])</f>
        <v>274.16279069767444</v>
      </c>
      <c r="K413" s="20">
        <f>Продажи[[#This Row],[цена за шт в рублях]]/Продажи[[#This Row],[Средняя цена в категории за шт]]-1</f>
        <v>-0.26685893629654767</v>
      </c>
      <c r="L413" t="str">
        <f>VLOOKUP(Продажи[[#This Row],[id товара]],Товары[#All],3,FALSE)</f>
        <v>Фруктовый Рай</v>
      </c>
      <c r="M4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413" s="23">
        <f>VLOOKUP(Продажи[[#This Row],[id клиента]],Таблица4[#All],5,FALSE)</f>
        <v>44718</v>
      </c>
      <c r="O413">
        <f>Продажи[[#This Row],[дата создания чека]]-Продажи[[#This Row],[Дата регистрации клиентов]]</f>
        <v>515</v>
      </c>
      <c r="P413" t="str">
        <f>VLOOKUP(Продажи[[#This Row],[id клиента]],Таблица4[#All],7,FALSE)</f>
        <v>Таджикистан</v>
      </c>
    </row>
    <row r="414" spans="1:16" x14ac:dyDescent="0.25">
      <c r="A414">
        <v>413</v>
      </c>
      <c r="B414">
        <v>51</v>
      </c>
      <c r="C414">
        <v>271</v>
      </c>
      <c r="D414">
        <v>4</v>
      </c>
      <c r="E414">
        <v>1084</v>
      </c>
      <c r="F414" s="23">
        <v>45205</v>
      </c>
      <c r="G414" t="s">
        <v>15</v>
      </c>
      <c r="H414">
        <v>221</v>
      </c>
      <c r="I414" t="str">
        <f>VLOOKUP(Продажи[[#This Row],[id товара]],Товары[#All],2,FALSE)</f>
        <v>Колбаса</v>
      </c>
      <c r="J414" s="19">
        <f>AVERAGEIF(Продажи[Категория товара],Продажи[[#This Row],[Категория товара]],Продажи[цена за шт в рублях])</f>
        <v>286.92307692307691</v>
      </c>
      <c r="K414" s="20">
        <f>Продажи[[#This Row],[цена за шт в рублях]]/Продажи[[#This Row],[Средняя цена в категории за шт]]-1</f>
        <v>-5.5495978552278724E-2</v>
      </c>
      <c r="L414" t="str">
        <f>VLOOKUP(Продажи[[#This Row],[id товара]],Товары[#All],3,FALSE)</f>
        <v>Дымов</v>
      </c>
      <c r="M4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414" s="23">
        <f>VLOOKUP(Продажи[[#This Row],[id клиента]],Таблица4[#All],5,FALSE)</f>
        <v>44820</v>
      </c>
      <c r="O414">
        <f>Продажи[[#This Row],[дата создания чека]]-Продажи[[#This Row],[Дата регистрации клиентов]]</f>
        <v>385</v>
      </c>
      <c r="P414" t="str">
        <f>VLOOKUP(Продажи[[#This Row],[id клиента]],Таблица4[#All],7,FALSE)</f>
        <v>Таджикистан</v>
      </c>
    </row>
    <row r="415" spans="1:16" x14ac:dyDescent="0.25">
      <c r="A415">
        <v>414</v>
      </c>
      <c r="B415">
        <v>398</v>
      </c>
      <c r="C415">
        <v>419</v>
      </c>
      <c r="D415">
        <v>2</v>
      </c>
      <c r="E415">
        <v>838</v>
      </c>
      <c r="F415" s="23">
        <v>45335</v>
      </c>
      <c r="G415" t="s">
        <v>24</v>
      </c>
      <c r="H415">
        <v>164</v>
      </c>
      <c r="I415" t="str">
        <f>VLOOKUP(Продажи[[#This Row],[id товара]],Товары[#All],2,FALSE)</f>
        <v>Сок</v>
      </c>
      <c r="J415" s="19">
        <f>AVERAGEIF(Продажи[Категория товара],Продажи[[#This Row],[Категория товара]],Продажи[цена за шт в рублях])</f>
        <v>268.60344827586209</v>
      </c>
      <c r="K415" s="20">
        <f>Продажи[[#This Row],[цена за шт в рублях]]/Продажи[[#This Row],[Средняя цена в категории за шт]]-1</f>
        <v>0.55992040567430501</v>
      </c>
      <c r="L415" t="str">
        <f>VLOOKUP(Продажи[[#This Row],[id товара]],Товары[#All],3,FALSE)</f>
        <v>Фруктовый сад</v>
      </c>
      <c r="M4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415" s="23">
        <f>VLOOKUP(Продажи[[#This Row],[id клиента]],Таблица4[#All],5,FALSE)</f>
        <v>44678</v>
      </c>
      <c r="O415">
        <f>Продажи[[#This Row],[дата создания чека]]-Продажи[[#This Row],[Дата регистрации клиентов]]</f>
        <v>657</v>
      </c>
      <c r="P415" t="str">
        <f>VLOOKUP(Продажи[[#This Row],[id клиента]],Таблица4[#All],7,FALSE)</f>
        <v>Россия</v>
      </c>
    </row>
    <row r="416" spans="1:16" x14ac:dyDescent="0.25">
      <c r="A416">
        <v>415</v>
      </c>
      <c r="B416">
        <v>443</v>
      </c>
      <c r="C416">
        <v>192</v>
      </c>
      <c r="D416">
        <v>5</v>
      </c>
      <c r="E416">
        <v>960</v>
      </c>
      <c r="F416" s="23">
        <v>45241</v>
      </c>
      <c r="G416" t="s">
        <v>22</v>
      </c>
      <c r="H416">
        <v>413</v>
      </c>
      <c r="I416" t="str">
        <f>VLOOKUP(Продажи[[#This Row],[id товара]],Товары[#All],2,FALSE)</f>
        <v>Кофе</v>
      </c>
      <c r="J416" s="19">
        <f>AVERAGEIF(Продажи[Категория товара],Продажи[[#This Row],[Категория товара]],Продажи[цена за шт в рублях])</f>
        <v>249.02380952380952</v>
      </c>
      <c r="K416" s="20">
        <f>Продажи[[#This Row],[цена за шт в рублях]]/Продажи[[#This Row],[Средняя цена в категории за шт]]-1</f>
        <v>-0.22898938713070083</v>
      </c>
      <c r="L416" t="str">
        <f>VLOOKUP(Продажи[[#This Row],[id товара]],Товары[#All],3,FALSE)</f>
        <v>Jacobs</v>
      </c>
      <c r="M4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416" s="23">
        <f>VLOOKUP(Продажи[[#This Row],[id клиента]],Таблица4[#All],5,FALSE)</f>
        <v>44699</v>
      </c>
      <c r="O416">
        <f>Продажи[[#This Row],[дата создания чека]]-Продажи[[#This Row],[Дата регистрации клиентов]]</f>
        <v>542</v>
      </c>
      <c r="P416" t="str">
        <f>VLOOKUP(Продажи[[#This Row],[id клиента]],Таблица4[#All],7,FALSE)</f>
        <v>Россия</v>
      </c>
    </row>
    <row r="417" spans="1:16" x14ac:dyDescent="0.25">
      <c r="A417">
        <v>416</v>
      </c>
      <c r="B417">
        <v>118</v>
      </c>
      <c r="C417">
        <v>193</v>
      </c>
      <c r="D417">
        <v>2</v>
      </c>
      <c r="E417">
        <v>386</v>
      </c>
      <c r="F417" s="23">
        <v>45356</v>
      </c>
      <c r="G417" t="s">
        <v>11</v>
      </c>
      <c r="H417">
        <v>148</v>
      </c>
      <c r="I417" t="str">
        <f>VLOOKUP(Продажи[[#This Row],[id товара]],Товары[#All],2,FALSE)</f>
        <v>Сахар</v>
      </c>
      <c r="J417" s="19">
        <f>AVERAGEIF(Продажи[Категория товара],Продажи[[#This Row],[Категория товара]],Продажи[цена за шт в рублях])</f>
        <v>252.76271186440678</v>
      </c>
      <c r="K417" s="20">
        <f>Продажи[[#This Row],[цена за шт в рублях]]/Продажи[[#This Row],[Средняя цена в категории за шт]]-1</f>
        <v>-0.23643800710789242</v>
      </c>
      <c r="L417" t="str">
        <f>VLOOKUP(Продажи[[#This Row],[id товара]],Товары[#All],3,FALSE)</f>
        <v>Продимекс</v>
      </c>
      <c r="M4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417" s="23">
        <f>VLOOKUP(Продажи[[#This Row],[id клиента]],Таблица4[#All],5,FALSE)</f>
        <v>44700</v>
      </c>
      <c r="O417">
        <f>Продажи[[#This Row],[дата создания чека]]-Продажи[[#This Row],[Дата регистрации клиентов]]</f>
        <v>656</v>
      </c>
      <c r="P417" t="str">
        <f>VLOOKUP(Продажи[[#This Row],[id клиента]],Таблица4[#All],7,FALSE)</f>
        <v>Россия</v>
      </c>
    </row>
    <row r="418" spans="1:16" x14ac:dyDescent="0.25">
      <c r="A418">
        <v>417</v>
      </c>
      <c r="B418">
        <v>371</v>
      </c>
      <c r="C418">
        <v>245</v>
      </c>
      <c r="D418">
        <v>1</v>
      </c>
      <c r="E418">
        <v>245</v>
      </c>
      <c r="F418" s="23">
        <v>44985</v>
      </c>
      <c r="G418" t="s">
        <v>27</v>
      </c>
      <c r="H418">
        <v>209</v>
      </c>
      <c r="I418" t="str">
        <f>VLOOKUP(Продажи[[#This Row],[id товара]],Товары[#All],2,FALSE)</f>
        <v>Сахар</v>
      </c>
      <c r="J418" s="19">
        <f>AVERAGEIF(Продажи[Категория товара],Продажи[[#This Row],[Категория товара]],Продажи[цена за шт в рублях])</f>
        <v>252.76271186440678</v>
      </c>
      <c r="K418" s="20">
        <f>Продажи[[#This Row],[цена за шт в рублях]]/Продажи[[#This Row],[Средняя цена в категории за шт]]-1</f>
        <v>-3.0711459800174312E-2</v>
      </c>
      <c r="L418" t="str">
        <f>VLOOKUP(Продажи[[#This Row],[id товара]],Товары[#All],3,FALSE)</f>
        <v>Русский сахар</v>
      </c>
      <c r="M4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418" s="23">
        <f>VLOOKUP(Продажи[[#This Row],[id клиента]],Таблица4[#All],5,FALSE)</f>
        <v>44628</v>
      </c>
      <c r="O418">
        <f>Продажи[[#This Row],[дата создания чека]]-Продажи[[#This Row],[Дата регистрации клиентов]]</f>
        <v>357</v>
      </c>
      <c r="P418" t="str">
        <f>VLOOKUP(Продажи[[#This Row],[id клиента]],Таблица4[#All],7,FALSE)</f>
        <v>Россия</v>
      </c>
    </row>
    <row r="419" spans="1:16" x14ac:dyDescent="0.25">
      <c r="A419">
        <v>418</v>
      </c>
      <c r="B419">
        <v>216</v>
      </c>
      <c r="C419">
        <v>209</v>
      </c>
      <c r="D419">
        <v>3</v>
      </c>
      <c r="E419">
        <v>627</v>
      </c>
      <c r="F419" s="23">
        <v>45357</v>
      </c>
      <c r="G419" t="s">
        <v>16</v>
      </c>
      <c r="H419">
        <v>263</v>
      </c>
      <c r="I419" t="str">
        <f>VLOOKUP(Продажи[[#This Row],[id товара]],Товары[#All],2,FALSE)</f>
        <v>Кофе</v>
      </c>
      <c r="J419" s="19">
        <f>AVERAGEIF(Продажи[Категория товара],Продажи[[#This Row],[Категория товара]],Продажи[цена за шт в рублях])</f>
        <v>249.02380952380952</v>
      </c>
      <c r="K419" s="20">
        <f>Продажи[[#This Row],[цена за шт в рублях]]/Продажи[[#This Row],[Средняя цена в категории за шт]]-1</f>
        <v>-0.16072282244956493</v>
      </c>
      <c r="L419" t="str">
        <f>VLOOKUP(Продажи[[#This Row],[id товара]],Товары[#All],3,FALSE)</f>
        <v>Черная Карта</v>
      </c>
      <c r="M4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419" s="23">
        <f>VLOOKUP(Продажи[[#This Row],[id клиента]],Таблица4[#All],5,FALSE)</f>
        <v>44612</v>
      </c>
      <c r="O419">
        <f>Продажи[[#This Row],[дата создания чека]]-Продажи[[#This Row],[Дата регистрации клиентов]]</f>
        <v>745</v>
      </c>
      <c r="P419" t="str">
        <f>VLOOKUP(Продажи[[#This Row],[id клиента]],Таблица4[#All],7,FALSE)</f>
        <v>Таджикистан</v>
      </c>
    </row>
    <row r="420" spans="1:16" x14ac:dyDescent="0.25">
      <c r="A420">
        <v>419</v>
      </c>
      <c r="B420">
        <v>390</v>
      </c>
      <c r="C420">
        <v>120</v>
      </c>
      <c r="D420">
        <v>1</v>
      </c>
      <c r="E420">
        <v>120</v>
      </c>
      <c r="F420" s="23">
        <v>45176</v>
      </c>
      <c r="G420" t="s">
        <v>14</v>
      </c>
      <c r="H420">
        <v>449</v>
      </c>
      <c r="I420" t="str">
        <f>VLOOKUP(Продажи[[#This Row],[id товара]],Товары[#All],2,FALSE)</f>
        <v>Сок</v>
      </c>
      <c r="J420" s="19">
        <f>AVERAGEIF(Продажи[Категория товара],Продажи[[#This Row],[Категория товара]],Продажи[цена за шт в рублях])</f>
        <v>268.60344827586209</v>
      </c>
      <c r="K420" s="20">
        <f>Продажи[[#This Row],[цена за шт в рублях]]/Продажи[[#This Row],[Средняя цена в категории за шт]]-1</f>
        <v>-0.55324475255151162</v>
      </c>
      <c r="L420" t="str">
        <f>VLOOKUP(Продажи[[#This Row],[id товара]],Товары[#All],3,FALSE)</f>
        <v>Сады Придонья</v>
      </c>
      <c r="M4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420" s="23">
        <f>VLOOKUP(Продажи[[#This Row],[id клиента]],Таблица4[#All],5,FALSE)</f>
        <v>44645</v>
      </c>
      <c r="O420">
        <f>Продажи[[#This Row],[дата создания чека]]-Продажи[[#This Row],[Дата регистрации клиентов]]</f>
        <v>531</v>
      </c>
      <c r="P420" t="str">
        <f>VLOOKUP(Продажи[[#This Row],[id клиента]],Таблица4[#All],7,FALSE)</f>
        <v>Таджикистан</v>
      </c>
    </row>
    <row r="421" spans="1:16" x14ac:dyDescent="0.25">
      <c r="A421">
        <v>420</v>
      </c>
      <c r="B421">
        <v>14</v>
      </c>
      <c r="C421">
        <v>251</v>
      </c>
      <c r="D421">
        <v>1</v>
      </c>
      <c r="E421">
        <v>251</v>
      </c>
      <c r="F421" s="23">
        <v>45272</v>
      </c>
      <c r="G421" t="s">
        <v>23</v>
      </c>
      <c r="H421">
        <v>321</v>
      </c>
      <c r="I421" t="str">
        <f>VLOOKUP(Продажи[[#This Row],[id товара]],Товары[#All],2,FALSE)</f>
        <v>Сок</v>
      </c>
      <c r="J421" s="19">
        <f>AVERAGEIF(Продажи[Категория товара],Продажи[[#This Row],[Категория товара]],Продажи[цена за шт в рублях])</f>
        <v>268.60344827586209</v>
      </c>
      <c r="K421" s="20">
        <f>Продажи[[#This Row],[цена за шт в рублях]]/Продажи[[#This Row],[Средняя цена в категории за шт]]-1</f>
        <v>-6.5536940753578632E-2</v>
      </c>
      <c r="L421" t="str">
        <f>VLOOKUP(Продажи[[#This Row],[id товара]],Товары[#All],3,FALSE)</f>
        <v>Rich</v>
      </c>
      <c r="M4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272.25</v>
      </c>
      <c r="N421" s="23">
        <f>VLOOKUP(Продажи[[#This Row],[id клиента]],Таблица4[#All],5,FALSE)</f>
        <v>44756</v>
      </c>
      <c r="O421">
        <f>Продажи[[#This Row],[дата создания чека]]-Продажи[[#This Row],[Дата регистрации клиентов]]</f>
        <v>516</v>
      </c>
      <c r="P421" t="str">
        <f>VLOOKUP(Продажи[[#This Row],[id клиента]],Таблица4[#All],7,FALSE)</f>
        <v>Таджикистан</v>
      </c>
    </row>
    <row r="422" spans="1:16" x14ac:dyDescent="0.25">
      <c r="A422">
        <v>421</v>
      </c>
      <c r="B422">
        <v>451</v>
      </c>
      <c r="C422">
        <v>443</v>
      </c>
      <c r="D422">
        <v>4</v>
      </c>
      <c r="E422">
        <v>1772</v>
      </c>
      <c r="F422" s="23">
        <v>45210</v>
      </c>
      <c r="G422" t="s">
        <v>26</v>
      </c>
      <c r="H422">
        <v>101</v>
      </c>
      <c r="I422" t="str">
        <f>VLOOKUP(Продажи[[#This Row],[id товара]],Товары[#All],2,FALSE)</f>
        <v>Рис</v>
      </c>
      <c r="J422" s="19">
        <f>AVERAGEIF(Продажи[Категория товара],Продажи[[#This Row],[Категория товара]],Продажи[цена за шт в рублях])</f>
        <v>258.375</v>
      </c>
      <c r="K422" s="20">
        <f>Продажи[[#This Row],[цена за шт в рублях]]/Продажи[[#This Row],[Средняя цена в категории за шт]]-1</f>
        <v>0.71456216739235612</v>
      </c>
      <c r="L422" t="str">
        <f>VLOOKUP(Продажи[[#This Row],[id товара]],Товары[#All],3,FALSE)</f>
        <v>Белый Злат</v>
      </c>
      <c r="M4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422" s="23">
        <f>VLOOKUP(Продажи[[#This Row],[id клиента]],Таблица4[#All],5,FALSE)</f>
        <v>44727</v>
      </c>
      <c r="O422">
        <f>Продажи[[#This Row],[дата создания чека]]-Продажи[[#This Row],[Дата регистрации клиентов]]</f>
        <v>483</v>
      </c>
      <c r="P422" t="str">
        <f>VLOOKUP(Продажи[[#This Row],[id клиента]],Таблица4[#All],7,FALSE)</f>
        <v>Россия</v>
      </c>
    </row>
    <row r="423" spans="1:16" x14ac:dyDescent="0.25">
      <c r="A423">
        <v>422</v>
      </c>
      <c r="B423">
        <v>312</v>
      </c>
      <c r="C423">
        <v>234</v>
      </c>
      <c r="D423">
        <v>1</v>
      </c>
      <c r="E423">
        <v>234</v>
      </c>
      <c r="F423" s="23">
        <v>44954</v>
      </c>
      <c r="G423" t="s">
        <v>17</v>
      </c>
      <c r="H423">
        <v>124</v>
      </c>
      <c r="I423" t="str">
        <f>VLOOKUP(Продажи[[#This Row],[id товара]],Товары[#All],2,FALSE)</f>
        <v>Хлеб</v>
      </c>
      <c r="J423" s="19">
        <f>AVERAGEIF(Продажи[Категория товара],Продажи[[#This Row],[Категория товара]],Продажи[цена за шт в рублях])</f>
        <v>300.31818181818181</v>
      </c>
      <c r="K423" s="20">
        <f>Продажи[[#This Row],[цена за шт в рублях]]/Продажи[[#This Row],[Средняя цена в категории за шт]]-1</f>
        <v>-0.22082639624640532</v>
      </c>
      <c r="L423" t="str">
        <f>VLOOKUP(Продажи[[#This Row],[id товара]],Товары[#All],3,FALSE)</f>
        <v>Каравай</v>
      </c>
      <c r="M4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423" s="23">
        <f>VLOOKUP(Продажи[[#This Row],[id клиента]],Таблица4[#All],5,FALSE)</f>
        <v>44795</v>
      </c>
      <c r="O423">
        <f>Продажи[[#This Row],[дата создания чека]]-Продажи[[#This Row],[Дата регистрации клиентов]]</f>
        <v>159</v>
      </c>
      <c r="P423" t="str">
        <f>VLOOKUP(Продажи[[#This Row],[id клиента]],Таблица4[#All],7,FALSE)</f>
        <v>Россия</v>
      </c>
    </row>
    <row r="424" spans="1:16" x14ac:dyDescent="0.25">
      <c r="A424">
        <v>423</v>
      </c>
      <c r="B424">
        <v>217</v>
      </c>
      <c r="C424">
        <v>260</v>
      </c>
      <c r="D424">
        <v>5</v>
      </c>
      <c r="E424">
        <v>1300</v>
      </c>
      <c r="F424" s="23">
        <v>45018</v>
      </c>
      <c r="G424" t="s">
        <v>12</v>
      </c>
      <c r="H424">
        <v>257</v>
      </c>
      <c r="I424" t="str">
        <f>VLOOKUP(Продажи[[#This Row],[id товара]],Товары[#All],2,FALSE)</f>
        <v>Мясо</v>
      </c>
      <c r="J424" s="19">
        <f>AVERAGEIF(Продажи[Категория товара],Продажи[[#This Row],[Категория товара]],Продажи[цена за шт в рублях])</f>
        <v>271.74545454545455</v>
      </c>
      <c r="K424" s="20">
        <f>Продажи[[#This Row],[цена за шт в рублях]]/Продажи[[#This Row],[Средняя цена в категории за шт]]-1</f>
        <v>-4.3222266827244726E-2</v>
      </c>
      <c r="L424" t="str">
        <f>VLOOKUP(Продажи[[#This Row],[id товара]],Товары[#All],3,FALSE)</f>
        <v>Агрокомплекс</v>
      </c>
      <c r="M4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424" s="23">
        <f>VLOOKUP(Продажи[[#This Row],[id клиента]],Таблица4[#All],5,FALSE)</f>
        <v>44701</v>
      </c>
      <c r="O424">
        <f>Продажи[[#This Row],[дата создания чека]]-Продажи[[#This Row],[Дата регистрации клиентов]]</f>
        <v>317</v>
      </c>
      <c r="P424" t="str">
        <f>VLOOKUP(Продажи[[#This Row],[id клиента]],Таблица4[#All],7,FALSE)</f>
        <v>Россия</v>
      </c>
    </row>
    <row r="425" spans="1:16" x14ac:dyDescent="0.25">
      <c r="A425">
        <v>424</v>
      </c>
      <c r="B425">
        <v>10</v>
      </c>
      <c r="C425">
        <v>203</v>
      </c>
      <c r="D425">
        <v>4</v>
      </c>
      <c r="E425">
        <v>812</v>
      </c>
      <c r="F425" s="23">
        <v>45059</v>
      </c>
      <c r="G425" t="s">
        <v>12</v>
      </c>
      <c r="H425">
        <v>276</v>
      </c>
      <c r="I425" t="str">
        <f>VLOOKUP(Продажи[[#This Row],[id товара]],Товары[#All],2,FALSE)</f>
        <v>Сок</v>
      </c>
      <c r="J425" s="19">
        <f>AVERAGEIF(Продажи[Категория товара],Продажи[[#This Row],[Категория товара]],Продажи[цена за шт в рублях])</f>
        <v>268.60344827586209</v>
      </c>
      <c r="K425" s="20">
        <f>Продажи[[#This Row],[цена за шт в рублях]]/Продажи[[#This Row],[Средняя цена в категории за шт]]-1</f>
        <v>-0.24423903973297389</v>
      </c>
      <c r="L425" t="str">
        <f>VLOOKUP(Продажи[[#This Row],[id товара]],Товары[#All],3,FALSE)</f>
        <v>Фруктовый сад</v>
      </c>
      <c r="M4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425" s="23">
        <f>VLOOKUP(Продажи[[#This Row],[id клиента]],Таблица4[#All],5,FALSE)</f>
        <v>44632</v>
      </c>
      <c r="O425">
        <f>Продажи[[#This Row],[дата создания чека]]-Продажи[[#This Row],[Дата регистрации клиентов]]</f>
        <v>427</v>
      </c>
      <c r="P425" t="str">
        <f>VLOOKUP(Продажи[[#This Row],[id клиента]],Таблица4[#All],7,FALSE)</f>
        <v>Таджикистан</v>
      </c>
    </row>
    <row r="426" spans="1:16" x14ac:dyDescent="0.25">
      <c r="A426">
        <v>425</v>
      </c>
      <c r="B426">
        <v>60</v>
      </c>
      <c r="C426">
        <v>251</v>
      </c>
      <c r="D426">
        <v>2</v>
      </c>
      <c r="E426">
        <v>502</v>
      </c>
      <c r="F426" s="23">
        <v>45202</v>
      </c>
      <c r="G426" t="s">
        <v>25</v>
      </c>
      <c r="H426">
        <v>309</v>
      </c>
      <c r="I426" t="str">
        <f>VLOOKUP(Продажи[[#This Row],[id товара]],Товары[#All],2,FALSE)</f>
        <v>Кофе</v>
      </c>
      <c r="J426" s="19">
        <f>AVERAGEIF(Продажи[Категория товара],Продажи[[#This Row],[Категория товара]],Продажи[цена за шт в рублях])</f>
        <v>249.02380952380952</v>
      </c>
      <c r="K426" s="20">
        <f>Продажи[[#This Row],[цена за шт в рублях]]/Продажи[[#This Row],[Средняя цена в категории за шт]]-1</f>
        <v>7.9357491155942483E-3</v>
      </c>
      <c r="L426" t="str">
        <f>VLOOKUP(Продажи[[#This Row],[id товара]],Товары[#All],3,FALSE)</f>
        <v>Jacobs</v>
      </c>
      <c r="M4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426" s="23">
        <f>VLOOKUP(Продажи[[#This Row],[id клиента]],Таблица4[#All],5,FALSE)</f>
        <v>44711</v>
      </c>
      <c r="O426">
        <f>Продажи[[#This Row],[дата создания чека]]-Продажи[[#This Row],[Дата регистрации клиентов]]</f>
        <v>491</v>
      </c>
      <c r="P426" t="str">
        <f>VLOOKUP(Продажи[[#This Row],[id клиента]],Таблица4[#All],7,FALSE)</f>
        <v>Россия</v>
      </c>
    </row>
    <row r="427" spans="1:16" x14ac:dyDescent="0.25">
      <c r="A427">
        <v>426</v>
      </c>
      <c r="B427">
        <v>74</v>
      </c>
      <c r="C427">
        <v>210</v>
      </c>
      <c r="D427">
        <v>3</v>
      </c>
      <c r="E427">
        <v>630</v>
      </c>
      <c r="F427" s="23">
        <v>45335</v>
      </c>
      <c r="G427" t="s">
        <v>17</v>
      </c>
      <c r="H427">
        <v>319</v>
      </c>
      <c r="I427" t="str">
        <f>VLOOKUP(Продажи[[#This Row],[id товара]],Товары[#All],2,FALSE)</f>
        <v>Колбаса</v>
      </c>
      <c r="J427" s="19">
        <f>AVERAGEIF(Продажи[Категория товара],Продажи[[#This Row],[Категория товара]],Продажи[цена за шт в рублях])</f>
        <v>286.92307692307691</v>
      </c>
      <c r="K427" s="20">
        <f>Продажи[[#This Row],[цена за шт в рублях]]/Продажи[[#This Row],[Средняя цена в категории за шт]]-1</f>
        <v>-0.26809651474530827</v>
      </c>
      <c r="L427" t="str">
        <f>VLOOKUP(Продажи[[#This Row],[id товара]],Товары[#All],3,FALSE)</f>
        <v>Черкизово</v>
      </c>
      <c r="M4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320.25</v>
      </c>
      <c r="N427" s="23">
        <f>VLOOKUP(Продажи[[#This Row],[id клиента]],Таблица4[#All],5,FALSE)</f>
        <v>44674</v>
      </c>
      <c r="O427">
        <f>Продажи[[#This Row],[дата создания чека]]-Продажи[[#This Row],[Дата регистрации клиентов]]</f>
        <v>661</v>
      </c>
      <c r="P427" t="str">
        <f>VLOOKUP(Продажи[[#This Row],[id клиента]],Таблица4[#All],7,FALSE)</f>
        <v>Узбекистан</v>
      </c>
    </row>
    <row r="428" spans="1:16" x14ac:dyDescent="0.25">
      <c r="A428">
        <v>427</v>
      </c>
      <c r="B428">
        <v>116</v>
      </c>
      <c r="C428">
        <v>295</v>
      </c>
      <c r="D428">
        <v>1</v>
      </c>
      <c r="E428">
        <v>295</v>
      </c>
      <c r="F428" s="23">
        <v>45336</v>
      </c>
      <c r="G428" t="s">
        <v>10</v>
      </c>
      <c r="H428">
        <v>359</v>
      </c>
      <c r="I428" t="str">
        <f>VLOOKUP(Продажи[[#This Row],[id товара]],Товары[#All],2,FALSE)</f>
        <v>Соль</v>
      </c>
      <c r="J428" s="19">
        <f>AVERAGEIF(Продажи[Категория товара],Продажи[[#This Row],[Категория товара]],Продажи[цена за шт в рублях])</f>
        <v>264.8679245283019</v>
      </c>
      <c r="K428" s="20">
        <f>Продажи[[#This Row],[цена за шт в рублях]]/Продажи[[#This Row],[Средняя цена в категории за шт]]-1</f>
        <v>0.11376264425131777</v>
      </c>
      <c r="L428" t="str">
        <f>VLOOKUP(Продажи[[#This Row],[id товара]],Товары[#All],3,FALSE)</f>
        <v>Экстра</v>
      </c>
      <c r="M4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428" s="23">
        <f>VLOOKUP(Продажи[[#This Row],[id клиента]],Таблица4[#All],5,FALSE)</f>
        <v>44584</v>
      </c>
      <c r="O428">
        <f>Продажи[[#This Row],[дата создания чека]]-Продажи[[#This Row],[Дата регистрации клиентов]]</f>
        <v>752</v>
      </c>
      <c r="P428" t="str">
        <f>VLOOKUP(Продажи[[#This Row],[id клиента]],Таблица4[#All],7,FALSE)</f>
        <v>Россия</v>
      </c>
    </row>
    <row r="429" spans="1:16" x14ac:dyDescent="0.25">
      <c r="A429">
        <v>428</v>
      </c>
      <c r="B429">
        <v>401</v>
      </c>
      <c r="C429">
        <v>78</v>
      </c>
      <c r="D429">
        <v>3</v>
      </c>
      <c r="E429">
        <v>234</v>
      </c>
      <c r="F429" s="23">
        <v>44986</v>
      </c>
      <c r="G429" t="s">
        <v>10</v>
      </c>
      <c r="H429">
        <v>395</v>
      </c>
      <c r="I429" t="str">
        <f>VLOOKUP(Продажи[[#This Row],[id товара]],Товары[#All],2,FALSE)</f>
        <v>Чай</v>
      </c>
      <c r="J429" s="19">
        <f>AVERAGEIF(Продажи[Категория товара],Продажи[[#This Row],[Категория товара]],Продажи[цена за шт в рублях])</f>
        <v>271.18181818181819</v>
      </c>
      <c r="K429" s="20">
        <f>Продажи[[#This Row],[цена за шт в рублях]]/Продажи[[#This Row],[Средняя цена в категории за шт]]-1</f>
        <v>-0.71237009721756617</v>
      </c>
      <c r="L429" t="str">
        <f>VLOOKUP(Продажи[[#This Row],[id товара]],Товары[#All],3,FALSE)</f>
        <v>Greenfield</v>
      </c>
      <c r="M4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29" s="23">
        <f>VLOOKUP(Продажи[[#This Row],[id клиента]],Таблица4[#All],5,FALSE)</f>
        <v>44890</v>
      </c>
      <c r="O429">
        <f>Продажи[[#This Row],[дата создания чека]]-Продажи[[#This Row],[Дата регистрации клиентов]]</f>
        <v>96</v>
      </c>
      <c r="P429" t="str">
        <f>VLOOKUP(Продажи[[#This Row],[id клиента]],Таблица4[#All],7,FALSE)</f>
        <v>Узбекистан</v>
      </c>
    </row>
    <row r="430" spans="1:16" x14ac:dyDescent="0.25">
      <c r="A430">
        <v>429</v>
      </c>
      <c r="B430">
        <v>348</v>
      </c>
      <c r="C430">
        <v>162</v>
      </c>
      <c r="D430">
        <v>2</v>
      </c>
      <c r="E430">
        <v>324</v>
      </c>
      <c r="F430" s="23">
        <v>44931</v>
      </c>
      <c r="G430" t="s">
        <v>19</v>
      </c>
      <c r="H430">
        <v>107</v>
      </c>
      <c r="I430" t="str">
        <f>VLOOKUP(Продажи[[#This Row],[id товара]],Товары[#All],2,FALSE)</f>
        <v>Чипсы</v>
      </c>
      <c r="J430" s="19">
        <f>AVERAGEIF(Продажи[Категория товара],Продажи[[#This Row],[Категория товара]],Продажи[цена за шт в рублях])</f>
        <v>273.72549019607845</v>
      </c>
      <c r="K430" s="20">
        <f>Продажи[[#This Row],[цена за шт в рублях]]/Продажи[[#This Row],[Средняя цена в категории за шт]]-1</f>
        <v>-0.40816618911174785</v>
      </c>
      <c r="L430" t="str">
        <f>VLOOKUP(Продажи[[#This Row],[id товара]],Товары[#All],3,FALSE)</f>
        <v>Estrella</v>
      </c>
      <c r="M4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430" s="23">
        <f>VLOOKUP(Продажи[[#This Row],[id клиента]],Таблица4[#All],5,FALSE)</f>
        <v>44744</v>
      </c>
      <c r="O430">
        <f>Продажи[[#This Row],[дата создания чека]]-Продажи[[#This Row],[Дата регистрации клиентов]]</f>
        <v>187</v>
      </c>
      <c r="P430" t="str">
        <f>VLOOKUP(Продажи[[#This Row],[id клиента]],Таблица4[#All],7,FALSE)</f>
        <v>Таджикистан</v>
      </c>
    </row>
    <row r="431" spans="1:16" x14ac:dyDescent="0.25">
      <c r="A431">
        <v>430</v>
      </c>
      <c r="B431">
        <v>382</v>
      </c>
      <c r="C431">
        <v>278</v>
      </c>
      <c r="D431">
        <v>2</v>
      </c>
      <c r="E431">
        <v>556</v>
      </c>
      <c r="F431" s="23">
        <v>45198</v>
      </c>
      <c r="G431" t="s">
        <v>25</v>
      </c>
      <c r="H431">
        <v>103</v>
      </c>
      <c r="I431" t="str">
        <f>VLOOKUP(Продажи[[#This Row],[id товара]],Товары[#All],2,FALSE)</f>
        <v>Овощи</v>
      </c>
      <c r="J431" s="19">
        <f>AVERAGEIF(Продажи[Категория товара],Продажи[[#This Row],[Категория товара]],Продажи[цена за шт в рублях])</f>
        <v>250.48780487804879</v>
      </c>
      <c r="K431" s="20">
        <f>Продажи[[#This Row],[цена за шт в рублях]]/Продажи[[#This Row],[Средняя цена в категории за шт]]-1</f>
        <v>0.10983446932814012</v>
      </c>
      <c r="L431" t="str">
        <f>VLOOKUP(Продажи[[#This Row],[id товара]],Товары[#All],3,FALSE)</f>
        <v>Овощной ряд</v>
      </c>
      <c r="M4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431" s="23">
        <f>VLOOKUP(Продажи[[#This Row],[id клиента]],Таблица4[#All],5,FALSE)</f>
        <v>44787</v>
      </c>
      <c r="O431">
        <f>Продажи[[#This Row],[дата создания чека]]-Продажи[[#This Row],[Дата регистрации клиентов]]</f>
        <v>411</v>
      </c>
      <c r="P431" t="str">
        <f>VLOOKUP(Продажи[[#This Row],[id клиента]],Таблица4[#All],7,FALSE)</f>
        <v>Узбекистан</v>
      </c>
    </row>
    <row r="432" spans="1:16" x14ac:dyDescent="0.25">
      <c r="A432">
        <v>431</v>
      </c>
      <c r="B432">
        <v>477</v>
      </c>
      <c r="C432">
        <v>420</v>
      </c>
      <c r="D432">
        <v>1</v>
      </c>
      <c r="E432">
        <v>420</v>
      </c>
      <c r="F432" s="23">
        <v>45232</v>
      </c>
      <c r="G432" t="s">
        <v>11</v>
      </c>
      <c r="H432">
        <v>221</v>
      </c>
      <c r="I432" t="str">
        <f>VLOOKUP(Продажи[[#This Row],[id товара]],Товары[#All],2,FALSE)</f>
        <v>Макароны</v>
      </c>
      <c r="J432" s="19">
        <f>AVERAGEIF(Продажи[Категория товара],Продажи[[#This Row],[Категория товара]],Продажи[цена за шт в рублях])</f>
        <v>265.47674418604652</v>
      </c>
      <c r="K432" s="20">
        <f>Продажи[[#This Row],[цена за шт в рублях]]/Продажи[[#This Row],[Средняя цена в категории за шт]]-1</f>
        <v>0.58205948053085721</v>
      </c>
      <c r="L432" t="str">
        <f>VLOOKUP(Продажи[[#This Row],[id товара]],Товары[#All],3,FALSE)</f>
        <v>Борилла</v>
      </c>
      <c r="M4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432" s="23">
        <f>VLOOKUP(Продажи[[#This Row],[id клиента]],Таблица4[#All],5,FALSE)</f>
        <v>44820</v>
      </c>
      <c r="O432">
        <f>Продажи[[#This Row],[дата создания чека]]-Продажи[[#This Row],[Дата регистрации клиентов]]</f>
        <v>412</v>
      </c>
      <c r="P432" t="str">
        <f>VLOOKUP(Продажи[[#This Row],[id клиента]],Таблица4[#All],7,FALSE)</f>
        <v>Таджикистан</v>
      </c>
    </row>
    <row r="433" spans="1:16" x14ac:dyDescent="0.25">
      <c r="A433">
        <v>432</v>
      </c>
      <c r="B433">
        <v>91</v>
      </c>
      <c r="C433">
        <v>413</v>
      </c>
      <c r="D433">
        <v>2</v>
      </c>
      <c r="E433">
        <v>826</v>
      </c>
      <c r="F433" s="23">
        <v>45183</v>
      </c>
      <c r="G433" t="s">
        <v>19</v>
      </c>
      <c r="H433">
        <v>31</v>
      </c>
      <c r="I433" t="str">
        <f>VLOOKUP(Продажи[[#This Row],[id товара]],Товары[#All],2,FALSE)</f>
        <v>Сыр</v>
      </c>
      <c r="J433" s="19">
        <f>AVERAGEIF(Продажи[Категория товара],Продажи[[#This Row],[Категория товара]],Продажи[цена за шт в рублях])</f>
        <v>262.63492063492066</v>
      </c>
      <c r="K433" s="20">
        <f>Продажи[[#This Row],[цена за шт в рублях]]/Продажи[[#This Row],[Средняя цена в категории за шт]]-1</f>
        <v>0.57252508159071658</v>
      </c>
      <c r="L433" t="str">
        <f>VLOOKUP(Продажи[[#This Row],[id товара]],Товары[#All],3,FALSE)</f>
        <v>Сырная долина</v>
      </c>
      <c r="M4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433" s="23">
        <f>VLOOKUP(Продажи[[#This Row],[id клиента]],Таблица4[#All],5,FALSE)</f>
        <v>44580</v>
      </c>
      <c r="O433">
        <f>Продажи[[#This Row],[дата создания чека]]-Продажи[[#This Row],[Дата регистрации клиентов]]</f>
        <v>603</v>
      </c>
      <c r="P433" t="str">
        <f>VLOOKUP(Продажи[[#This Row],[id клиента]],Таблица4[#All],7,FALSE)</f>
        <v>Украина</v>
      </c>
    </row>
    <row r="434" spans="1:16" x14ac:dyDescent="0.25">
      <c r="A434">
        <v>433</v>
      </c>
      <c r="B434">
        <v>52</v>
      </c>
      <c r="C434">
        <v>272</v>
      </c>
      <c r="D434">
        <v>3</v>
      </c>
      <c r="E434">
        <v>816</v>
      </c>
      <c r="F434" s="23">
        <v>45377</v>
      </c>
      <c r="G434" t="s">
        <v>9</v>
      </c>
      <c r="H434">
        <v>306</v>
      </c>
      <c r="I434" t="str">
        <f>VLOOKUP(Продажи[[#This Row],[id товара]],Товары[#All],2,FALSE)</f>
        <v>Соль</v>
      </c>
      <c r="J434" s="19">
        <f>AVERAGEIF(Продажи[Категория товара],Продажи[[#This Row],[Категория товара]],Продажи[цена за шт в рублях])</f>
        <v>264.8679245283019</v>
      </c>
      <c r="K434" s="20">
        <f>Продажи[[#This Row],[цена за шт в рублях]]/Продажи[[#This Row],[Средняя цена в категории за шт]]-1</f>
        <v>2.6926912665621749E-2</v>
      </c>
      <c r="L434" t="str">
        <f>VLOOKUP(Продажи[[#This Row],[id товара]],Товары[#All],3,FALSE)</f>
        <v>Илецкая</v>
      </c>
      <c r="M4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434" s="23">
        <f>VLOOKUP(Продажи[[#This Row],[id клиента]],Таблица4[#All],5,FALSE)</f>
        <v>44872</v>
      </c>
      <c r="O434">
        <f>Продажи[[#This Row],[дата создания чека]]-Продажи[[#This Row],[Дата регистрации клиентов]]</f>
        <v>505</v>
      </c>
      <c r="P434" t="str">
        <f>VLOOKUP(Продажи[[#This Row],[id клиента]],Таблица4[#All],7,FALSE)</f>
        <v>Украина</v>
      </c>
    </row>
    <row r="435" spans="1:16" x14ac:dyDescent="0.25">
      <c r="A435">
        <v>434</v>
      </c>
      <c r="B435">
        <v>438</v>
      </c>
      <c r="C435">
        <v>435</v>
      </c>
      <c r="D435">
        <v>1</v>
      </c>
      <c r="E435">
        <v>435</v>
      </c>
      <c r="F435" s="23">
        <v>45142</v>
      </c>
      <c r="G435" t="s">
        <v>27</v>
      </c>
      <c r="H435">
        <v>383</v>
      </c>
      <c r="I435" t="str">
        <f>VLOOKUP(Продажи[[#This Row],[id товара]],Товары[#All],2,FALSE)</f>
        <v>Кофе</v>
      </c>
      <c r="J435" s="19">
        <f>AVERAGEIF(Продажи[Категория товара],Продажи[[#This Row],[Категория товара]],Продажи[цена за шт в рублях])</f>
        <v>249.02380952380952</v>
      </c>
      <c r="K435" s="20">
        <f>Продажи[[#This Row],[цена за шт в рублях]]/Продажи[[#This Row],[Средняя цена в категории за шт]]-1</f>
        <v>0.74682091978200593</v>
      </c>
      <c r="L435" t="str">
        <f>VLOOKUP(Продажи[[#This Row],[id товара]],Товары[#All],3,FALSE)</f>
        <v>Nescafe</v>
      </c>
      <c r="M4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435" s="23">
        <f>VLOOKUP(Продажи[[#This Row],[id клиента]],Таблица4[#All],5,FALSE)</f>
        <v>44876</v>
      </c>
      <c r="O435">
        <f>Продажи[[#This Row],[дата создания чека]]-Продажи[[#This Row],[Дата регистрации клиентов]]</f>
        <v>266</v>
      </c>
      <c r="P435" t="str">
        <f>VLOOKUP(Продажи[[#This Row],[id клиента]],Таблица4[#All],7,FALSE)</f>
        <v>Украина</v>
      </c>
    </row>
    <row r="436" spans="1:16" x14ac:dyDescent="0.25">
      <c r="A436">
        <v>435</v>
      </c>
      <c r="B436">
        <v>384</v>
      </c>
      <c r="C436">
        <v>303</v>
      </c>
      <c r="D436">
        <v>2</v>
      </c>
      <c r="E436">
        <v>606</v>
      </c>
      <c r="F436" s="23">
        <v>45151</v>
      </c>
      <c r="G436" t="s">
        <v>14</v>
      </c>
      <c r="H436">
        <v>235</v>
      </c>
      <c r="I436" t="str">
        <f>VLOOKUP(Продажи[[#This Row],[id товара]],Товары[#All],2,FALSE)</f>
        <v>Сахар</v>
      </c>
      <c r="J436" s="19">
        <f>AVERAGEIF(Продажи[Категория товара],Продажи[[#This Row],[Категория товара]],Продажи[цена за шт в рублях])</f>
        <v>252.76271186440678</v>
      </c>
      <c r="K436" s="20">
        <f>Продажи[[#This Row],[цена за шт в рублях]]/Продажи[[#This Row],[Средняя цена в категории за шт]]-1</f>
        <v>0.1987527660430497</v>
      </c>
      <c r="L436" t="str">
        <f>VLOOKUP(Продажи[[#This Row],[id товара]],Товары[#All],3,FALSE)</f>
        <v>Сладов</v>
      </c>
      <c r="M4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436" s="23">
        <f>VLOOKUP(Продажи[[#This Row],[id клиента]],Таблица4[#All],5,FALSE)</f>
        <v>44635</v>
      </c>
      <c r="O436">
        <f>Продажи[[#This Row],[дата создания чека]]-Продажи[[#This Row],[Дата регистрации клиентов]]</f>
        <v>516</v>
      </c>
      <c r="P436" t="str">
        <f>VLOOKUP(Продажи[[#This Row],[id клиента]],Таблица4[#All],7,FALSE)</f>
        <v>Узбекистан</v>
      </c>
    </row>
    <row r="437" spans="1:16" x14ac:dyDescent="0.25">
      <c r="A437">
        <v>436</v>
      </c>
      <c r="B437">
        <v>473</v>
      </c>
      <c r="C437">
        <v>231</v>
      </c>
      <c r="D437">
        <v>3</v>
      </c>
      <c r="E437">
        <v>693</v>
      </c>
      <c r="F437" s="23">
        <v>45074</v>
      </c>
      <c r="G437" t="s">
        <v>11</v>
      </c>
      <c r="H437">
        <v>448</v>
      </c>
      <c r="I437" t="str">
        <f>VLOOKUP(Продажи[[#This Row],[id товара]],Товары[#All],2,FALSE)</f>
        <v>Хлеб</v>
      </c>
      <c r="J437" s="19">
        <f>AVERAGEIF(Продажи[Категория товара],Продажи[[#This Row],[Категория товара]],Продажи[цена за шт в рублях])</f>
        <v>300.31818181818181</v>
      </c>
      <c r="K437" s="20">
        <f>Продажи[[#This Row],[цена за шт в рублях]]/Продажи[[#This Row],[Средняя цена в категории за шт]]-1</f>
        <v>-0.2308158014227335</v>
      </c>
      <c r="L437" t="str">
        <f>VLOOKUP(Продажи[[#This Row],[id товара]],Товары[#All],3,FALSE)</f>
        <v>Хлебный Дом</v>
      </c>
      <c r="M4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437" s="23">
        <f>VLOOKUP(Продажи[[#This Row],[id клиента]],Таблица4[#All],5,FALSE)</f>
        <v>44770</v>
      </c>
      <c r="O437">
        <f>Продажи[[#This Row],[дата создания чека]]-Продажи[[#This Row],[Дата регистрации клиентов]]</f>
        <v>304</v>
      </c>
      <c r="P437" t="str">
        <f>VLOOKUP(Продажи[[#This Row],[id клиента]],Таблица4[#All],7,FALSE)</f>
        <v>Россия</v>
      </c>
    </row>
    <row r="438" spans="1:16" x14ac:dyDescent="0.25">
      <c r="A438">
        <v>437</v>
      </c>
      <c r="B438">
        <v>383</v>
      </c>
      <c r="C438">
        <v>429</v>
      </c>
      <c r="D438">
        <v>4</v>
      </c>
      <c r="E438">
        <v>1716</v>
      </c>
      <c r="F438" s="23">
        <v>45120</v>
      </c>
      <c r="G438" t="s">
        <v>20</v>
      </c>
      <c r="H438">
        <v>367</v>
      </c>
      <c r="I438" t="str">
        <f>VLOOKUP(Продажи[[#This Row],[id товара]],Товары[#All],2,FALSE)</f>
        <v>Фрукты</v>
      </c>
      <c r="J438" s="19">
        <f>AVERAGEIF(Продажи[Категория товара],Продажи[[#This Row],[Категория товара]],Продажи[цена за шт в рублях])</f>
        <v>274.16279069767444</v>
      </c>
      <c r="K438" s="20">
        <f>Продажи[[#This Row],[цена за шт в рублях]]/Продажи[[#This Row],[Средняя цена в категории за шт]]-1</f>
        <v>0.56476376282975638</v>
      </c>
      <c r="L438" t="str">
        <f>VLOOKUP(Продажи[[#This Row],[id товара]],Товары[#All],3,FALSE)</f>
        <v>Фруктовый Рай</v>
      </c>
      <c r="M4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438" s="23">
        <f>VLOOKUP(Продажи[[#This Row],[id клиента]],Таблица4[#All],5,FALSE)</f>
        <v>44867</v>
      </c>
      <c r="O438">
        <f>Продажи[[#This Row],[дата создания чека]]-Продажи[[#This Row],[Дата регистрации клиентов]]</f>
        <v>253</v>
      </c>
      <c r="P438" t="str">
        <f>VLOOKUP(Продажи[[#This Row],[id клиента]],Таблица4[#All],7,FALSE)</f>
        <v>Таджикистан</v>
      </c>
    </row>
    <row r="439" spans="1:16" x14ac:dyDescent="0.25">
      <c r="A439">
        <v>438</v>
      </c>
      <c r="B439">
        <v>406</v>
      </c>
      <c r="C439">
        <v>87</v>
      </c>
      <c r="D439">
        <v>2</v>
      </c>
      <c r="E439">
        <v>174</v>
      </c>
      <c r="F439" s="23">
        <v>45066</v>
      </c>
      <c r="G439" t="s">
        <v>19</v>
      </c>
      <c r="H439">
        <v>255</v>
      </c>
      <c r="I439" t="str">
        <f>VLOOKUP(Продажи[[#This Row],[id товара]],Товары[#All],2,FALSE)</f>
        <v>Сок</v>
      </c>
      <c r="J439" s="19">
        <f>AVERAGEIF(Продажи[Категория товара],Продажи[[#This Row],[Категория товара]],Продажи[цена за шт в рублях])</f>
        <v>268.60344827586209</v>
      </c>
      <c r="K439" s="20">
        <f>Продажи[[#This Row],[цена за шт в рублях]]/Продажи[[#This Row],[Средняя цена в категории за шт]]-1</f>
        <v>-0.676102445599846</v>
      </c>
      <c r="L439" t="str">
        <f>VLOOKUP(Продажи[[#This Row],[id товара]],Товары[#All],3,FALSE)</f>
        <v>Фруктовый сад</v>
      </c>
      <c r="M4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439" s="23">
        <f>VLOOKUP(Продажи[[#This Row],[id клиента]],Таблица4[#All],5,FALSE)</f>
        <v>44793</v>
      </c>
      <c r="O439">
        <f>Продажи[[#This Row],[дата создания чека]]-Продажи[[#This Row],[Дата регистрации клиентов]]</f>
        <v>273</v>
      </c>
      <c r="P439" t="str">
        <f>VLOOKUP(Продажи[[#This Row],[id клиента]],Таблица4[#All],7,FALSE)</f>
        <v>Украина</v>
      </c>
    </row>
    <row r="440" spans="1:16" x14ac:dyDescent="0.25">
      <c r="A440">
        <v>439</v>
      </c>
      <c r="B440">
        <v>252</v>
      </c>
      <c r="C440">
        <v>50</v>
      </c>
      <c r="D440">
        <v>1</v>
      </c>
      <c r="E440">
        <v>50</v>
      </c>
      <c r="F440" s="23">
        <v>44960</v>
      </c>
      <c r="G440" t="s">
        <v>15</v>
      </c>
      <c r="H440">
        <v>138</v>
      </c>
      <c r="I440" t="str">
        <f>VLOOKUP(Продажи[[#This Row],[id товара]],Товары[#All],2,FALSE)</f>
        <v>Чай</v>
      </c>
      <c r="J440" s="19">
        <f>AVERAGEIF(Продажи[Категория товара],Продажи[[#This Row],[Категория товара]],Продажи[цена за шт в рублях])</f>
        <v>271.18181818181819</v>
      </c>
      <c r="K440" s="20">
        <f>Продажи[[#This Row],[цена за шт в рублях]]/Продажи[[#This Row],[Средняя цена в категории за шт]]-1</f>
        <v>-0.81562185719074753</v>
      </c>
      <c r="L440" t="str">
        <f>VLOOKUP(Продажи[[#This Row],[id товара]],Товары[#All],3,FALSE)</f>
        <v>Lipton</v>
      </c>
      <c r="M4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440" s="23">
        <f>VLOOKUP(Продажи[[#This Row],[id клиента]],Таблица4[#All],5,FALSE)</f>
        <v>44723</v>
      </c>
      <c r="O440">
        <f>Продажи[[#This Row],[дата создания чека]]-Продажи[[#This Row],[Дата регистрации клиентов]]</f>
        <v>237</v>
      </c>
      <c r="P440" t="str">
        <f>VLOOKUP(Продажи[[#This Row],[id клиента]],Таблица4[#All],7,FALSE)</f>
        <v>Украина</v>
      </c>
    </row>
    <row r="441" spans="1:16" x14ac:dyDescent="0.25">
      <c r="A441">
        <v>440</v>
      </c>
      <c r="B441">
        <v>365</v>
      </c>
      <c r="C441">
        <v>127</v>
      </c>
      <c r="D441">
        <v>1</v>
      </c>
      <c r="E441">
        <v>127</v>
      </c>
      <c r="F441" s="23">
        <v>45351</v>
      </c>
      <c r="G441" t="s">
        <v>19</v>
      </c>
      <c r="H441">
        <v>158</v>
      </c>
      <c r="I441" t="str">
        <f>VLOOKUP(Продажи[[#This Row],[id товара]],Товары[#All],2,FALSE)</f>
        <v>Мясо</v>
      </c>
      <c r="J441" s="19">
        <f>AVERAGEIF(Продажи[Категория товара],Продажи[[#This Row],[Категория товара]],Продажи[цена за шт в рублях])</f>
        <v>271.74545454545455</v>
      </c>
      <c r="K441" s="20">
        <f>Продажи[[#This Row],[цена за шт в рублях]]/Продажи[[#This Row],[Средняя цена в категории за шт]]-1</f>
        <v>-0.53265087648869258</v>
      </c>
      <c r="L441" t="str">
        <f>VLOOKUP(Продажи[[#This Row],[id товара]],Товары[#All],3,FALSE)</f>
        <v>Агрокомплекс</v>
      </c>
      <c r="M4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441" s="23">
        <f>VLOOKUP(Продажи[[#This Row],[id клиента]],Таблица4[#All],5,FALSE)</f>
        <v>44752</v>
      </c>
      <c r="O441">
        <f>Продажи[[#This Row],[дата создания чека]]-Продажи[[#This Row],[Дата регистрации клиентов]]</f>
        <v>599</v>
      </c>
      <c r="P441" t="str">
        <f>VLOOKUP(Продажи[[#This Row],[id клиента]],Таблица4[#All],7,FALSE)</f>
        <v>Узбекистан</v>
      </c>
    </row>
    <row r="442" spans="1:16" x14ac:dyDescent="0.25">
      <c r="A442">
        <v>441</v>
      </c>
      <c r="B442">
        <v>420</v>
      </c>
      <c r="C442">
        <v>390</v>
      </c>
      <c r="D442">
        <v>3</v>
      </c>
      <c r="E442">
        <v>1170</v>
      </c>
      <c r="F442" s="23">
        <v>45183</v>
      </c>
      <c r="G442" t="s">
        <v>9</v>
      </c>
      <c r="H442">
        <v>217</v>
      </c>
      <c r="I442" t="str">
        <f>VLOOKUP(Продажи[[#This Row],[id товара]],Товары[#All],2,FALSE)</f>
        <v>Хлеб</v>
      </c>
      <c r="J442" s="19">
        <f>AVERAGEIF(Продажи[Категория товара],Продажи[[#This Row],[Категория товара]],Продажи[цена за шт в рублях])</f>
        <v>300.31818181818181</v>
      </c>
      <c r="K442" s="20">
        <f>Продажи[[#This Row],[цена за шт в рублях]]/Продажи[[#This Row],[Средняя цена в категории за шт]]-1</f>
        <v>0.29862267292265776</v>
      </c>
      <c r="L442" t="str">
        <f>VLOOKUP(Продажи[[#This Row],[id товара]],Товары[#All],3,FALSE)</f>
        <v>Хлебный Дом</v>
      </c>
      <c r="M4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442" s="23">
        <f>VLOOKUP(Продажи[[#This Row],[id клиента]],Таблица4[#All],5,FALSE)</f>
        <v>44826</v>
      </c>
      <c r="O442">
        <f>Продажи[[#This Row],[дата создания чека]]-Продажи[[#This Row],[Дата регистрации клиентов]]</f>
        <v>357</v>
      </c>
      <c r="P442" t="str">
        <f>VLOOKUP(Продажи[[#This Row],[id клиента]],Таблица4[#All],7,FALSE)</f>
        <v>Россия</v>
      </c>
    </row>
    <row r="443" spans="1:16" x14ac:dyDescent="0.25">
      <c r="A443">
        <v>442</v>
      </c>
      <c r="B443">
        <v>97</v>
      </c>
      <c r="C443">
        <v>298</v>
      </c>
      <c r="D443">
        <v>2</v>
      </c>
      <c r="E443">
        <v>596</v>
      </c>
      <c r="F443" s="23">
        <v>45102</v>
      </c>
      <c r="G443" t="s">
        <v>17</v>
      </c>
      <c r="H443">
        <v>102</v>
      </c>
      <c r="I443" t="str">
        <f>VLOOKUP(Продажи[[#This Row],[id товара]],Товары[#All],2,FALSE)</f>
        <v>Печенье</v>
      </c>
      <c r="J443" s="19">
        <f>AVERAGEIF(Продажи[Категория товара],Продажи[[#This Row],[Категория товара]],Продажи[цена за шт в рублях])</f>
        <v>283.468085106383</v>
      </c>
      <c r="K443" s="20">
        <f>Продажи[[#This Row],[цена за шт в рублях]]/Продажи[[#This Row],[Средняя цена в категории за шт]]-1</f>
        <v>5.1264730165878403E-2</v>
      </c>
      <c r="L443" t="str">
        <f>VLOOKUP(Продажи[[#This Row],[id товара]],Товары[#All],3,FALSE)</f>
        <v>КДВ</v>
      </c>
      <c r="M4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443" s="23">
        <f>VLOOKUP(Продажи[[#This Row],[id клиента]],Таблица4[#All],5,FALSE)</f>
        <v>44723</v>
      </c>
      <c r="O443">
        <f>Продажи[[#This Row],[дата создания чека]]-Продажи[[#This Row],[Дата регистрации клиентов]]</f>
        <v>379</v>
      </c>
      <c r="P443" t="str">
        <f>VLOOKUP(Продажи[[#This Row],[id клиента]],Таблица4[#All],7,FALSE)</f>
        <v>Узбекистан</v>
      </c>
    </row>
    <row r="444" spans="1:16" x14ac:dyDescent="0.25">
      <c r="A444">
        <v>443</v>
      </c>
      <c r="B444">
        <v>217</v>
      </c>
      <c r="C444">
        <v>471</v>
      </c>
      <c r="D444">
        <v>3</v>
      </c>
      <c r="E444">
        <v>1413</v>
      </c>
      <c r="F444" s="23">
        <v>45206</v>
      </c>
      <c r="G444" t="s">
        <v>14</v>
      </c>
      <c r="H444">
        <v>425</v>
      </c>
      <c r="I444" t="str">
        <f>VLOOKUP(Продажи[[#This Row],[id товара]],Товары[#All],2,FALSE)</f>
        <v>Мясо</v>
      </c>
      <c r="J444" s="19">
        <f>AVERAGEIF(Продажи[Категория товара],Продажи[[#This Row],[Категория товара]],Продажи[цена за шт в рублях])</f>
        <v>271.74545454545455</v>
      </c>
      <c r="K444" s="20">
        <f>Продажи[[#This Row],[цена за шт в рублях]]/Продажи[[#This Row],[Средняя цена в категории за шт]]-1</f>
        <v>0.73323966278602959</v>
      </c>
      <c r="L444" t="str">
        <f>VLOOKUP(Продажи[[#This Row],[id товара]],Товары[#All],3,FALSE)</f>
        <v>Агрокомплекс</v>
      </c>
      <c r="M4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444" s="23">
        <f>VLOOKUP(Продажи[[#This Row],[id клиента]],Таблица4[#All],5,FALSE)</f>
        <v>44782</v>
      </c>
      <c r="O444">
        <f>Продажи[[#This Row],[дата создания чека]]-Продажи[[#This Row],[Дата регистрации клиентов]]</f>
        <v>424</v>
      </c>
      <c r="P444" t="str">
        <f>VLOOKUP(Продажи[[#This Row],[id клиента]],Таблица4[#All],7,FALSE)</f>
        <v>Узбекистан</v>
      </c>
    </row>
    <row r="445" spans="1:16" x14ac:dyDescent="0.25">
      <c r="A445">
        <v>444</v>
      </c>
      <c r="B445">
        <v>47</v>
      </c>
      <c r="C445">
        <v>315</v>
      </c>
      <c r="D445">
        <v>3</v>
      </c>
      <c r="E445">
        <v>945</v>
      </c>
      <c r="F445" s="23">
        <v>45362</v>
      </c>
      <c r="G445" t="s">
        <v>22</v>
      </c>
      <c r="H445">
        <v>140</v>
      </c>
      <c r="I445" t="str">
        <f>VLOOKUP(Продажи[[#This Row],[id товара]],Товары[#All],2,FALSE)</f>
        <v>Мясо</v>
      </c>
      <c r="J445" s="19">
        <f>AVERAGEIF(Продажи[Категория товара],Продажи[[#This Row],[Категория товара]],Продажи[цена за шт в рублях])</f>
        <v>271.74545454545455</v>
      </c>
      <c r="K445" s="20">
        <f>Продажи[[#This Row],[цена за шт в рублях]]/Продажи[[#This Row],[Средняя цена в категории за шт]]-1</f>
        <v>0.15917302288237645</v>
      </c>
      <c r="L445" t="str">
        <f>VLOOKUP(Продажи[[#This Row],[id товара]],Товары[#All],3,FALSE)</f>
        <v>Снежана</v>
      </c>
      <c r="M4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445" s="23">
        <f>VLOOKUP(Продажи[[#This Row],[id клиента]],Таблица4[#All],5,FALSE)</f>
        <v>44627</v>
      </c>
      <c r="O445">
        <f>Продажи[[#This Row],[дата создания чека]]-Продажи[[#This Row],[Дата регистрации клиентов]]</f>
        <v>735</v>
      </c>
      <c r="P445" t="str">
        <f>VLOOKUP(Продажи[[#This Row],[id клиента]],Таблица4[#All],7,FALSE)</f>
        <v>Россия</v>
      </c>
    </row>
    <row r="446" spans="1:16" x14ac:dyDescent="0.25">
      <c r="A446">
        <v>445</v>
      </c>
      <c r="B446">
        <v>346</v>
      </c>
      <c r="C446">
        <v>267</v>
      </c>
      <c r="D446">
        <v>3</v>
      </c>
      <c r="E446">
        <v>801</v>
      </c>
      <c r="F446" s="23">
        <v>45406</v>
      </c>
      <c r="G446" t="s">
        <v>21</v>
      </c>
      <c r="H446">
        <v>385</v>
      </c>
      <c r="I446" t="str">
        <f>VLOOKUP(Продажи[[#This Row],[id товара]],Товары[#All],2,FALSE)</f>
        <v>Чай</v>
      </c>
      <c r="J446" s="19">
        <f>AVERAGEIF(Продажи[Категория товара],Продажи[[#This Row],[Категория товара]],Продажи[цена за шт в рублях])</f>
        <v>271.18181818181819</v>
      </c>
      <c r="K446" s="20">
        <f>Продажи[[#This Row],[цена за шт в рублях]]/Продажи[[#This Row],[Средняя цена в категории за шт]]-1</f>
        <v>-1.5420717398592076E-2</v>
      </c>
      <c r="L446" t="str">
        <f>VLOOKUP(Продажи[[#This Row],[id товара]],Товары[#All],3,FALSE)</f>
        <v>Greenfield</v>
      </c>
      <c r="M4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46" s="23">
        <f>VLOOKUP(Продажи[[#This Row],[id клиента]],Таблица4[#All],5,FALSE)</f>
        <v>44753</v>
      </c>
      <c r="O446">
        <f>Продажи[[#This Row],[дата создания чека]]-Продажи[[#This Row],[Дата регистрации клиентов]]</f>
        <v>653</v>
      </c>
      <c r="P446" t="str">
        <f>VLOOKUP(Продажи[[#This Row],[id клиента]],Таблица4[#All],7,FALSE)</f>
        <v>Украина</v>
      </c>
    </row>
    <row r="447" spans="1:16" x14ac:dyDescent="0.25">
      <c r="A447">
        <v>446</v>
      </c>
      <c r="B447">
        <v>47</v>
      </c>
      <c r="C447">
        <v>476</v>
      </c>
      <c r="D447">
        <v>4</v>
      </c>
      <c r="E447">
        <v>1904</v>
      </c>
      <c r="F447" s="23">
        <v>45425</v>
      </c>
      <c r="G447" t="s">
        <v>13</v>
      </c>
      <c r="H447">
        <v>43</v>
      </c>
      <c r="I447" t="str">
        <f>VLOOKUP(Продажи[[#This Row],[id товара]],Товары[#All],2,FALSE)</f>
        <v>Мясо</v>
      </c>
      <c r="J447" s="19">
        <f>AVERAGEIF(Продажи[Категория товара],Продажи[[#This Row],[Категория товара]],Продажи[цена за шт в рублях])</f>
        <v>271.74545454545455</v>
      </c>
      <c r="K447" s="20">
        <f>Продажи[[#This Row],[цена за шт в рублях]]/Продажи[[#This Row],[Средняя цена в категории за шт]]-1</f>
        <v>0.75163923457781334</v>
      </c>
      <c r="L447" t="str">
        <f>VLOOKUP(Продажи[[#This Row],[id товара]],Товары[#All],3,FALSE)</f>
        <v>Снежана</v>
      </c>
      <c r="M4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447" s="23">
        <f>VLOOKUP(Продажи[[#This Row],[id клиента]],Таблица4[#All],5,FALSE)</f>
        <v>44912</v>
      </c>
      <c r="O447">
        <f>Продажи[[#This Row],[дата создания чека]]-Продажи[[#This Row],[Дата регистрации клиентов]]</f>
        <v>513</v>
      </c>
      <c r="P447" t="str">
        <f>VLOOKUP(Продажи[[#This Row],[id клиента]],Таблица4[#All],7,FALSE)</f>
        <v>Россия</v>
      </c>
    </row>
    <row r="448" spans="1:16" x14ac:dyDescent="0.25">
      <c r="A448">
        <v>447</v>
      </c>
      <c r="B448">
        <v>290</v>
      </c>
      <c r="C448">
        <v>97</v>
      </c>
      <c r="D448">
        <v>4</v>
      </c>
      <c r="E448">
        <v>388</v>
      </c>
      <c r="F448" s="23">
        <v>45256</v>
      </c>
      <c r="G448" t="s">
        <v>19</v>
      </c>
      <c r="H448">
        <v>326</v>
      </c>
      <c r="I448" t="str">
        <f>VLOOKUP(Продажи[[#This Row],[id товара]],Товары[#All],2,FALSE)</f>
        <v>Сахар</v>
      </c>
      <c r="J448" s="19">
        <f>AVERAGEIF(Продажи[Категория товара],Продажи[[#This Row],[Категория товара]],Продажи[цена за шт в рублях])</f>
        <v>252.76271186440678</v>
      </c>
      <c r="K448" s="20">
        <f>Продажи[[#This Row],[цена за шт в рублях]]/Продажи[[#This Row],[Средняя цена в категории за шт]]-1</f>
        <v>-0.6162408636759874</v>
      </c>
      <c r="L448" t="str">
        <f>VLOOKUP(Продажи[[#This Row],[id товара]],Товары[#All],3,FALSE)</f>
        <v>Продимекс</v>
      </c>
      <c r="M4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448" s="23">
        <f>VLOOKUP(Продажи[[#This Row],[id клиента]],Таблица4[#All],5,FALSE)</f>
        <v>44655</v>
      </c>
      <c r="O448">
        <f>Продажи[[#This Row],[дата создания чека]]-Продажи[[#This Row],[Дата регистрации клиентов]]</f>
        <v>601</v>
      </c>
      <c r="P448" t="str">
        <f>VLOOKUP(Продажи[[#This Row],[id клиента]],Таблица4[#All],7,FALSE)</f>
        <v>Россия</v>
      </c>
    </row>
    <row r="449" spans="1:16" x14ac:dyDescent="0.25">
      <c r="A449">
        <v>448</v>
      </c>
      <c r="B449">
        <v>484</v>
      </c>
      <c r="C449">
        <v>114</v>
      </c>
      <c r="D449">
        <v>1</v>
      </c>
      <c r="E449">
        <v>114</v>
      </c>
      <c r="F449" s="23">
        <v>45007</v>
      </c>
      <c r="G449" t="s">
        <v>27</v>
      </c>
      <c r="H449">
        <v>402</v>
      </c>
      <c r="I449" t="str">
        <f>VLOOKUP(Продажи[[#This Row],[id товара]],Товары[#All],2,FALSE)</f>
        <v>Печенье</v>
      </c>
      <c r="J449" s="19">
        <f>AVERAGEIF(Продажи[Категория товара],Продажи[[#This Row],[Категория товара]],Продажи[цена за шт в рублях])</f>
        <v>283.468085106383</v>
      </c>
      <c r="K449" s="20">
        <f>Продажи[[#This Row],[цена за шт в рублях]]/Продажи[[#This Row],[Средняя цена в категории за шт]]-1</f>
        <v>-0.59783832470164389</v>
      </c>
      <c r="L449" t="str">
        <f>VLOOKUP(Продажи[[#This Row],[id товара]],Товары[#All],3,FALSE)</f>
        <v>КДВ</v>
      </c>
      <c r="M4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449" s="23">
        <f>VLOOKUP(Продажи[[#This Row],[id клиента]],Таблица4[#All],5,FALSE)</f>
        <v>44742</v>
      </c>
      <c r="O449">
        <f>Продажи[[#This Row],[дата создания чека]]-Продажи[[#This Row],[Дата регистрации клиентов]]</f>
        <v>265</v>
      </c>
      <c r="P449" t="str">
        <f>VLOOKUP(Продажи[[#This Row],[id клиента]],Таблица4[#All],7,FALSE)</f>
        <v>Узбекистан</v>
      </c>
    </row>
    <row r="450" spans="1:16" x14ac:dyDescent="0.25">
      <c r="A450">
        <v>449</v>
      </c>
      <c r="B450">
        <v>192</v>
      </c>
      <c r="C450">
        <v>147</v>
      </c>
      <c r="D450">
        <v>1</v>
      </c>
      <c r="E450">
        <v>147</v>
      </c>
      <c r="F450" s="23">
        <v>44935</v>
      </c>
      <c r="G450" t="s">
        <v>15</v>
      </c>
      <c r="H450">
        <v>23</v>
      </c>
      <c r="I450" t="str">
        <f>VLOOKUP(Продажи[[#This Row],[id товара]],Товары[#All],2,FALSE)</f>
        <v>Мясо</v>
      </c>
      <c r="J450" s="19">
        <f>AVERAGEIF(Продажи[Категория товара],Продажи[[#This Row],[Категория товара]],Продажи[цена за шт в рублях])</f>
        <v>271.74545454545455</v>
      </c>
      <c r="K450" s="20">
        <f>Продажи[[#This Row],[цена за шт в рублях]]/Продажи[[#This Row],[Средняя цена в категории за шт]]-1</f>
        <v>-0.45905258932155757</v>
      </c>
      <c r="L450" t="str">
        <f>VLOOKUP(Продажи[[#This Row],[id товара]],Товары[#All],3,FALSE)</f>
        <v>Снежана</v>
      </c>
      <c r="M4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450" s="23">
        <f>VLOOKUP(Продажи[[#This Row],[id клиента]],Таблица4[#All],5,FALSE)</f>
        <v>44706</v>
      </c>
      <c r="O450">
        <f>Продажи[[#This Row],[дата создания чека]]-Продажи[[#This Row],[Дата регистрации клиентов]]</f>
        <v>229</v>
      </c>
      <c r="P450" t="str">
        <f>VLOOKUP(Продажи[[#This Row],[id клиента]],Таблица4[#All],7,FALSE)</f>
        <v>Россия</v>
      </c>
    </row>
    <row r="451" spans="1:16" x14ac:dyDescent="0.25">
      <c r="A451">
        <v>450</v>
      </c>
      <c r="B451">
        <v>187</v>
      </c>
      <c r="C451">
        <v>185</v>
      </c>
      <c r="D451">
        <v>2</v>
      </c>
      <c r="E451">
        <v>370</v>
      </c>
      <c r="F451" s="23">
        <v>45102</v>
      </c>
      <c r="G451" t="s">
        <v>16</v>
      </c>
      <c r="H451">
        <v>468</v>
      </c>
      <c r="I451" t="str">
        <f>VLOOKUP(Продажи[[#This Row],[id товара]],Товары[#All],2,FALSE)</f>
        <v>Макароны</v>
      </c>
      <c r="J451" s="19">
        <f>AVERAGEIF(Продажи[Категория товара],Продажи[[#This Row],[Категория товара]],Продажи[цена за шт в рублях])</f>
        <v>265.47674418604652</v>
      </c>
      <c r="K451" s="20">
        <f>Продажи[[#This Row],[цена за шт в рублях]]/Продажи[[#This Row],[Средняя цена в категории за шт]]-1</f>
        <v>-0.30314046690902718</v>
      </c>
      <c r="L451" t="str">
        <f>VLOOKUP(Продажи[[#This Row],[id товара]],Товары[#All],3,FALSE)</f>
        <v>Паста Зара</v>
      </c>
      <c r="M4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451" s="23">
        <f>VLOOKUP(Продажи[[#This Row],[id клиента]],Таблица4[#All],5,FALSE)</f>
        <v>44619</v>
      </c>
      <c r="O451">
        <f>Продажи[[#This Row],[дата создания чека]]-Продажи[[#This Row],[Дата регистрации клиентов]]</f>
        <v>483</v>
      </c>
      <c r="P451" t="str">
        <f>VLOOKUP(Продажи[[#This Row],[id клиента]],Таблица4[#All],7,FALSE)</f>
        <v>Узбекистан</v>
      </c>
    </row>
    <row r="452" spans="1:16" x14ac:dyDescent="0.25">
      <c r="A452">
        <v>451</v>
      </c>
      <c r="B452">
        <v>429</v>
      </c>
      <c r="C452">
        <v>368</v>
      </c>
      <c r="D452">
        <v>2</v>
      </c>
      <c r="E452">
        <v>736</v>
      </c>
      <c r="F452" s="23">
        <v>45008</v>
      </c>
      <c r="G452" t="s">
        <v>14</v>
      </c>
      <c r="H452">
        <v>16</v>
      </c>
      <c r="I452" t="str">
        <f>VLOOKUP(Продажи[[#This Row],[id товара]],Товары[#All],2,FALSE)</f>
        <v>Крупа</v>
      </c>
      <c r="J452" s="19">
        <f>AVERAGEIF(Продажи[Категория товара],Продажи[[#This Row],[Категория товара]],Продажи[цена за шт в рублях])</f>
        <v>255.11627906976744</v>
      </c>
      <c r="K452" s="20">
        <f>Продажи[[#This Row],[цена за шт в рублях]]/Продажи[[#This Row],[Средняя цена в категории за шт]]-1</f>
        <v>0.44247948951686422</v>
      </c>
      <c r="L452" t="str">
        <f>VLOOKUP(Продажи[[#This Row],[id товара]],Товары[#All],3,FALSE)</f>
        <v>Увелка</v>
      </c>
      <c r="M4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452" s="23">
        <f>VLOOKUP(Продажи[[#This Row],[id клиента]],Таблица4[#All],5,FALSE)</f>
        <v>44713</v>
      </c>
      <c r="O452">
        <f>Продажи[[#This Row],[дата создания чека]]-Продажи[[#This Row],[Дата регистрации клиентов]]</f>
        <v>295</v>
      </c>
      <c r="P452" t="str">
        <f>VLOOKUP(Продажи[[#This Row],[id клиента]],Таблица4[#All],7,FALSE)</f>
        <v>Украина</v>
      </c>
    </row>
    <row r="453" spans="1:16" x14ac:dyDescent="0.25">
      <c r="A453">
        <v>452</v>
      </c>
      <c r="B453">
        <v>93</v>
      </c>
      <c r="C453">
        <v>387</v>
      </c>
      <c r="D453">
        <v>2</v>
      </c>
      <c r="E453">
        <v>774</v>
      </c>
      <c r="F453" s="23">
        <v>45219</v>
      </c>
      <c r="G453" t="s">
        <v>16</v>
      </c>
      <c r="H453">
        <v>156</v>
      </c>
      <c r="I453" t="str">
        <f>VLOOKUP(Продажи[[#This Row],[id товара]],Товары[#All],2,FALSE)</f>
        <v>Чай</v>
      </c>
      <c r="J453" s="19">
        <f>AVERAGEIF(Продажи[Категория товара],Продажи[[#This Row],[Категория товара]],Продажи[цена за шт в рублях])</f>
        <v>271.18181818181819</v>
      </c>
      <c r="K453" s="20">
        <f>Продажи[[#This Row],[цена за шт в рублях]]/Продажи[[#This Row],[Средняя цена в категории за шт]]-1</f>
        <v>0.42708682534361375</v>
      </c>
      <c r="L453" t="str">
        <f>VLOOKUP(Продажи[[#This Row],[id товара]],Товары[#All],3,FALSE)</f>
        <v>Greenfield</v>
      </c>
      <c r="M4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53" s="23">
        <f>VLOOKUP(Продажи[[#This Row],[id клиента]],Таблица4[#All],5,FALSE)</f>
        <v>44905</v>
      </c>
      <c r="O453">
        <f>Продажи[[#This Row],[дата создания чека]]-Продажи[[#This Row],[Дата регистрации клиентов]]</f>
        <v>314</v>
      </c>
      <c r="P453" t="str">
        <f>VLOOKUP(Продажи[[#This Row],[id клиента]],Таблица4[#All],7,FALSE)</f>
        <v>Украина</v>
      </c>
    </row>
    <row r="454" spans="1:16" x14ac:dyDescent="0.25">
      <c r="A454">
        <v>453</v>
      </c>
      <c r="B454">
        <v>57</v>
      </c>
      <c r="C454">
        <v>174</v>
      </c>
      <c r="D454">
        <v>2</v>
      </c>
      <c r="E454">
        <v>348</v>
      </c>
      <c r="F454" s="23">
        <v>44973</v>
      </c>
      <c r="G454" t="s">
        <v>15</v>
      </c>
      <c r="H454">
        <v>141</v>
      </c>
      <c r="I454" t="str">
        <f>VLOOKUP(Продажи[[#This Row],[id товара]],Товары[#All],2,FALSE)</f>
        <v>Печенье</v>
      </c>
      <c r="J454" s="19">
        <f>AVERAGEIF(Продажи[Категория товара],Продажи[[#This Row],[Категория товара]],Продажи[цена за шт в рублях])</f>
        <v>283.468085106383</v>
      </c>
      <c r="K454" s="20">
        <f>Продажи[[#This Row],[цена за шт в рублях]]/Продажи[[#This Row],[Средняя цена в категории за шт]]-1</f>
        <v>-0.38617428507092999</v>
      </c>
      <c r="L454" t="str">
        <f>VLOOKUP(Продажи[[#This Row],[id товара]],Товары[#All],3,FALSE)</f>
        <v>Юбилейное</v>
      </c>
      <c r="M4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454" s="23">
        <f>VLOOKUP(Продажи[[#This Row],[id клиента]],Таблица4[#All],5,FALSE)</f>
        <v>44743</v>
      </c>
      <c r="O454">
        <f>Продажи[[#This Row],[дата создания чека]]-Продажи[[#This Row],[Дата регистрации клиентов]]</f>
        <v>230</v>
      </c>
      <c r="P454" t="str">
        <f>VLOOKUP(Продажи[[#This Row],[id клиента]],Таблица4[#All],7,FALSE)</f>
        <v>Россия</v>
      </c>
    </row>
    <row r="455" spans="1:16" x14ac:dyDescent="0.25">
      <c r="A455">
        <v>454</v>
      </c>
      <c r="B455">
        <v>198</v>
      </c>
      <c r="C455">
        <v>438</v>
      </c>
      <c r="D455">
        <v>4</v>
      </c>
      <c r="E455">
        <v>1752</v>
      </c>
      <c r="F455" s="23">
        <v>45312</v>
      </c>
      <c r="G455" t="s">
        <v>23</v>
      </c>
      <c r="H455">
        <v>385</v>
      </c>
      <c r="I455" t="str">
        <f>VLOOKUP(Продажи[[#This Row],[id товара]],Товары[#All],2,FALSE)</f>
        <v>Мясо</v>
      </c>
      <c r="J455" s="19">
        <f>AVERAGEIF(Продажи[Категория товара],Продажи[[#This Row],[Категория товара]],Продажи[цена за шт в рублях])</f>
        <v>271.74545454545455</v>
      </c>
      <c r="K455" s="20">
        <f>Продажи[[#This Row],[цена за шт в рублях]]/Продажи[[#This Row],[Средняя цена в категории за шт]]-1</f>
        <v>0.61180248896025691</v>
      </c>
      <c r="L455" t="str">
        <f>VLOOKUP(Продажи[[#This Row],[id товара]],Товары[#All],3,FALSE)</f>
        <v>Мираторг</v>
      </c>
      <c r="M4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455" s="23">
        <f>VLOOKUP(Продажи[[#This Row],[id клиента]],Таблица4[#All],5,FALSE)</f>
        <v>44753</v>
      </c>
      <c r="O455">
        <f>Продажи[[#This Row],[дата создания чека]]-Продажи[[#This Row],[Дата регистрации клиентов]]</f>
        <v>559</v>
      </c>
      <c r="P455" t="str">
        <f>VLOOKUP(Продажи[[#This Row],[id клиента]],Таблица4[#All],7,FALSE)</f>
        <v>Украина</v>
      </c>
    </row>
    <row r="456" spans="1:16" x14ac:dyDescent="0.25">
      <c r="A456">
        <v>455</v>
      </c>
      <c r="B456">
        <v>202</v>
      </c>
      <c r="C456">
        <v>308</v>
      </c>
      <c r="D456">
        <v>2</v>
      </c>
      <c r="E456">
        <v>616</v>
      </c>
      <c r="F456" s="23">
        <v>45410</v>
      </c>
      <c r="G456" t="s">
        <v>20</v>
      </c>
      <c r="H456">
        <v>182</v>
      </c>
      <c r="I456" t="str">
        <f>VLOOKUP(Продажи[[#This Row],[id товара]],Товары[#All],2,FALSE)</f>
        <v>Овощи</v>
      </c>
      <c r="J456" s="19">
        <f>AVERAGEIF(Продажи[Категория товара],Продажи[[#This Row],[Категория товара]],Продажи[цена за шт в рублях])</f>
        <v>250.48780487804879</v>
      </c>
      <c r="K456" s="20">
        <f>Продажи[[#This Row],[цена за шт в рублях]]/Продажи[[#This Row],[Средняя цена в категории за шт]]-1</f>
        <v>0.22960077896786757</v>
      </c>
      <c r="L456" t="str">
        <f>VLOOKUP(Продажи[[#This Row],[id товара]],Товары[#All],3,FALSE)</f>
        <v>Овощной ряд</v>
      </c>
      <c r="M4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456" s="23">
        <f>VLOOKUP(Продажи[[#This Row],[id клиента]],Таблица4[#All],5,FALSE)</f>
        <v>44856</v>
      </c>
      <c r="O456">
        <f>Продажи[[#This Row],[дата создания чека]]-Продажи[[#This Row],[Дата регистрации клиентов]]</f>
        <v>554</v>
      </c>
      <c r="P456" t="str">
        <f>VLOOKUP(Продажи[[#This Row],[id клиента]],Таблица4[#All],7,FALSE)</f>
        <v>Узбекистан</v>
      </c>
    </row>
    <row r="457" spans="1:16" x14ac:dyDescent="0.25">
      <c r="A457">
        <v>456</v>
      </c>
      <c r="B457">
        <v>427</v>
      </c>
      <c r="C457">
        <v>240</v>
      </c>
      <c r="D457">
        <v>1</v>
      </c>
      <c r="E457">
        <v>240</v>
      </c>
      <c r="F457" s="23">
        <v>45420</v>
      </c>
      <c r="G457" t="s">
        <v>10</v>
      </c>
      <c r="H457">
        <v>225</v>
      </c>
      <c r="I457" t="str">
        <f>VLOOKUP(Продажи[[#This Row],[id товара]],Товары[#All],2,FALSE)</f>
        <v>Хлеб</v>
      </c>
      <c r="J457" s="19">
        <f>AVERAGEIF(Продажи[Категория товара],Продажи[[#This Row],[Категория товара]],Продажи[цена за шт в рублях])</f>
        <v>300.31818181818181</v>
      </c>
      <c r="K457" s="20">
        <f>Продажи[[#This Row],[цена за шт в рублях]]/Продажи[[#This Row],[Средняя цена в категории за шт]]-1</f>
        <v>-0.20084758589374907</v>
      </c>
      <c r="L457" t="str">
        <f>VLOOKUP(Продажи[[#This Row],[id товара]],Товары[#All],3,FALSE)</f>
        <v>Русский Хлеб</v>
      </c>
      <c r="M4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457" s="23">
        <f>VLOOKUP(Продажи[[#This Row],[id клиента]],Таблица4[#All],5,FALSE)</f>
        <v>44827</v>
      </c>
      <c r="O457">
        <f>Продажи[[#This Row],[дата создания чека]]-Продажи[[#This Row],[Дата регистрации клиентов]]</f>
        <v>593</v>
      </c>
      <c r="P457" t="str">
        <f>VLOOKUP(Продажи[[#This Row],[id клиента]],Таблица4[#All],7,FALSE)</f>
        <v>Беларусь</v>
      </c>
    </row>
    <row r="458" spans="1:16" x14ac:dyDescent="0.25">
      <c r="A458">
        <v>457</v>
      </c>
      <c r="B458">
        <v>272</v>
      </c>
      <c r="C458">
        <v>67</v>
      </c>
      <c r="D458">
        <v>3</v>
      </c>
      <c r="E458">
        <v>201</v>
      </c>
      <c r="F458" s="23">
        <v>45366</v>
      </c>
      <c r="G458" t="s">
        <v>13</v>
      </c>
      <c r="H458">
        <v>151</v>
      </c>
      <c r="I458" t="str">
        <f>VLOOKUP(Продажи[[#This Row],[id товара]],Товары[#All],2,FALSE)</f>
        <v>Крупа</v>
      </c>
      <c r="J458" s="19">
        <f>AVERAGEIF(Продажи[Категория товара],Продажи[[#This Row],[Категория товара]],Продажи[цена за шт в рублях])</f>
        <v>255.11627906976744</v>
      </c>
      <c r="K458" s="20">
        <f>Продажи[[#This Row],[цена за шт в рублях]]/Продажи[[#This Row],[Средняя цена в категории за шт]]-1</f>
        <v>-0.73737465815861447</v>
      </c>
      <c r="L458" t="str">
        <f>VLOOKUP(Продажи[[#This Row],[id товара]],Товары[#All],3,FALSE)</f>
        <v>Ярмарка</v>
      </c>
      <c r="M4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458" s="23">
        <f>VLOOKUP(Продажи[[#This Row],[id клиента]],Таблица4[#All],5,FALSE)</f>
        <v>44923</v>
      </c>
      <c r="O458">
        <f>Продажи[[#This Row],[дата создания чека]]-Продажи[[#This Row],[Дата регистрации клиентов]]</f>
        <v>443</v>
      </c>
      <c r="P458" t="str">
        <f>VLOOKUP(Продажи[[#This Row],[id клиента]],Таблица4[#All],7,FALSE)</f>
        <v>Беларусь</v>
      </c>
    </row>
    <row r="459" spans="1:16" x14ac:dyDescent="0.25">
      <c r="A459">
        <v>458</v>
      </c>
      <c r="B459">
        <v>473</v>
      </c>
      <c r="C459">
        <v>474</v>
      </c>
      <c r="D459">
        <v>2</v>
      </c>
      <c r="E459">
        <v>948</v>
      </c>
      <c r="F459" s="23">
        <v>44976</v>
      </c>
      <c r="G459" t="s">
        <v>12</v>
      </c>
      <c r="H459">
        <v>428</v>
      </c>
      <c r="I459" t="str">
        <f>VLOOKUP(Продажи[[#This Row],[id товара]],Товары[#All],2,FALSE)</f>
        <v>Хлеб</v>
      </c>
      <c r="J459" s="19">
        <f>AVERAGEIF(Продажи[Категория товара],Продажи[[#This Row],[Категория товара]],Продажи[цена за шт в рублях])</f>
        <v>300.31818181818181</v>
      </c>
      <c r="K459" s="20">
        <f>Продажи[[#This Row],[цена за шт в рублях]]/Продажи[[#This Row],[Средняя цена в категории за шт]]-1</f>
        <v>0.57832601785984572</v>
      </c>
      <c r="L459" t="str">
        <f>VLOOKUP(Продажи[[#This Row],[id товара]],Товары[#All],3,FALSE)</f>
        <v>Хлебный Дом</v>
      </c>
      <c r="M4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459" s="23">
        <f>VLOOKUP(Продажи[[#This Row],[id клиента]],Таблица4[#All],5,FALSE)</f>
        <v>44848</v>
      </c>
      <c r="O459">
        <f>Продажи[[#This Row],[дата создания чека]]-Продажи[[#This Row],[Дата регистрации клиентов]]</f>
        <v>128</v>
      </c>
      <c r="P459" t="str">
        <f>VLOOKUP(Продажи[[#This Row],[id клиента]],Таблица4[#All],7,FALSE)</f>
        <v>Беларусь</v>
      </c>
    </row>
    <row r="460" spans="1:16" x14ac:dyDescent="0.25">
      <c r="A460">
        <v>459</v>
      </c>
      <c r="B460">
        <v>189</v>
      </c>
      <c r="C460">
        <v>275</v>
      </c>
      <c r="D460">
        <v>4</v>
      </c>
      <c r="E460">
        <v>1100</v>
      </c>
      <c r="F460" s="23">
        <v>45176</v>
      </c>
      <c r="G460" t="s">
        <v>22</v>
      </c>
      <c r="H460">
        <v>438</v>
      </c>
      <c r="I460" t="str">
        <f>VLOOKUP(Продажи[[#This Row],[id товара]],Товары[#All],2,FALSE)</f>
        <v>Хлеб</v>
      </c>
      <c r="J460" s="19">
        <f>AVERAGEIF(Продажи[Категория товара],Продажи[[#This Row],[Категория товара]],Продажи[цена за шт в рублях])</f>
        <v>300.31818181818181</v>
      </c>
      <c r="K460" s="20">
        <f>Продажи[[#This Row],[цена за шт в рублях]]/Продажи[[#This Row],[Средняя цена в категории за шт]]-1</f>
        <v>-8.4304525503254069E-2</v>
      </c>
      <c r="L460" t="str">
        <f>VLOOKUP(Продажи[[#This Row],[id товара]],Товары[#All],3,FALSE)</f>
        <v>Дарница</v>
      </c>
      <c r="M4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460" s="23">
        <f>VLOOKUP(Продажи[[#This Row],[id клиента]],Таблица4[#All],5,FALSE)</f>
        <v>44693</v>
      </c>
      <c r="O460">
        <f>Продажи[[#This Row],[дата создания чека]]-Продажи[[#This Row],[Дата регистрации клиентов]]</f>
        <v>483</v>
      </c>
      <c r="P460" t="str">
        <f>VLOOKUP(Продажи[[#This Row],[id клиента]],Таблица4[#All],7,FALSE)</f>
        <v>Узбекистан</v>
      </c>
    </row>
    <row r="461" spans="1:16" x14ac:dyDescent="0.25">
      <c r="A461">
        <v>460</v>
      </c>
      <c r="B461">
        <v>362</v>
      </c>
      <c r="C461">
        <v>358</v>
      </c>
      <c r="D461">
        <v>4</v>
      </c>
      <c r="E461">
        <v>1432</v>
      </c>
      <c r="F461" s="23">
        <v>44972</v>
      </c>
      <c r="G461" t="s">
        <v>11</v>
      </c>
      <c r="H461">
        <v>465</v>
      </c>
      <c r="I461" t="str">
        <f>VLOOKUP(Продажи[[#This Row],[id товара]],Товары[#All],2,FALSE)</f>
        <v>Хлеб</v>
      </c>
      <c r="J461" s="19">
        <f>AVERAGEIF(Продажи[Категория товара],Продажи[[#This Row],[Категория товара]],Продажи[цена за шт в рублях])</f>
        <v>300.31818181818181</v>
      </c>
      <c r="K461" s="20">
        <f>Продажи[[#This Row],[цена за шт в рублях]]/Продажи[[#This Row],[Средняя цена в категории за шт]]-1</f>
        <v>0.19206901770849094</v>
      </c>
      <c r="L461" t="str">
        <f>VLOOKUP(Продажи[[#This Row],[id товара]],Товары[#All],3,FALSE)</f>
        <v>Русский Хлеб</v>
      </c>
      <c r="M4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461" s="23">
        <f>VLOOKUP(Продажи[[#This Row],[id клиента]],Таблица4[#All],5,FALSE)</f>
        <v>44671</v>
      </c>
      <c r="O461">
        <f>Продажи[[#This Row],[дата создания чека]]-Продажи[[#This Row],[Дата регистрации клиентов]]</f>
        <v>301</v>
      </c>
      <c r="P461" t="str">
        <f>VLOOKUP(Продажи[[#This Row],[id клиента]],Таблица4[#All],7,FALSE)</f>
        <v>Узбекистан</v>
      </c>
    </row>
    <row r="462" spans="1:16" x14ac:dyDescent="0.25">
      <c r="A462">
        <v>461</v>
      </c>
      <c r="B462">
        <v>345</v>
      </c>
      <c r="C462">
        <v>455</v>
      </c>
      <c r="D462">
        <v>5</v>
      </c>
      <c r="E462">
        <v>2275</v>
      </c>
      <c r="F462" s="23">
        <v>45213</v>
      </c>
      <c r="G462" t="s">
        <v>11</v>
      </c>
      <c r="H462">
        <v>215</v>
      </c>
      <c r="I462" t="str">
        <f>VLOOKUP(Продажи[[#This Row],[id товара]],Товары[#All],2,FALSE)</f>
        <v>Конфеты</v>
      </c>
      <c r="J462" s="19">
        <f>AVERAGEIF(Продажи[Категория товара],Продажи[[#This Row],[Категория товара]],Продажи[цена за шт в рублях])</f>
        <v>267.85483870967744</v>
      </c>
      <c r="K462" s="20">
        <f>Продажи[[#This Row],[цена за шт в рублях]]/Продажи[[#This Row],[Средняя цена в категории за шт]]-1</f>
        <v>0.69868127897874377</v>
      </c>
      <c r="L462" t="str">
        <f>VLOOKUP(Продажи[[#This Row],[id товара]],Товары[#All],3,FALSE)</f>
        <v>Рот Фронт</v>
      </c>
      <c r="M4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462" s="23">
        <f>VLOOKUP(Продажи[[#This Row],[id клиента]],Таблица4[#All],5,FALSE)</f>
        <v>44799</v>
      </c>
      <c r="O462">
        <f>Продажи[[#This Row],[дата создания чека]]-Продажи[[#This Row],[Дата регистрации клиентов]]</f>
        <v>414</v>
      </c>
      <c r="P462" t="str">
        <f>VLOOKUP(Продажи[[#This Row],[id клиента]],Таблица4[#All],7,FALSE)</f>
        <v>Россия</v>
      </c>
    </row>
    <row r="463" spans="1:16" x14ac:dyDescent="0.25">
      <c r="A463">
        <v>462</v>
      </c>
      <c r="B463">
        <v>461</v>
      </c>
      <c r="C463">
        <v>443</v>
      </c>
      <c r="D463">
        <v>3</v>
      </c>
      <c r="E463">
        <v>1329</v>
      </c>
      <c r="F463" s="23">
        <v>45076</v>
      </c>
      <c r="G463" t="s">
        <v>27</v>
      </c>
      <c r="H463">
        <v>314</v>
      </c>
      <c r="I463" t="str">
        <f>VLOOKUP(Продажи[[#This Row],[id товара]],Товары[#All],2,FALSE)</f>
        <v>Фрукты</v>
      </c>
      <c r="J463" s="19">
        <f>AVERAGEIF(Продажи[Категория товара],Продажи[[#This Row],[Категория товара]],Продажи[цена за шт в рублях])</f>
        <v>274.16279069767444</v>
      </c>
      <c r="K463" s="20">
        <f>Продажи[[#This Row],[цена за шт в рублях]]/Продажи[[#This Row],[Средняя цена в категории за шт]]-1</f>
        <v>0.61582831453049436</v>
      </c>
      <c r="L463" t="str">
        <f>VLOOKUP(Продажи[[#This Row],[id товара]],Товары[#All],3,FALSE)</f>
        <v>Green Garden</v>
      </c>
      <c r="M4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369.2</v>
      </c>
      <c r="N463" s="23">
        <f>VLOOKUP(Продажи[[#This Row],[id клиента]],Таблица4[#All],5,FALSE)</f>
        <v>44899</v>
      </c>
      <c r="O463">
        <f>Продажи[[#This Row],[дата создания чека]]-Продажи[[#This Row],[Дата регистрации клиентов]]</f>
        <v>177</v>
      </c>
      <c r="P463" t="str">
        <f>VLOOKUP(Продажи[[#This Row],[id клиента]],Таблица4[#All],7,FALSE)</f>
        <v>Россия</v>
      </c>
    </row>
    <row r="464" spans="1:16" x14ac:dyDescent="0.25">
      <c r="A464">
        <v>463</v>
      </c>
      <c r="B464">
        <v>401</v>
      </c>
      <c r="C464">
        <v>464</v>
      </c>
      <c r="D464">
        <v>2</v>
      </c>
      <c r="E464">
        <v>928</v>
      </c>
      <c r="F464" s="23">
        <v>45126</v>
      </c>
      <c r="G464" t="s">
        <v>13</v>
      </c>
      <c r="H464">
        <v>15</v>
      </c>
      <c r="I464" t="str">
        <f>VLOOKUP(Продажи[[#This Row],[id товара]],Товары[#All],2,FALSE)</f>
        <v>Чай</v>
      </c>
      <c r="J464" s="19">
        <f>AVERAGEIF(Продажи[Категория товара],Продажи[[#This Row],[Категория товара]],Продажи[цена за шт в рублях])</f>
        <v>271.18181818181819</v>
      </c>
      <c r="K464" s="20">
        <f>Продажи[[#This Row],[цена за шт в рублях]]/Продажи[[#This Row],[Средняя цена в категории за шт]]-1</f>
        <v>0.7110291652698626</v>
      </c>
      <c r="L464" t="str">
        <f>VLOOKUP(Продажи[[#This Row],[id товара]],Товары[#All],3,FALSE)</f>
        <v>Greenfield</v>
      </c>
      <c r="M4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64" s="23">
        <f>VLOOKUP(Продажи[[#This Row],[id клиента]],Таблица4[#All],5,FALSE)</f>
        <v>44711</v>
      </c>
      <c r="O464">
        <f>Продажи[[#This Row],[дата создания чека]]-Продажи[[#This Row],[Дата регистрации клиентов]]</f>
        <v>415</v>
      </c>
      <c r="P464" t="str">
        <f>VLOOKUP(Продажи[[#This Row],[id клиента]],Таблица4[#All],7,FALSE)</f>
        <v>Украина</v>
      </c>
    </row>
    <row r="465" spans="1:16" x14ac:dyDescent="0.25">
      <c r="A465">
        <v>464</v>
      </c>
      <c r="B465">
        <v>427</v>
      </c>
      <c r="C465">
        <v>307</v>
      </c>
      <c r="D465">
        <v>5</v>
      </c>
      <c r="E465">
        <v>1535</v>
      </c>
      <c r="F465" s="23">
        <v>45102</v>
      </c>
      <c r="G465" t="s">
        <v>24</v>
      </c>
      <c r="H465">
        <v>191</v>
      </c>
      <c r="I465" t="str">
        <f>VLOOKUP(Продажи[[#This Row],[id товара]],Товары[#All],2,FALSE)</f>
        <v>Хлеб</v>
      </c>
      <c r="J465" s="19">
        <f>AVERAGEIF(Продажи[Категория товара],Продажи[[#This Row],[Категория товара]],Продажи[цена за шт в рублях])</f>
        <v>300.31818181818181</v>
      </c>
      <c r="K465" s="20">
        <f>Продажи[[#This Row],[цена за шт в рублях]]/Продажи[[#This Row],[Средняя цена в категории за шт]]-1</f>
        <v>2.2249129710912641E-2</v>
      </c>
      <c r="L465" t="str">
        <f>VLOOKUP(Продажи[[#This Row],[id товара]],Товары[#All],3,FALSE)</f>
        <v>Русский Хлеб</v>
      </c>
      <c r="M4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465" s="23">
        <f>VLOOKUP(Продажи[[#This Row],[id клиента]],Таблица4[#All],5,FALSE)</f>
        <v>44866</v>
      </c>
      <c r="O465">
        <f>Продажи[[#This Row],[дата создания чека]]-Продажи[[#This Row],[Дата регистрации клиентов]]</f>
        <v>236</v>
      </c>
      <c r="P465" t="str">
        <f>VLOOKUP(Продажи[[#This Row],[id клиента]],Таблица4[#All],7,FALSE)</f>
        <v>Украина</v>
      </c>
    </row>
    <row r="466" spans="1:16" x14ac:dyDescent="0.25">
      <c r="A466">
        <v>465</v>
      </c>
      <c r="B466">
        <v>129</v>
      </c>
      <c r="C466">
        <v>121</v>
      </c>
      <c r="D466">
        <v>5</v>
      </c>
      <c r="E466">
        <v>605</v>
      </c>
      <c r="F466" s="23">
        <v>45156</v>
      </c>
      <c r="G466" t="s">
        <v>24</v>
      </c>
      <c r="H466">
        <v>277</v>
      </c>
      <c r="I466" t="str">
        <f>VLOOKUP(Продажи[[#This Row],[id товара]],Товары[#All],2,FALSE)</f>
        <v>Мясо</v>
      </c>
      <c r="J466" s="19">
        <f>AVERAGEIF(Продажи[Категория товара],Продажи[[#This Row],[Категория товара]],Продажи[цена за шт в рублях])</f>
        <v>271.74545454545455</v>
      </c>
      <c r="K466" s="20">
        <f>Продажи[[#This Row],[цена за шт в рублях]]/Продажи[[#This Row],[Средняя цена в категории за шт]]-1</f>
        <v>-0.55473036263883313</v>
      </c>
      <c r="L466" t="str">
        <f>VLOOKUP(Продажи[[#This Row],[id товара]],Товары[#All],3,FALSE)</f>
        <v>Агрокомплекс</v>
      </c>
      <c r="M4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466" s="23">
        <f>VLOOKUP(Продажи[[#This Row],[id клиента]],Таблица4[#All],5,FALSE)</f>
        <v>44750</v>
      </c>
      <c r="O466">
        <f>Продажи[[#This Row],[дата создания чека]]-Продажи[[#This Row],[Дата регистрации клиентов]]</f>
        <v>406</v>
      </c>
      <c r="P466" t="str">
        <f>VLOOKUP(Продажи[[#This Row],[id клиента]],Таблица4[#All],7,FALSE)</f>
        <v>Россия</v>
      </c>
    </row>
    <row r="467" spans="1:16" x14ac:dyDescent="0.25">
      <c r="A467">
        <v>466</v>
      </c>
      <c r="B467">
        <v>84</v>
      </c>
      <c r="C467">
        <v>265</v>
      </c>
      <c r="D467">
        <v>2</v>
      </c>
      <c r="E467">
        <v>530</v>
      </c>
      <c r="F467" s="23">
        <v>45067</v>
      </c>
      <c r="G467" t="s">
        <v>8</v>
      </c>
      <c r="H467">
        <v>101</v>
      </c>
      <c r="I467" t="str">
        <f>VLOOKUP(Продажи[[#This Row],[id товара]],Товары[#All],2,FALSE)</f>
        <v>Кофе</v>
      </c>
      <c r="J467" s="19">
        <f>AVERAGEIF(Продажи[Категория товара],Продажи[[#This Row],[Категория товара]],Продажи[цена за шт в рублях])</f>
        <v>249.02380952380952</v>
      </c>
      <c r="K467" s="20">
        <f>Продажи[[#This Row],[цена за шт в рублях]]/Продажи[[#This Row],[Средняя цена в категории за шт]]-1</f>
        <v>6.4155272970647381E-2</v>
      </c>
      <c r="L467" t="str">
        <f>VLOOKUP(Продажи[[#This Row],[id товара]],Товары[#All],3,FALSE)</f>
        <v>Tchibo</v>
      </c>
      <c r="M4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140</v>
      </c>
      <c r="N467" s="23">
        <f>VLOOKUP(Продажи[[#This Row],[id клиента]],Таблица4[#All],5,FALSE)</f>
        <v>44727</v>
      </c>
      <c r="O467">
        <f>Продажи[[#This Row],[дата создания чека]]-Продажи[[#This Row],[Дата регистрации клиентов]]</f>
        <v>340</v>
      </c>
      <c r="P467" t="str">
        <f>VLOOKUP(Продажи[[#This Row],[id клиента]],Таблица4[#All],7,FALSE)</f>
        <v>Россия</v>
      </c>
    </row>
    <row r="468" spans="1:16" x14ac:dyDescent="0.25">
      <c r="A468">
        <v>467</v>
      </c>
      <c r="B468">
        <v>172</v>
      </c>
      <c r="C468">
        <v>451</v>
      </c>
      <c r="D468">
        <v>2</v>
      </c>
      <c r="E468">
        <v>902</v>
      </c>
      <c r="F468" s="23">
        <v>45217</v>
      </c>
      <c r="G468" t="s">
        <v>26</v>
      </c>
      <c r="H468">
        <v>141</v>
      </c>
      <c r="I468" t="str">
        <f>VLOOKUP(Продажи[[#This Row],[id товара]],Товары[#All],2,FALSE)</f>
        <v>Фрукты</v>
      </c>
      <c r="J468" s="19">
        <f>AVERAGEIF(Продажи[Категория товара],Продажи[[#This Row],[Категория товара]],Продажи[цена за шт в рублях])</f>
        <v>274.16279069767444</v>
      </c>
      <c r="K468" s="20">
        <f>Продажи[[#This Row],[цена за шт в рублях]]/Продажи[[#This Row],[Средняя цена в категории за шт]]-1</f>
        <v>0.64500805835948749</v>
      </c>
      <c r="L468" t="str">
        <f>VLOOKUP(Продажи[[#This Row],[id товара]],Товары[#All],3,FALSE)</f>
        <v>Green Garden</v>
      </c>
      <c r="M4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369.2</v>
      </c>
      <c r="N468" s="23">
        <f>VLOOKUP(Продажи[[#This Row],[id клиента]],Таблица4[#All],5,FALSE)</f>
        <v>44743</v>
      </c>
      <c r="O468">
        <f>Продажи[[#This Row],[дата создания чека]]-Продажи[[#This Row],[Дата регистрации клиентов]]</f>
        <v>474</v>
      </c>
      <c r="P468" t="str">
        <f>VLOOKUP(Продажи[[#This Row],[id клиента]],Таблица4[#All],7,FALSE)</f>
        <v>Россия</v>
      </c>
    </row>
    <row r="469" spans="1:16" x14ac:dyDescent="0.25">
      <c r="A469">
        <v>468</v>
      </c>
      <c r="B469">
        <v>348</v>
      </c>
      <c r="C469">
        <v>212</v>
      </c>
      <c r="D469">
        <v>5</v>
      </c>
      <c r="E469">
        <v>1060</v>
      </c>
      <c r="F469" s="23">
        <v>45231</v>
      </c>
      <c r="G469" t="s">
        <v>11</v>
      </c>
      <c r="H469">
        <v>126</v>
      </c>
      <c r="I469" t="str">
        <f>VLOOKUP(Продажи[[#This Row],[id товара]],Товары[#All],2,FALSE)</f>
        <v>Чипсы</v>
      </c>
      <c r="J469" s="19">
        <f>AVERAGEIF(Продажи[Категория товара],Продажи[[#This Row],[Категория товара]],Продажи[цена за шт в рублях])</f>
        <v>273.72549019607845</v>
      </c>
      <c r="K469" s="20">
        <f>Продажи[[#This Row],[цена за шт в рублях]]/Продажи[[#This Row],[Средняя цена в категории за шт]]-1</f>
        <v>-0.22550143266475653</v>
      </c>
      <c r="L469" t="str">
        <f>VLOOKUP(Продажи[[#This Row],[id товара]],Товары[#All],3,FALSE)</f>
        <v>Estrella</v>
      </c>
      <c r="M4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469" s="23">
        <f>VLOOKUP(Продажи[[#This Row],[id клиента]],Таблица4[#All],5,FALSE)</f>
        <v>44822</v>
      </c>
      <c r="O469">
        <f>Продажи[[#This Row],[дата создания чека]]-Продажи[[#This Row],[Дата регистрации клиентов]]</f>
        <v>409</v>
      </c>
      <c r="P469" t="str">
        <f>VLOOKUP(Продажи[[#This Row],[id клиента]],Таблица4[#All],7,FALSE)</f>
        <v>Узбекистан</v>
      </c>
    </row>
    <row r="470" spans="1:16" x14ac:dyDescent="0.25">
      <c r="A470">
        <v>469</v>
      </c>
      <c r="B470">
        <v>171</v>
      </c>
      <c r="C470">
        <v>336</v>
      </c>
      <c r="D470">
        <v>4</v>
      </c>
      <c r="E470">
        <v>1344</v>
      </c>
      <c r="F470" s="23">
        <v>45021</v>
      </c>
      <c r="G470" t="s">
        <v>15</v>
      </c>
      <c r="H470">
        <v>148</v>
      </c>
      <c r="I470" t="str">
        <f>VLOOKUP(Продажи[[#This Row],[id товара]],Товары[#All],2,FALSE)</f>
        <v>Чай</v>
      </c>
      <c r="J470" s="19">
        <f>AVERAGEIF(Продажи[Категория товара],Продажи[[#This Row],[Категория товара]],Продажи[цена за шт в рублях])</f>
        <v>271.18181818181819</v>
      </c>
      <c r="K470" s="20">
        <f>Продажи[[#This Row],[цена за шт в рублях]]/Продажи[[#This Row],[Средняя цена в категории за шт]]-1</f>
        <v>0.23902111967817641</v>
      </c>
      <c r="L470" t="str">
        <f>VLOOKUP(Продажи[[#This Row],[id товара]],Товары[#All],3,FALSE)</f>
        <v>Greenfield</v>
      </c>
      <c r="M4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470" s="23">
        <f>VLOOKUP(Продажи[[#This Row],[id клиента]],Таблица4[#All],5,FALSE)</f>
        <v>44700</v>
      </c>
      <c r="O470">
        <f>Продажи[[#This Row],[дата создания чека]]-Продажи[[#This Row],[Дата регистрации клиентов]]</f>
        <v>321</v>
      </c>
      <c r="P470" t="str">
        <f>VLOOKUP(Продажи[[#This Row],[id клиента]],Таблица4[#All],7,FALSE)</f>
        <v>Россия</v>
      </c>
    </row>
    <row r="471" spans="1:16" x14ac:dyDescent="0.25">
      <c r="A471">
        <v>470</v>
      </c>
      <c r="B471">
        <v>70</v>
      </c>
      <c r="C471">
        <v>407</v>
      </c>
      <c r="D471">
        <v>2</v>
      </c>
      <c r="E471">
        <v>814</v>
      </c>
      <c r="F471" s="23">
        <v>45197</v>
      </c>
      <c r="G471" t="s">
        <v>14</v>
      </c>
      <c r="H471">
        <v>334</v>
      </c>
      <c r="I471" t="str">
        <f>VLOOKUP(Продажи[[#This Row],[id товара]],Товары[#All],2,FALSE)</f>
        <v>Рис</v>
      </c>
      <c r="J471" s="19">
        <f>AVERAGEIF(Продажи[Категория товара],Продажи[[#This Row],[Категория товара]],Продажи[цена за шт в рублях])</f>
        <v>258.375</v>
      </c>
      <c r="K471" s="20">
        <f>Продажи[[#This Row],[цена за шт в рублях]]/Продажи[[#This Row],[Средняя цена в категории за шт]]-1</f>
        <v>0.57522980164489601</v>
      </c>
      <c r="L471" t="str">
        <f>VLOOKUP(Продажи[[#This Row],[id товара]],Товары[#All],3,FALSE)</f>
        <v>Мистраль</v>
      </c>
      <c r="M4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471" s="23">
        <f>VLOOKUP(Продажи[[#This Row],[id клиента]],Таблица4[#All],5,FALSE)</f>
        <v>44881</v>
      </c>
      <c r="O471">
        <f>Продажи[[#This Row],[дата создания чека]]-Продажи[[#This Row],[Дата регистрации клиентов]]</f>
        <v>316</v>
      </c>
      <c r="P471" t="str">
        <f>VLOOKUP(Продажи[[#This Row],[id клиента]],Таблица4[#All],7,FALSE)</f>
        <v>Украина</v>
      </c>
    </row>
    <row r="472" spans="1:16" x14ac:dyDescent="0.25">
      <c r="A472">
        <v>471</v>
      </c>
      <c r="B472">
        <v>476</v>
      </c>
      <c r="C472">
        <v>109</v>
      </c>
      <c r="D472">
        <v>4</v>
      </c>
      <c r="E472">
        <v>436</v>
      </c>
      <c r="F472" s="23">
        <v>45087</v>
      </c>
      <c r="G472" t="s">
        <v>14</v>
      </c>
      <c r="H472">
        <v>335</v>
      </c>
      <c r="I472" t="str">
        <f>VLOOKUP(Продажи[[#This Row],[id товара]],Товары[#All],2,FALSE)</f>
        <v>Рыба</v>
      </c>
      <c r="J472" s="19">
        <f>AVERAGEIF(Продажи[Категория товара],Продажи[[#This Row],[Категория товара]],Продажи[цена за шт в рублях])</f>
        <v>258.5128205128205</v>
      </c>
      <c r="K472" s="20">
        <f>Продажи[[#This Row],[цена за шт в рублях]]/Продажи[[#This Row],[Средняя цена в категории за шт]]-1</f>
        <v>-0.5783574687561992</v>
      </c>
      <c r="L472" t="str">
        <f>VLOOKUP(Продажи[[#This Row],[id товара]],Товары[#All],3,FALSE)</f>
        <v>Балтийский берег</v>
      </c>
      <c r="M4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472" s="23">
        <f>VLOOKUP(Продажи[[#This Row],[id клиента]],Таблица4[#All],5,FALSE)</f>
        <v>44619</v>
      </c>
      <c r="O472">
        <f>Продажи[[#This Row],[дата создания чека]]-Продажи[[#This Row],[Дата регистрации клиентов]]</f>
        <v>468</v>
      </c>
      <c r="P472" t="str">
        <f>VLOOKUP(Продажи[[#This Row],[id клиента]],Таблица4[#All],7,FALSE)</f>
        <v>Узбекистан</v>
      </c>
    </row>
    <row r="473" spans="1:16" x14ac:dyDescent="0.25">
      <c r="A473">
        <v>472</v>
      </c>
      <c r="B473">
        <v>49</v>
      </c>
      <c r="C473">
        <v>412</v>
      </c>
      <c r="D473">
        <v>3</v>
      </c>
      <c r="E473">
        <v>1236</v>
      </c>
      <c r="F473" s="23">
        <v>45165</v>
      </c>
      <c r="G473" t="s">
        <v>16</v>
      </c>
      <c r="H473">
        <v>370</v>
      </c>
      <c r="I473" t="str">
        <f>VLOOKUP(Продажи[[#This Row],[id товара]],Товары[#All],2,FALSE)</f>
        <v>Рис</v>
      </c>
      <c r="J473" s="19">
        <f>AVERAGEIF(Продажи[Категория товара],Продажи[[#This Row],[Категория товара]],Продажи[цена за шт в рублях])</f>
        <v>258.375</v>
      </c>
      <c r="K473" s="20">
        <f>Продажи[[#This Row],[цена за шт в рублях]]/Продажи[[#This Row],[Средняя цена в категории за шт]]-1</f>
        <v>0.59458151910982093</v>
      </c>
      <c r="L473" t="str">
        <f>VLOOKUP(Продажи[[#This Row],[id товара]],Товары[#All],3,FALSE)</f>
        <v>Агро-Альянс</v>
      </c>
      <c r="M4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473" s="23">
        <f>VLOOKUP(Продажи[[#This Row],[id клиента]],Таблица4[#All],5,FALSE)</f>
        <v>44726</v>
      </c>
      <c r="O473">
        <f>Продажи[[#This Row],[дата создания чека]]-Продажи[[#This Row],[Дата регистрации клиентов]]</f>
        <v>439</v>
      </c>
      <c r="P473" t="str">
        <f>VLOOKUP(Продажи[[#This Row],[id клиента]],Таблица4[#All],7,FALSE)</f>
        <v>Таджикистан</v>
      </c>
    </row>
    <row r="474" spans="1:16" x14ac:dyDescent="0.25">
      <c r="A474">
        <v>473</v>
      </c>
      <c r="B474">
        <v>7</v>
      </c>
      <c r="C474">
        <v>254</v>
      </c>
      <c r="D474">
        <v>2</v>
      </c>
      <c r="E474">
        <v>508</v>
      </c>
      <c r="F474" s="23">
        <v>45271</v>
      </c>
      <c r="G474" t="s">
        <v>13</v>
      </c>
      <c r="H474">
        <v>76</v>
      </c>
      <c r="I474" t="str">
        <f>VLOOKUP(Продажи[[#This Row],[id товара]],Товары[#All],2,FALSE)</f>
        <v>Сыр</v>
      </c>
      <c r="J474" s="19">
        <f>AVERAGEIF(Продажи[Категория товара],Продажи[[#This Row],[Категория товара]],Продажи[цена за шт в рублях])</f>
        <v>262.63492063492066</v>
      </c>
      <c r="K474" s="20">
        <f>Продажи[[#This Row],[цена за шт в рублях]]/Продажи[[#This Row],[Средняя цена в категории за шт]]-1</f>
        <v>-3.2878036987791681E-2</v>
      </c>
      <c r="L474" t="str">
        <f>VLOOKUP(Продажи[[#This Row],[id товара]],Товары[#All],3,FALSE)</f>
        <v>President</v>
      </c>
      <c r="M4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474" s="23">
        <f>VLOOKUP(Продажи[[#This Row],[id клиента]],Таблица4[#All],5,FALSE)</f>
        <v>44575</v>
      </c>
      <c r="O474">
        <f>Продажи[[#This Row],[дата создания чека]]-Продажи[[#This Row],[Дата регистрации клиентов]]</f>
        <v>696</v>
      </c>
      <c r="P474" t="str">
        <f>VLOOKUP(Продажи[[#This Row],[id клиента]],Таблица4[#All],7,FALSE)</f>
        <v>Беларусь</v>
      </c>
    </row>
    <row r="475" spans="1:16" x14ac:dyDescent="0.25">
      <c r="A475">
        <v>474</v>
      </c>
      <c r="B475">
        <v>180</v>
      </c>
      <c r="C475">
        <v>338</v>
      </c>
      <c r="D475">
        <v>3</v>
      </c>
      <c r="E475">
        <v>1014</v>
      </c>
      <c r="F475" s="23">
        <v>45158</v>
      </c>
      <c r="G475" t="s">
        <v>20</v>
      </c>
      <c r="H475">
        <v>25</v>
      </c>
      <c r="I475" t="str">
        <f>VLOOKUP(Продажи[[#This Row],[id товара]],Товары[#All],2,FALSE)</f>
        <v>Чипсы</v>
      </c>
      <c r="J475" s="19">
        <f>AVERAGEIF(Продажи[Категория товара],Продажи[[#This Row],[Категория товара]],Продажи[цена за шт в рублях])</f>
        <v>273.72549019607845</v>
      </c>
      <c r="K475" s="20">
        <f>Продажи[[#This Row],[цена за шт в рублях]]/Продажи[[#This Row],[Средняя цена в категории за шт]]-1</f>
        <v>0.2348137535816619</v>
      </c>
      <c r="L475" t="str">
        <f>VLOOKUP(Продажи[[#This Row],[id товара]],Товары[#All],3,FALSE)</f>
        <v>Русская картошка</v>
      </c>
      <c r="M4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475" s="23">
        <f>VLOOKUP(Продажи[[#This Row],[id клиента]],Таблица4[#All],5,FALSE)</f>
        <v>44582</v>
      </c>
      <c r="O475">
        <f>Продажи[[#This Row],[дата создания чека]]-Продажи[[#This Row],[Дата регистрации клиентов]]</f>
        <v>576</v>
      </c>
      <c r="P475" t="str">
        <f>VLOOKUP(Продажи[[#This Row],[id клиента]],Таблица4[#All],7,FALSE)</f>
        <v>Таджикистан</v>
      </c>
    </row>
    <row r="476" spans="1:16" x14ac:dyDescent="0.25">
      <c r="A476">
        <v>475</v>
      </c>
      <c r="B476">
        <v>194</v>
      </c>
      <c r="C476">
        <v>268</v>
      </c>
      <c r="D476">
        <v>5</v>
      </c>
      <c r="E476">
        <v>1340</v>
      </c>
      <c r="F476" s="23">
        <v>45408</v>
      </c>
      <c r="G476" t="s">
        <v>24</v>
      </c>
      <c r="H476">
        <v>80</v>
      </c>
      <c r="I476" t="str">
        <f>VLOOKUP(Продажи[[#This Row],[id товара]],Товары[#All],2,FALSE)</f>
        <v>Соль</v>
      </c>
      <c r="J476" s="19">
        <f>AVERAGEIF(Продажи[Категория товара],Продажи[[#This Row],[Категория товара]],Продажи[цена за шт в рублях])</f>
        <v>264.8679245283019</v>
      </c>
      <c r="K476" s="20">
        <f>Продажи[[#This Row],[цена за шт в рублях]]/Продажи[[#This Row],[Средняя цена в категории за шт]]-1</f>
        <v>1.1825046302892162E-2</v>
      </c>
      <c r="L476" t="str">
        <f>VLOOKUP(Продажи[[#This Row],[id товара]],Товары[#All],3,FALSE)</f>
        <v>Салта</v>
      </c>
      <c r="M4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476" s="23">
        <f>VLOOKUP(Продажи[[#This Row],[id клиента]],Таблица4[#All],5,FALSE)</f>
        <v>44623</v>
      </c>
      <c r="O476">
        <f>Продажи[[#This Row],[дата создания чека]]-Продажи[[#This Row],[Дата регистрации клиентов]]</f>
        <v>785</v>
      </c>
      <c r="P476" t="str">
        <f>VLOOKUP(Продажи[[#This Row],[id клиента]],Таблица4[#All],7,FALSE)</f>
        <v>Беларусь</v>
      </c>
    </row>
    <row r="477" spans="1:16" x14ac:dyDescent="0.25">
      <c r="A477">
        <v>476</v>
      </c>
      <c r="B477">
        <v>312</v>
      </c>
      <c r="C477">
        <v>223</v>
      </c>
      <c r="D477">
        <v>2</v>
      </c>
      <c r="E477">
        <v>446</v>
      </c>
      <c r="F477" s="23">
        <v>44991</v>
      </c>
      <c r="G477" t="s">
        <v>12</v>
      </c>
      <c r="H477">
        <v>276</v>
      </c>
      <c r="I477" t="str">
        <f>VLOOKUP(Продажи[[#This Row],[id товара]],Товары[#All],2,FALSE)</f>
        <v>Хлеб</v>
      </c>
      <c r="J477" s="19">
        <f>AVERAGEIF(Продажи[Категория товара],Продажи[[#This Row],[Категория товара]],Продажи[цена за шт в рублях])</f>
        <v>300.31818181818181</v>
      </c>
      <c r="K477" s="20">
        <f>Продажи[[#This Row],[цена за шт в рублях]]/Продажи[[#This Row],[Средняя цена в категории за шт]]-1</f>
        <v>-0.2574542152262751</v>
      </c>
      <c r="L477" t="str">
        <f>VLOOKUP(Продажи[[#This Row],[id товара]],Товары[#All],3,FALSE)</f>
        <v>Каравай</v>
      </c>
      <c r="M4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477" s="23">
        <f>VLOOKUP(Продажи[[#This Row],[id клиента]],Таблица4[#All],5,FALSE)</f>
        <v>44632</v>
      </c>
      <c r="O477">
        <f>Продажи[[#This Row],[дата создания чека]]-Продажи[[#This Row],[Дата регистрации клиентов]]</f>
        <v>359</v>
      </c>
      <c r="P477" t="str">
        <f>VLOOKUP(Продажи[[#This Row],[id клиента]],Таблица4[#All],7,FALSE)</f>
        <v>Таджикистан</v>
      </c>
    </row>
    <row r="478" spans="1:16" x14ac:dyDescent="0.25">
      <c r="A478">
        <v>477</v>
      </c>
      <c r="B478">
        <v>235</v>
      </c>
      <c r="C478">
        <v>455</v>
      </c>
      <c r="D478">
        <v>5</v>
      </c>
      <c r="E478">
        <v>2275</v>
      </c>
      <c r="F478" s="23">
        <v>45038</v>
      </c>
      <c r="G478" t="s">
        <v>25</v>
      </c>
      <c r="H478">
        <v>71</v>
      </c>
      <c r="I478" t="str">
        <f>VLOOKUP(Продажи[[#This Row],[id товара]],Товары[#All],2,FALSE)</f>
        <v>Хлеб</v>
      </c>
      <c r="J478" s="19">
        <f>AVERAGEIF(Продажи[Категория товара],Продажи[[#This Row],[Категория товара]],Продажи[цена за шт в рублях])</f>
        <v>300.31818181818181</v>
      </c>
      <c r="K478" s="20">
        <f>Продажи[[#This Row],[цена за шт в рублях]]/Продажи[[#This Row],[Средняя цена в категории за шт]]-1</f>
        <v>0.51505978507643402</v>
      </c>
      <c r="L478" t="str">
        <f>VLOOKUP(Продажи[[#This Row],[id товара]],Товары[#All],3,FALSE)</f>
        <v>Русский Хлеб</v>
      </c>
      <c r="M4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478" s="23">
        <f>VLOOKUP(Продажи[[#This Row],[id клиента]],Таблица4[#All],5,FALSE)</f>
        <v>44762</v>
      </c>
      <c r="O478">
        <f>Продажи[[#This Row],[дата создания чека]]-Продажи[[#This Row],[Дата регистрации клиентов]]</f>
        <v>276</v>
      </c>
      <c r="P478" t="str">
        <f>VLOOKUP(Продажи[[#This Row],[id клиента]],Таблица4[#All],7,FALSE)</f>
        <v>Украина</v>
      </c>
    </row>
    <row r="479" spans="1:16" x14ac:dyDescent="0.25">
      <c r="A479">
        <v>478</v>
      </c>
      <c r="B479">
        <v>399</v>
      </c>
      <c r="C479">
        <v>379</v>
      </c>
      <c r="D479">
        <v>1</v>
      </c>
      <c r="E479">
        <v>379</v>
      </c>
      <c r="F479" s="23">
        <v>45188</v>
      </c>
      <c r="G479" t="s">
        <v>18</v>
      </c>
      <c r="H479">
        <v>12</v>
      </c>
      <c r="I479" t="str">
        <f>VLOOKUP(Продажи[[#This Row],[id товара]],Товары[#All],2,FALSE)</f>
        <v>Хлеб</v>
      </c>
      <c r="J479" s="19">
        <f>AVERAGEIF(Продажи[Категория товара],Продажи[[#This Row],[Категория товара]],Продажи[цена за шт в рублях])</f>
        <v>300.31818181818181</v>
      </c>
      <c r="K479" s="20">
        <f>Продажи[[#This Row],[цена за шт в рублях]]/Продажи[[#This Row],[Средняя цена в категории за шт]]-1</f>
        <v>0.26199485394278788</v>
      </c>
      <c r="L479" t="str">
        <f>VLOOKUP(Продажи[[#This Row],[id товара]],Товары[#All],3,FALSE)</f>
        <v>Хлебный Дом</v>
      </c>
      <c r="M4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479" s="23">
        <f>VLOOKUP(Продажи[[#This Row],[id клиента]],Таблица4[#All],5,FALSE)</f>
        <v>44842</v>
      </c>
      <c r="O479">
        <f>Продажи[[#This Row],[дата создания чека]]-Продажи[[#This Row],[Дата регистрации клиентов]]</f>
        <v>346</v>
      </c>
      <c r="P479" t="str">
        <f>VLOOKUP(Продажи[[#This Row],[id клиента]],Таблица4[#All],7,FALSE)</f>
        <v>Беларусь</v>
      </c>
    </row>
    <row r="480" spans="1:16" x14ac:dyDescent="0.25">
      <c r="A480">
        <v>479</v>
      </c>
      <c r="B480">
        <v>494</v>
      </c>
      <c r="C480">
        <v>216</v>
      </c>
      <c r="D480">
        <v>3</v>
      </c>
      <c r="E480">
        <v>648</v>
      </c>
      <c r="F480" s="23">
        <v>45009</v>
      </c>
      <c r="G480" t="s">
        <v>25</v>
      </c>
      <c r="H480">
        <v>9</v>
      </c>
      <c r="I480" t="str">
        <f>VLOOKUP(Продажи[[#This Row],[id товара]],Товары[#All],2,FALSE)</f>
        <v>Сыр</v>
      </c>
      <c r="J480" s="19">
        <f>AVERAGEIF(Продажи[Категория товара],Продажи[[#This Row],[Категория товара]],Продажи[цена за шт в рублях])</f>
        <v>262.63492063492066</v>
      </c>
      <c r="K480" s="20">
        <f>Продажи[[#This Row],[цена за шт в рублях]]/Продажи[[#This Row],[Средняя цена в категории за шт]]-1</f>
        <v>-0.17756557476127166</v>
      </c>
      <c r="L480" t="str">
        <f>VLOOKUP(Продажи[[#This Row],[id товара]],Товары[#All],3,FALSE)</f>
        <v>Сырная долина</v>
      </c>
      <c r="M4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480" s="23">
        <f>VLOOKUP(Продажи[[#This Row],[id клиента]],Таблица4[#All],5,FALSE)</f>
        <v>44900</v>
      </c>
      <c r="O480">
        <f>Продажи[[#This Row],[дата создания чека]]-Продажи[[#This Row],[Дата регистрации клиентов]]</f>
        <v>109</v>
      </c>
      <c r="P480" t="str">
        <f>VLOOKUP(Продажи[[#This Row],[id клиента]],Таблица4[#All],7,FALSE)</f>
        <v>Таджикистан</v>
      </c>
    </row>
    <row r="481" spans="1:16" x14ac:dyDescent="0.25">
      <c r="A481">
        <v>480</v>
      </c>
      <c r="B481">
        <v>458</v>
      </c>
      <c r="C481">
        <v>469</v>
      </c>
      <c r="D481">
        <v>4</v>
      </c>
      <c r="E481">
        <v>1876</v>
      </c>
      <c r="F481" s="23">
        <v>45411</v>
      </c>
      <c r="G481" t="s">
        <v>20</v>
      </c>
      <c r="H481">
        <v>51</v>
      </c>
      <c r="I481" t="str">
        <f>VLOOKUP(Продажи[[#This Row],[id товара]],Товары[#All],2,FALSE)</f>
        <v>Макароны</v>
      </c>
      <c r="J481" s="19">
        <f>AVERAGEIF(Продажи[Категория товара],Продажи[[#This Row],[Категория товара]],Продажи[цена за шт в рублях])</f>
        <v>265.47674418604652</v>
      </c>
      <c r="K481" s="20">
        <f>Продажи[[#This Row],[цена за шт в рублях]]/Продажи[[#This Row],[Средняя цена в категории за шт]]-1</f>
        <v>0.76663308659279039</v>
      </c>
      <c r="L481" t="str">
        <f>VLOOKUP(Продажи[[#This Row],[id товара]],Товары[#All],3,FALSE)</f>
        <v>Борилла</v>
      </c>
      <c r="M4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481" s="23">
        <f>VLOOKUP(Продажи[[#This Row],[id клиента]],Таблица4[#All],5,FALSE)</f>
        <v>44605</v>
      </c>
      <c r="O481">
        <f>Продажи[[#This Row],[дата создания чека]]-Продажи[[#This Row],[Дата регистрации клиентов]]</f>
        <v>806</v>
      </c>
      <c r="P481" t="str">
        <f>VLOOKUP(Продажи[[#This Row],[id клиента]],Таблица4[#All],7,FALSE)</f>
        <v>Узбекистан</v>
      </c>
    </row>
    <row r="482" spans="1:16" x14ac:dyDescent="0.25">
      <c r="A482">
        <v>481</v>
      </c>
      <c r="B482">
        <v>193</v>
      </c>
      <c r="C482">
        <v>94</v>
      </c>
      <c r="D482">
        <v>3</v>
      </c>
      <c r="E482">
        <v>282</v>
      </c>
      <c r="F482" s="23">
        <v>45106</v>
      </c>
      <c r="G482" t="s">
        <v>10</v>
      </c>
      <c r="H482">
        <v>370</v>
      </c>
      <c r="I482" t="str">
        <f>VLOOKUP(Продажи[[#This Row],[id товара]],Товары[#All],2,FALSE)</f>
        <v>Соль</v>
      </c>
      <c r="J482" s="19">
        <f>AVERAGEIF(Продажи[Категория товара],Продажи[[#This Row],[Категория товара]],Продажи[цена за шт в рублях])</f>
        <v>264.8679245283019</v>
      </c>
      <c r="K482" s="20">
        <f>Продажи[[#This Row],[цена за шт в рублях]]/Продажи[[#This Row],[Средняя цена в категории за шт]]-1</f>
        <v>-0.64510614047585135</v>
      </c>
      <c r="L482" t="str">
        <f>VLOOKUP(Продажи[[#This Row],[id товара]],Товары[#All],3,FALSE)</f>
        <v>Салта</v>
      </c>
      <c r="M4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482" s="23">
        <f>VLOOKUP(Продажи[[#This Row],[id клиента]],Таблица4[#All],5,FALSE)</f>
        <v>44726</v>
      </c>
      <c r="O482">
        <f>Продажи[[#This Row],[дата создания чека]]-Продажи[[#This Row],[Дата регистрации клиентов]]</f>
        <v>380</v>
      </c>
      <c r="P482" t="str">
        <f>VLOOKUP(Продажи[[#This Row],[id клиента]],Таблица4[#All],7,FALSE)</f>
        <v>Таджикистан</v>
      </c>
    </row>
    <row r="483" spans="1:16" x14ac:dyDescent="0.25">
      <c r="A483">
        <v>482</v>
      </c>
      <c r="B483">
        <v>450</v>
      </c>
      <c r="C483">
        <v>494</v>
      </c>
      <c r="D483">
        <v>4</v>
      </c>
      <c r="E483">
        <v>1976</v>
      </c>
      <c r="F483" s="23">
        <v>45004</v>
      </c>
      <c r="G483" t="s">
        <v>23</v>
      </c>
      <c r="H483">
        <v>17</v>
      </c>
      <c r="I483" t="str">
        <f>VLOOKUP(Продажи[[#This Row],[id товара]],Товары[#All],2,FALSE)</f>
        <v>Хлеб</v>
      </c>
      <c r="J483" s="19">
        <f>AVERAGEIF(Продажи[Категория товара],Продажи[[#This Row],[Категория товара]],Продажи[цена за шт в рублях])</f>
        <v>300.31818181818181</v>
      </c>
      <c r="K483" s="20">
        <f>Продажи[[#This Row],[цена за шт в рублях]]/Продажи[[#This Row],[Средняя цена в категории за шт]]-1</f>
        <v>0.64492205236869982</v>
      </c>
      <c r="L483" t="str">
        <f>VLOOKUP(Продажи[[#This Row],[id товара]],Товары[#All],3,FALSE)</f>
        <v>Хлебный Дом</v>
      </c>
      <c r="M4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483" s="23">
        <f>VLOOKUP(Продажи[[#This Row],[id клиента]],Таблица4[#All],5,FALSE)</f>
        <v>44877</v>
      </c>
      <c r="O483">
        <f>Продажи[[#This Row],[дата создания чека]]-Продажи[[#This Row],[Дата регистрации клиентов]]</f>
        <v>127</v>
      </c>
      <c r="P483" t="str">
        <f>VLOOKUP(Продажи[[#This Row],[id клиента]],Таблица4[#All],7,FALSE)</f>
        <v>Таджикистан</v>
      </c>
    </row>
    <row r="484" spans="1:16" x14ac:dyDescent="0.25">
      <c r="A484">
        <v>483</v>
      </c>
      <c r="B484">
        <v>334</v>
      </c>
      <c r="C484">
        <v>309</v>
      </c>
      <c r="D484">
        <v>5</v>
      </c>
      <c r="E484">
        <v>1545</v>
      </c>
      <c r="F484" s="23">
        <v>45003</v>
      </c>
      <c r="G484" t="s">
        <v>15</v>
      </c>
      <c r="H484">
        <v>39</v>
      </c>
      <c r="I484" t="str">
        <f>VLOOKUP(Продажи[[#This Row],[id товара]],Товары[#All],2,FALSE)</f>
        <v>Молоко</v>
      </c>
      <c r="J484" s="19">
        <f>AVERAGEIF(Продажи[Категория товара],Продажи[[#This Row],[Категория товара]],Продажи[цена за шт в рублях])</f>
        <v>294.95238095238096</v>
      </c>
      <c r="K484" s="20">
        <f>Продажи[[#This Row],[цена за шт в рублях]]/Продажи[[#This Row],[Средняя цена в категории за шт]]-1</f>
        <v>4.7626735550532651E-2</v>
      </c>
      <c r="L484" t="str">
        <f>VLOOKUP(Продажи[[#This Row],[id товара]],Товары[#All],3,FALSE)</f>
        <v>Домик в деревне</v>
      </c>
      <c r="M4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484" s="23">
        <f>VLOOKUP(Продажи[[#This Row],[id клиента]],Таблица4[#All],5,FALSE)</f>
        <v>44653</v>
      </c>
      <c r="O484">
        <f>Продажи[[#This Row],[дата создания чека]]-Продажи[[#This Row],[Дата регистрации клиентов]]</f>
        <v>350</v>
      </c>
      <c r="P484" t="str">
        <f>VLOOKUP(Продажи[[#This Row],[id клиента]],Таблица4[#All],7,FALSE)</f>
        <v>Беларусь</v>
      </c>
    </row>
    <row r="485" spans="1:16" x14ac:dyDescent="0.25">
      <c r="A485">
        <v>484</v>
      </c>
      <c r="B485">
        <v>115</v>
      </c>
      <c r="C485">
        <v>118</v>
      </c>
      <c r="D485">
        <v>1</v>
      </c>
      <c r="E485">
        <v>118</v>
      </c>
      <c r="F485" s="23">
        <v>45327</v>
      </c>
      <c r="G485" t="s">
        <v>9</v>
      </c>
      <c r="H485">
        <v>481</v>
      </c>
      <c r="I485" t="str">
        <f>VLOOKUP(Продажи[[#This Row],[id товара]],Товары[#All],2,FALSE)</f>
        <v>Сыр</v>
      </c>
      <c r="J485" s="19">
        <f>AVERAGEIF(Продажи[Категория товара],Продажи[[#This Row],[Категория товара]],Продажи[цена за шт в рублях])</f>
        <v>262.63492063492066</v>
      </c>
      <c r="K485" s="20">
        <f>Продажи[[#This Row],[цена за шт в рублях]]/Продажи[[#This Row],[Средняя цена в категории за шт]]-1</f>
        <v>-0.55070711954550955</v>
      </c>
      <c r="L485" t="str">
        <f>VLOOKUP(Продажи[[#This Row],[id товара]],Товары[#All],3,FALSE)</f>
        <v>President</v>
      </c>
      <c r="M4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485" s="23">
        <f>VLOOKUP(Продажи[[#This Row],[id клиента]],Таблица4[#All],5,FALSE)</f>
        <v>44756</v>
      </c>
      <c r="O485">
        <f>Продажи[[#This Row],[дата создания чека]]-Продажи[[#This Row],[Дата регистрации клиентов]]</f>
        <v>571</v>
      </c>
      <c r="P485" t="str">
        <f>VLOOKUP(Продажи[[#This Row],[id клиента]],Таблица4[#All],7,FALSE)</f>
        <v>Беларусь</v>
      </c>
    </row>
    <row r="486" spans="1:16" x14ac:dyDescent="0.25">
      <c r="A486">
        <v>485</v>
      </c>
      <c r="B486">
        <v>163</v>
      </c>
      <c r="C486">
        <v>344</v>
      </c>
      <c r="D486">
        <v>1</v>
      </c>
      <c r="E486">
        <v>344</v>
      </c>
      <c r="F486" s="23">
        <v>45188</v>
      </c>
      <c r="G486" t="s">
        <v>10</v>
      </c>
      <c r="H486">
        <v>363</v>
      </c>
      <c r="I486" t="str">
        <f>VLOOKUP(Продажи[[#This Row],[id товара]],Товары[#All],2,FALSE)</f>
        <v>Соль</v>
      </c>
      <c r="J486" s="19">
        <f>AVERAGEIF(Продажи[Категория товара],Продажи[[#This Row],[Категория товара]],Продажи[цена за шт в рублях])</f>
        <v>264.8679245283019</v>
      </c>
      <c r="K486" s="20">
        <f>Продажи[[#This Row],[цена за шт в рублях]]/Продажи[[#This Row],[Средняя цена в категории за шт]]-1</f>
        <v>0.298760507194757</v>
      </c>
      <c r="L486" t="str">
        <f>VLOOKUP(Продажи[[#This Row],[id товара]],Товары[#All],3,FALSE)</f>
        <v>Экстра</v>
      </c>
      <c r="M4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486" s="23">
        <f>VLOOKUP(Продажи[[#This Row],[id клиента]],Таблица4[#All],5,FALSE)</f>
        <v>44675</v>
      </c>
      <c r="O486">
        <f>Продажи[[#This Row],[дата создания чека]]-Продажи[[#This Row],[Дата регистрации клиентов]]</f>
        <v>513</v>
      </c>
      <c r="P486" t="str">
        <f>VLOOKUP(Продажи[[#This Row],[id клиента]],Таблица4[#All],7,FALSE)</f>
        <v>Узбекистан</v>
      </c>
    </row>
    <row r="487" spans="1:16" x14ac:dyDescent="0.25">
      <c r="A487">
        <v>486</v>
      </c>
      <c r="B487">
        <v>321</v>
      </c>
      <c r="C487">
        <v>322</v>
      </c>
      <c r="D487">
        <v>3</v>
      </c>
      <c r="E487">
        <v>966</v>
      </c>
      <c r="F487" s="23">
        <v>45094</v>
      </c>
      <c r="G487" t="s">
        <v>14</v>
      </c>
      <c r="H487">
        <v>328</v>
      </c>
      <c r="I487" t="str">
        <f>VLOOKUP(Продажи[[#This Row],[id товара]],Товары[#All],2,FALSE)</f>
        <v>Мясо</v>
      </c>
      <c r="J487" s="19">
        <f>AVERAGEIF(Продажи[Категория товара],Продажи[[#This Row],[Категория товара]],Продажи[цена за шт в рублях])</f>
        <v>271.74545454545455</v>
      </c>
      <c r="K487" s="20">
        <f>Продажи[[#This Row],[цена за шт в рублях]]/Продажи[[#This Row],[Средняя цена в категории за шт]]-1</f>
        <v>0.18493242339087379</v>
      </c>
      <c r="L487" t="str">
        <f>VLOOKUP(Продажи[[#This Row],[id товара]],Товары[#All],3,FALSE)</f>
        <v>Сава</v>
      </c>
      <c r="M4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487" s="23">
        <f>VLOOKUP(Продажи[[#This Row],[id клиента]],Таблица4[#All],5,FALSE)</f>
        <v>44568</v>
      </c>
      <c r="O487">
        <f>Продажи[[#This Row],[дата создания чека]]-Продажи[[#This Row],[Дата регистрации клиентов]]</f>
        <v>526</v>
      </c>
      <c r="P487" t="str">
        <f>VLOOKUP(Продажи[[#This Row],[id клиента]],Таблица4[#All],7,FALSE)</f>
        <v>Россия</v>
      </c>
    </row>
    <row r="488" spans="1:16" x14ac:dyDescent="0.25">
      <c r="A488">
        <v>487</v>
      </c>
      <c r="B488">
        <v>129</v>
      </c>
      <c r="C488">
        <v>328</v>
      </c>
      <c r="D488">
        <v>4</v>
      </c>
      <c r="E488">
        <v>1312</v>
      </c>
      <c r="F488" s="23">
        <v>45304</v>
      </c>
      <c r="G488" t="s">
        <v>11</v>
      </c>
      <c r="H488">
        <v>127</v>
      </c>
      <c r="I488" t="str">
        <f>VLOOKUP(Продажи[[#This Row],[id товара]],Товары[#All],2,FALSE)</f>
        <v>Мясо</v>
      </c>
      <c r="J488" s="19">
        <f>AVERAGEIF(Продажи[Категория товара],Продажи[[#This Row],[Категория товара]],Продажи[цена за шт в рублях])</f>
        <v>271.74545454545455</v>
      </c>
      <c r="K488" s="20">
        <f>Продажи[[#This Row],[цена за шт в рублях]]/Продажи[[#This Row],[Средняя цена в категории за шт]]-1</f>
        <v>0.20701190954101434</v>
      </c>
      <c r="L488" t="str">
        <f>VLOOKUP(Продажи[[#This Row],[id товара]],Товары[#All],3,FALSE)</f>
        <v>Агрокомплекс</v>
      </c>
      <c r="M4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311.2</v>
      </c>
      <c r="N488" s="23">
        <f>VLOOKUP(Продажи[[#This Row],[id клиента]],Таблица4[#All],5,FALSE)</f>
        <v>44914</v>
      </c>
      <c r="O488">
        <f>Продажи[[#This Row],[дата создания чека]]-Продажи[[#This Row],[Дата регистрации клиентов]]</f>
        <v>390</v>
      </c>
      <c r="P488" t="str">
        <f>VLOOKUP(Продажи[[#This Row],[id клиента]],Таблица4[#All],7,FALSE)</f>
        <v>Украина</v>
      </c>
    </row>
    <row r="489" spans="1:16" x14ac:dyDescent="0.25">
      <c r="A489">
        <v>488</v>
      </c>
      <c r="B489">
        <v>12</v>
      </c>
      <c r="C489">
        <v>357</v>
      </c>
      <c r="D489">
        <v>1</v>
      </c>
      <c r="E489">
        <v>357</v>
      </c>
      <c r="F489" s="23">
        <v>45369</v>
      </c>
      <c r="G489" t="s">
        <v>10</v>
      </c>
      <c r="H489">
        <v>221</v>
      </c>
      <c r="I489" t="str">
        <f>VLOOKUP(Продажи[[#This Row],[id товара]],Товары[#All],2,FALSE)</f>
        <v>Макароны</v>
      </c>
      <c r="J489" s="19">
        <f>AVERAGEIF(Продажи[Категория товара],Продажи[[#This Row],[Категория товара]],Продажи[цена за шт в рублях])</f>
        <v>265.47674418604652</v>
      </c>
      <c r="K489" s="20">
        <f>Продажи[[#This Row],[цена за шт в рублях]]/Продажи[[#This Row],[Средняя цена в категории за шт]]-1</f>
        <v>0.34475055845122848</v>
      </c>
      <c r="L489" t="str">
        <f>VLOOKUP(Продажи[[#This Row],[id товара]],Товары[#All],3,FALSE)</f>
        <v>Макфа</v>
      </c>
      <c r="M4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489" s="23">
        <f>VLOOKUP(Продажи[[#This Row],[id клиента]],Таблица4[#All],5,FALSE)</f>
        <v>44820</v>
      </c>
      <c r="O489">
        <f>Продажи[[#This Row],[дата создания чека]]-Продажи[[#This Row],[Дата регистрации клиентов]]</f>
        <v>549</v>
      </c>
      <c r="P489" t="str">
        <f>VLOOKUP(Продажи[[#This Row],[id клиента]],Таблица4[#All],7,FALSE)</f>
        <v>Таджикистан</v>
      </c>
    </row>
    <row r="490" spans="1:16" x14ac:dyDescent="0.25">
      <c r="A490">
        <v>489</v>
      </c>
      <c r="B490">
        <v>104</v>
      </c>
      <c r="C490">
        <v>276</v>
      </c>
      <c r="D490">
        <v>2</v>
      </c>
      <c r="E490">
        <v>552</v>
      </c>
      <c r="F490" s="23">
        <v>45372</v>
      </c>
      <c r="G490" t="s">
        <v>14</v>
      </c>
      <c r="H490">
        <v>134</v>
      </c>
      <c r="I490" t="str">
        <f>VLOOKUP(Продажи[[#This Row],[id товара]],Товары[#All],2,FALSE)</f>
        <v>Йогурт</v>
      </c>
      <c r="J490" s="19">
        <f>AVERAGEIF(Продажи[Категория товара],Продажи[[#This Row],[Категория товара]],Продажи[цена за шт в рублях])</f>
        <v>263.25423728813558</v>
      </c>
      <c r="K490" s="20">
        <f>Продажи[[#This Row],[цена за шт в рублях]]/Продажи[[#This Row],[Средняя цена в категории за шт]]-1</f>
        <v>4.841617306206536E-2</v>
      </c>
      <c r="L490" t="str">
        <f>VLOOKUP(Продажи[[#This Row],[id товара]],Товары[#All],3,FALSE)</f>
        <v>Ростагроэкспорт</v>
      </c>
      <c r="M4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490" s="23">
        <f>VLOOKUP(Продажи[[#This Row],[id клиента]],Таблица4[#All],5,FALSE)</f>
        <v>44753</v>
      </c>
      <c r="O490">
        <f>Продажи[[#This Row],[дата создания чека]]-Продажи[[#This Row],[Дата регистрации клиентов]]</f>
        <v>619</v>
      </c>
      <c r="P490" t="str">
        <f>VLOOKUP(Продажи[[#This Row],[id клиента]],Таблица4[#All],7,FALSE)</f>
        <v>Россия</v>
      </c>
    </row>
    <row r="491" spans="1:16" x14ac:dyDescent="0.25">
      <c r="A491">
        <v>490</v>
      </c>
      <c r="B491">
        <v>61</v>
      </c>
      <c r="C491">
        <v>170</v>
      </c>
      <c r="D491">
        <v>2</v>
      </c>
      <c r="E491">
        <v>340</v>
      </c>
      <c r="F491" s="23">
        <v>45292</v>
      </c>
      <c r="G491" t="s">
        <v>11</v>
      </c>
      <c r="H491">
        <v>374</v>
      </c>
      <c r="I491" t="str">
        <f>VLOOKUP(Продажи[[#This Row],[id товара]],Товары[#All],2,FALSE)</f>
        <v>Йогурт</v>
      </c>
      <c r="J491" s="19">
        <f>AVERAGEIF(Продажи[Категория товара],Продажи[[#This Row],[Категория товара]],Продажи[цена за шт в рублях])</f>
        <v>263.25423728813558</v>
      </c>
      <c r="K491" s="20">
        <f>Продажи[[#This Row],[цена за шт в рублях]]/Продажи[[#This Row],[Средняя цена в категории за шт]]-1</f>
        <v>-0.35423641514293069</v>
      </c>
      <c r="L491" t="str">
        <f>VLOOKUP(Продажи[[#This Row],[id товара]],Товары[#All],3,FALSE)</f>
        <v>Эрманн</v>
      </c>
      <c r="M4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491" s="23">
        <f>VLOOKUP(Продажи[[#This Row],[id клиента]],Таблица4[#All],5,FALSE)</f>
        <v>44582</v>
      </c>
      <c r="O491">
        <f>Продажи[[#This Row],[дата создания чека]]-Продажи[[#This Row],[Дата регистрации клиентов]]</f>
        <v>710</v>
      </c>
      <c r="P491" t="str">
        <f>VLOOKUP(Продажи[[#This Row],[id клиента]],Таблица4[#All],7,FALSE)</f>
        <v>Украина</v>
      </c>
    </row>
    <row r="492" spans="1:16" x14ac:dyDescent="0.25">
      <c r="A492">
        <v>491</v>
      </c>
      <c r="B492">
        <v>202</v>
      </c>
      <c r="C492">
        <v>89</v>
      </c>
      <c r="D492">
        <v>1</v>
      </c>
      <c r="E492">
        <v>89</v>
      </c>
      <c r="F492" s="23">
        <v>45389</v>
      </c>
      <c r="G492" t="s">
        <v>8</v>
      </c>
      <c r="H492">
        <v>441</v>
      </c>
      <c r="I492" t="str">
        <f>VLOOKUP(Продажи[[#This Row],[id товара]],Товары[#All],2,FALSE)</f>
        <v>Овощи</v>
      </c>
      <c r="J492" s="19">
        <f>AVERAGEIF(Продажи[Категория товара],Продажи[[#This Row],[Категория товара]],Продажи[цена за шт в рублях])</f>
        <v>250.48780487804879</v>
      </c>
      <c r="K492" s="20">
        <f>Продажи[[#This Row],[цена за шт в рублях]]/Продажи[[#This Row],[Средняя цена в категории за шт]]-1</f>
        <v>-0.64469328140214222</v>
      </c>
      <c r="L492" t="str">
        <f>VLOOKUP(Продажи[[#This Row],[id товара]],Товары[#All],3,FALSE)</f>
        <v>Овощной ряд</v>
      </c>
      <c r="M4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492" s="23">
        <f>VLOOKUP(Продажи[[#This Row],[id клиента]],Таблица4[#All],5,FALSE)</f>
        <v>44867</v>
      </c>
      <c r="O492">
        <f>Продажи[[#This Row],[дата создания чека]]-Продажи[[#This Row],[Дата регистрации клиентов]]</f>
        <v>522</v>
      </c>
      <c r="P492" t="str">
        <f>VLOOKUP(Продажи[[#This Row],[id клиента]],Таблица4[#All],7,FALSE)</f>
        <v>Узбекистан</v>
      </c>
    </row>
    <row r="493" spans="1:16" x14ac:dyDescent="0.25">
      <c r="A493">
        <v>492</v>
      </c>
      <c r="B493">
        <v>464</v>
      </c>
      <c r="C493">
        <v>134</v>
      </c>
      <c r="D493">
        <v>1</v>
      </c>
      <c r="E493">
        <v>134</v>
      </c>
      <c r="F493" s="23">
        <v>45078</v>
      </c>
      <c r="G493" t="s">
        <v>8</v>
      </c>
      <c r="H493">
        <v>220</v>
      </c>
      <c r="I493" t="str">
        <f>VLOOKUP(Продажи[[#This Row],[id товара]],Товары[#All],2,FALSE)</f>
        <v>Сыр</v>
      </c>
      <c r="J493" s="19">
        <f>AVERAGEIF(Продажи[Категория товара],Продажи[[#This Row],[Категория товара]],Продажи[цена за шт в рублях])</f>
        <v>262.63492063492066</v>
      </c>
      <c r="K493" s="20">
        <f>Продажи[[#This Row],[цена за шт в рублях]]/Продажи[[#This Row],[Средняя цена в категории за шт]]-1</f>
        <v>-0.48978605100930739</v>
      </c>
      <c r="L493" t="str">
        <f>VLOOKUP(Продажи[[#This Row],[id товара]],Товары[#All],3,FALSE)</f>
        <v>Сырная долина</v>
      </c>
      <c r="M4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493" s="23">
        <f>VLOOKUP(Продажи[[#This Row],[id клиента]],Таблица4[#All],5,FALSE)</f>
        <v>44570</v>
      </c>
      <c r="O493">
        <f>Продажи[[#This Row],[дата создания чека]]-Продажи[[#This Row],[Дата регистрации клиентов]]</f>
        <v>508</v>
      </c>
      <c r="P493" t="str">
        <f>VLOOKUP(Продажи[[#This Row],[id клиента]],Таблица4[#All],7,FALSE)</f>
        <v>Украина</v>
      </c>
    </row>
    <row r="494" spans="1:16" x14ac:dyDescent="0.25">
      <c r="A494">
        <v>493</v>
      </c>
      <c r="B494">
        <v>335</v>
      </c>
      <c r="C494">
        <v>436</v>
      </c>
      <c r="D494">
        <v>1</v>
      </c>
      <c r="E494">
        <v>436</v>
      </c>
      <c r="F494" s="23">
        <v>45407</v>
      </c>
      <c r="G494" t="s">
        <v>14</v>
      </c>
      <c r="H494">
        <v>235</v>
      </c>
      <c r="I494" t="str">
        <f>VLOOKUP(Продажи[[#This Row],[id товара]],Товары[#All],2,FALSE)</f>
        <v>Хлеб</v>
      </c>
      <c r="J494" s="19">
        <f>AVERAGEIF(Продажи[Категория товара],Продажи[[#This Row],[Категория товара]],Продажи[цена за шт в рублях])</f>
        <v>300.31818181818181</v>
      </c>
      <c r="K494" s="20">
        <f>Продажи[[#This Row],[цена за шт в рублях]]/Продажи[[#This Row],[Средняя цена в категории за шт]]-1</f>
        <v>0.45179355229302254</v>
      </c>
      <c r="L494" t="str">
        <f>VLOOKUP(Продажи[[#This Row],[id товара]],Товары[#All],3,FALSE)</f>
        <v>Каравай</v>
      </c>
      <c r="M4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494" s="23">
        <f>VLOOKUP(Продажи[[#This Row],[id клиента]],Таблица4[#All],5,FALSE)</f>
        <v>44635</v>
      </c>
      <c r="O494">
        <f>Продажи[[#This Row],[дата создания чека]]-Продажи[[#This Row],[Дата регистрации клиентов]]</f>
        <v>772</v>
      </c>
      <c r="P494" t="str">
        <f>VLOOKUP(Продажи[[#This Row],[id клиента]],Таблица4[#All],7,FALSE)</f>
        <v>Узбекистан</v>
      </c>
    </row>
    <row r="495" spans="1:16" x14ac:dyDescent="0.25">
      <c r="A495">
        <v>494</v>
      </c>
      <c r="B495">
        <v>15</v>
      </c>
      <c r="C495">
        <v>318</v>
      </c>
      <c r="D495">
        <v>5</v>
      </c>
      <c r="E495">
        <v>1590</v>
      </c>
      <c r="F495" s="23">
        <v>44982</v>
      </c>
      <c r="G495" t="s">
        <v>26</v>
      </c>
      <c r="H495">
        <v>323</v>
      </c>
      <c r="I495" t="str">
        <f>VLOOKUP(Продажи[[#This Row],[id товара]],Товары[#All],2,FALSE)</f>
        <v>Сахар</v>
      </c>
      <c r="J495" s="19">
        <f>AVERAGEIF(Продажи[Категория товара],Продажи[[#This Row],[Категория товара]],Продажи[цена за шт в рублях])</f>
        <v>252.76271186440678</v>
      </c>
      <c r="K495" s="20">
        <f>Продажи[[#This Row],[цена за шт в рублях]]/Продажи[[#This Row],[Средняя цена в категории за шт]]-1</f>
        <v>0.25809696238181457</v>
      </c>
      <c r="L495" t="str">
        <f>VLOOKUP(Продажи[[#This Row],[id товара]],Товары[#All],3,FALSE)</f>
        <v>Агросахар</v>
      </c>
      <c r="M4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495" s="23">
        <f>VLOOKUP(Продажи[[#This Row],[id клиента]],Таблица4[#All],5,FALSE)</f>
        <v>44821</v>
      </c>
      <c r="O495">
        <f>Продажи[[#This Row],[дата создания чека]]-Продажи[[#This Row],[Дата регистрации клиентов]]</f>
        <v>161</v>
      </c>
      <c r="P495" t="str">
        <f>VLOOKUP(Продажи[[#This Row],[id клиента]],Таблица4[#All],7,FALSE)</f>
        <v>Таджикистан</v>
      </c>
    </row>
    <row r="496" spans="1:16" x14ac:dyDescent="0.25">
      <c r="A496">
        <v>495</v>
      </c>
      <c r="B496">
        <v>441</v>
      </c>
      <c r="C496">
        <v>183</v>
      </c>
      <c r="D496">
        <v>1</v>
      </c>
      <c r="E496">
        <v>183</v>
      </c>
      <c r="F496" s="23">
        <v>45235</v>
      </c>
      <c r="G496" t="s">
        <v>14</v>
      </c>
      <c r="H496">
        <v>296</v>
      </c>
      <c r="I496" t="str">
        <f>VLOOKUP(Продажи[[#This Row],[id товара]],Товары[#All],2,FALSE)</f>
        <v>Чай</v>
      </c>
      <c r="J496" s="19">
        <f>AVERAGEIF(Продажи[Категория товара],Продажи[[#This Row],[Категория товара]],Продажи[цена за шт в рублях])</f>
        <v>271.18181818181819</v>
      </c>
      <c r="K496" s="20">
        <f>Продажи[[#This Row],[цена за шт в рублях]]/Продажи[[#This Row],[Средняя цена в категории за шт]]-1</f>
        <v>-0.32517599731813607</v>
      </c>
      <c r="L496" t="str">
        <f>VLOOKUP(Продажи[[#This Row],[id товара]],Товары[#All],3,FALSE)</f>
        <v>Lipton</v>
      </c>
      <c r="M4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496" s="23">
        <f>VLOOKUP(Продажи[[#This Row],[id клиента]],Таблица4[#All],5,FALSE)</f>
        <v>44758</v>
      </c>
      <c r="O496">
        <f>Продажи[[#This Row],[дата создания чека]]-Продажи[[#This Row],[Дата регистрации клиентов]]</f>
        <v>477</v>
      </c>
      <c r="P496" t="str">
        <f>VLOOKUP(Продажи[[#This Row],[id клиента]],Таблица4[#All],7,FALSE)</f>
        <v>Узбекистан</v>
      </c>
    </row>
    <row r="497" spans="1:16" x14ac:dyDescent="0.25">
      <c r="A497">
        <v>496</v>
      </c>
      <c r="B497">
        <v>149</v>
      </c>
      <c r="C497">
        <v>448</v>
      </c>
      <c r="D497">
        <v>2</v>
      </c>
      <c r="E497">
        <v>896</v>
      </c>
      <c r="F497" s="23">
        <v>45069</v>
      </c>
      <c r="G497" t="s">
        <v>16</v>
      </c>
      <c r="H497">
        <v>206</v>
      </c>
      <c r="I497" t="str">
        <f>VLOOKUP(Продажи[[#This Row],[id товара]],Товары[#All],2,FALSE)</f>
        <v>Конфеты</v>
      </c>
      <c r="J497" s="19">
        <f>AVERAGEIF(Продажи[Категория товара],Продажи[[#This Row],[Категория товара]],Продажи[цена за шт в рублях])</f>
        <v>267.85483870967744</v>
      </c>
      <c r="K497" s="20">
        <f>Продажи[[#This Row],[цена за шт в рублях]]/Продажи[[#This Row],[Средняя цена в категории за шт]]-1</f>
        <v>0.67254772084060921</v>
      </c>
      <c r="L497" t="str">
        <f>VLOOKUP(Продажи[[#This Row],[id товара]],Товары[#All],3,FALSE)</f>
        <v>Бабаевский</v>
      </c>
      <c r="M4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497" s="23">
        <f>VLOOKUP(Продажи[[#This Row],[id клиента]],Таблица4[#All],5,FALSE)</f>
        <v>44568</v>
      </c>
      <c r="O497">
        <f>Продажи[[#This Row],[дата создания чека]]-Продажи[[#This Row],[Дата регистрации клиентов]]</f>
        <v>501</v>
      </c>
      <c r="P497" t="str">
        <f>VLOOKUP(Продажи[[#This Row],[id клиента]],Таблица4[#All],7,FALSE)</f>
        <v>Россия</v>
      </c>
    </row>
    <row r="498" spans="1:16" x14ac:dyDescent="0.25">
      <c r="A498">
        <v>497</v>
      </c>
      <c r="B498">
        <v>490</v>
      </c>
      <c r="C498">
        <v>58</v>
      </c>
      <c r="D498">
        <v>4</v>
      </c>
      <c r="E498">
        <v>232</v>
      </c>
      <c r="F498" s="23">
        <v>45216</v>
      </c>
      <c r="G498" t="s">
        <v>26</v>
      </c>
      <c r="H498">
        <v>255</v>
      </c>
      <c r="I498" t="str">
        <f>VLOOKUP(Продажи[[#This Row],[id товара]],Товары[#All],2,FALSE)</f>
        <v>Сыр</v>
      </c>
      <c r="J498" s="19">
        <f>AVERAGEIF(Продажи[Категория товара],Продажи[[#This Row],[Категория товара]],Продажи[цена за шт в рублях])</f>
        <v>262.63492063492066</v>
      </c>
      <c r="K498" s="20">
        <f>Продажи[[#This Row],[цена за шт в рублях]]/Продажи[[#This Row],[Средняя цена в категории за шт]]-1</f>
        <v>-0.77916112655626746</v>
      </c>
      <c r="L498" t="str">
        <f>VLOOKUP(Продажи[[#This Row],[id товара]],Товары[#All],3,FALSE)</f>
        <v>Сырная долина</v>
      </c>
      <c r="M4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498" s="23">
        <f>VLOOKUP(Продажи[[#This Row],[id клиента]],Таблица4[#All],5,FALSE)</f>
        <v>44793</v>
      </c>
      <c r="O498">
        <f>Продажи[[#This Row],[дата создания чека]]-Продажи[[#This Row],[Дата регистрации клиентов]]</f>
        <v>423</v>
      </c>
      <c r="P498" t="str">
        <f>VLOOKUP(Продажи[[#This Row],[id клиента]],Таблица4[#All],7,FALSE)</f>
        <v>Украина</v>
      </c>
    </row>
    <row r="499" spans="1:16" x14ac:dyDescent="0.25">
      <c r="A499">
        <v>498</v>
      </c>
      <c r="B499">
        <v>90</v>
      </c>
      <c r="C499">
        <v>162</v>
      </c>
      <c r="D499">
        <v>3</v>
      </c>
      <c r="E499">
        <v>486</v>
      </c>
      <c r="F499" s="23">
        <v>45207</v>
      </c>
      <c r="G499" t="s">
        <v>14</v>
      </c>
      <c r="H499">
        <v>88</v>
      </c>
      <c r="I499" t="str">
        <f>VLOOKUP(Продажи[[#This Row],[id товара]],Товары[#All],2,FALSE)</f>
        <v>Кофе</v>
      </c>
      <c r="J499" s="19">
        <f>AVERAGEIF(Продажи[Категория товара],Продажи[[#This Row],[Категория товара]],Продажи[цена за шт в рублях])</f>
        <v>249.02380952380952</v>
      </c>
      <c r="K499" s="20">
        <f>Продажи[[#This Row],[цена за шт в рублях]]/Продажи[[#This Row],[Средняя цена в категории за шт]]-1</f>
        <v>-0.34945979539152883</v>
      </c>
      <c r="L499" t="str">
        <f>VLOOKUP(Продажи[[#This Row],[id товара]],Товары[#All],3,FALSE)</f>
        <v>Nescafe</v>
      </c>
      <c r="M4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499" s="23">
        <f>VLOOKUP(Продажи[[#This Row],[id клиента]],Таблица4[#All],5,FALSE)</f>
        <v>44630</v>
      </c>
      <c r="O499">
        <f>Продажи[[#This Row],[дата создания чека]]-Продажи[[#This Row],[Дата регистрации клиентов]]</f>
        <v>577</v>
      </c>
      <c r="P499" t="str">
        <f>VLOOKUP(Продажи[[#This Row],[id клиента]],Таблица4[#All],7,FALSE)</f>
        <v>Украина</v>
      </c>
    </row>
    <row r="500" spans="1:16" x14ac:dyDescent="0.25">
      <c r="A500">
        <v>499</v>
      </c>
      <c r="B500">
        <v>396</v>
      </c>
      <c r="C500">
        <v>482</v>
      </c>
      <c r="D500">
        <v>2</v>
      </c>
      <c r="E500">
        <v>964</v>
      </c>
      <c r="F500" s="23">
        <v>45408</v>
      </c>
      <c r="G500" t="s">
        <v>20</v>
      </c>
      <c r="H500">
        <v>362</v>
      </c>
      <c r="I500" t="str">
        <f>VLOOKUP(Продажи[[#This Row],[id товара]],Товары[#All],2,FALSE)</f>
        <v>Молоко</v>
      </c>
      <c r="J500" s="19">
        <f>AVERAGEIF(Продажи[Категория товара],Продажи[[#This Row],[Категория товара]],Продажи[цена за шт в рублях])</f>
        <v>294.95238095238096</v>
      </c>
      <c r="K500" s="20">
        <f>Продажи[[#This Row],[цена за шт в рублях]]/Продажи[[#This Row],[Средняя цена в категории за шт]]-1</f>
        <v>0.63416209234743293</v>
      </c>
      <c r="L500" t="str">
        <f>VLOOKUP(Продажи[[#This Row],[id товара]],Товары[#All],3,FALSE)</f>
        <v>Домик в деревне</v>
      </c>
      <c r="M5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500" s="23">
        <f>VLOOKUP(Продажи[[#This Row],[id клиента]],Таблица4[#All],5,FALSE)</f>
        <v>44916</v>
      </c>
      <c r="O500">
        <f>Продажи[[#This Row],[дата создания чека]]-Продажи[[#This Row],[Дата регистрации клиентов]]</f>
        <v>492</v>
      </c>
      <c r="P500" t="str">
        <f>VLOOKUP(Продажи[[#This Row],[id клиента]],Таблица4[#All],7,FALSE)</f>
        <v>Россия</v>
      </c>
    </row>
    <row r="501" spans="1:16" x14ac:dyDescent="0.25">
      <c r="A501">
        <v>500</v>
      </c>
      <c r="B501">
        <v>323</v>
      </c>
      <c r="C501">
        <v>64</v>
      </c>
      <c r="D501">
        <v>4</v>
      </c>
      <c r="E501">
        <v>256</v>
      </c>
      <c r="F501" s="23">
        <v>45349</v>
      </c>
      <c r="G501" t="s">
        <v>9</v>
      </c>
      <c r="H501">
        <v>265</v>
      </c>
      <c r="I501" t="str">
        <f>VLOOKUP(Продажи[[#This Row],[id товара]],Товары[#All],2,FALSE)</f>
        <v>Рыба</v>
      </c>
      <c r="J501" s="19">
        <f>AVERAGEIF(Продажи[Категория товара],Продажи[[#This Row],[Категория товара]],Продажи[цена за шт в рублях])</f>
        <v>258.5128205128205</v>
      </c>
      <c r="K501" s="20">
        <f>Продажи[[#This Row],[цена за шт в рублях]]/Продажи[[#This Row],[Средняя цена в категории за шт]]-1</f>
        <v>-0.75243007339813528</v>
      </c>
      <c r="L501" t="str">
        <f>VLOOKUP(Продажи[[#This Row],[id товара]],Товары[#All],3,FALSE)</f>
        <v>Меридиан</v>
      </c>
      <c r="M5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501" s="23">
        <f>VLOOKUP(Продажи[[#This Row],[id клиента]],Таблица4[#All],5,FALSE)</f>
        <v>44756</v>
      </c>
      <c r="O501">
        <f>Продажи[[#This Row],[дата создания чека]]-Продажи[[#This Row],[Дата регистрации клиентов]]</f>
        <v>593</v>
      </c>
      <c r="P501" t="str">
        <f>VLOOKUP(Продажи[[#This Row],[id клиента]],Таблица4[#All],7,FALSE)</f>
        <v>Узбекистан</v>
      </c>
    </row>
    <row r="502" spans="1:16" x14ac:dyDescent="0.25">
      <c r="A502">
        <v>501</v>
      </c>
      <c r="B502">
        <v>451</v>
      </c>
      <c r="C502">
        <v>187</v>
      </c>
      <c r="D502">
        <v>4</v>
      </c>
      <c r="E502">
        <v>748</v>
      </c>
      <c r="F502" s="23">
        <v>45160</v>
      </c>
      <c r="G502" t="s">
        <v>19</v>
      </c>
      <c r="H502">
        <v>164</v>
      </c>
      <c r="I502" t="str">
        <f>VLOOKUP(Продажи[[#This Row],[id товара]],Товары[#All],2,FALSE)</f>
        <v>Рис</v>
      </c>
      <c r="J502" s="19">
        <f>AVERAGEIF(Продажи[Категория товара],Продажи[[#This Row],[Категория товара]],Продажи[цена за шт в рублях])</f>
        <v>258.375</v>
      </c>
      <c r="K502" s="20">
        <f>Продажи[[#This Row],[цена за шт в рублях]]/Продажи[[#This Row],[Средняя цена в категории за шт]]-1</f>
        <v>-0.27624576681180457</v>
      </c>
      <c r="L502" t="str">
        <f>VLOOKUP(Продажи[[#This Row],[id товара]],Товары[#All],3,FALSE)</f>
        <v>Белый Злат</v>
      </c>
      <c r="M5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502" s="23">
        <f>VLOOKUP(Продажи[[#This Row],[id клиента]],Таблица4[#All],5,FALSE)</f>
        <v>44678</v>
      </c>
      <c r="O502">
        <f>Продажи[[#This Row],[дата создания чека]]-Продажи[[#This Row],[Дата регистрации клиентов]]</f>
        <v>482</v>
      </c>
      <c r="P502" t="str">
        <f>VLOOKUP(Продажи[[#This Row],[id клиента]],Таблица4[#All],7,FALSE)</f>
        <v>Россия</v>
      </c>
    </row>
    <row r="503" spans="1:16" x14ac:dyDescent="0.25">
      <c r="A503">
        <v>502</v>
      </c>
      <c r="B503">
        <v>348</v>
      </c>
      <c r="C503">
        <v>461</v>
      </c>
      <c r="D503">
        <v>3</v>
      </c>
      <c r="E503">
        <v>1383</v>
      </c>
      <c r="F503" s="23">
        <v>45344</v>
      </c>
      <c r="G503" t="s">
        <v>18</v>
      </c>
      <c r="H503">
        <v>364</v>
      </c>
      <c r="I503" t="str">
        <f>VLOOKUP(Продажи[[#This Row],[id товара]],Товары[#All],2,FALSE)</f>
        <v>Чипсы</v>
      </c>
      <c r="J503" s="19">
        <f>AVERAGEIF(Продажи[Категория товара],Продажи[[#This Row],[Категория товара]],Продажи[цена за шт в рублях])</f>
        <v>273.72549019607845</v>
      </c>
      <c r="K503" s="20">
        <f>Продажи[[#This Row],[цена за шт в рублях]]/Продажи[[#This Row],[Средняя цена в категории за шт]]-1</f>
        <v>0.68416905444126064</v>
      </c>
      <c r="L503" t="str">
        <f>VLOOKUP(Продажи[[#This Row],[id товара]],Товары[#All],3,FALSE)</f>
        <v>Estrella</v>
      </c>
      <c r="M5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503" s="23">
        <f>VLOOKUP(Продажи[[#This Row],[id клиента]],Таблица4[#All],5,FALSE)</f>
        <v>44883</v>
      </c>
      <c r="O503">
        <f>Продажи[[#This Row],[дата создания чека]]-Продажи[[#This Row],[Дата регистрации клиентов]]</f>
        <v>461</v>
      </c>
      <c r="P503" t="str">
        <f>VLOOKUP(Продажи[[#This Row],[id клиента]],Таблица4[#All],7,FALSE)</f>
        <v>Россия</v>
      </c>
    </row>
    <row r="504" spans="1:16" x14ac:dyDescent="0.25">
      <c r="A504">
        <v>503</v>
      </c>
      <c r="B504">
        <v>111</v>
      </c>
      <c r="C504">
        <v>321</v>
      </c>
      <c r="D504">
        <v>5</v>
      </c>
      <c r="E504">
        <v>1605</v>
      </c>
      <c r="F504" s="23">
        <v>45131</v>
      </c>
      <c r="G504" t="s">
        <v>17</v>
      </c>
      <c r="H504">
        <v>19</v>
      </c>
      <c r="I504" t="str">
        <f>VLOOKUP(Продажи[[#This Row],[id товара]],Товары[#All],2,FALSE)</f>
        <v>Сахар</v>
      </c>
      <c r="J504" s="19">
        <f>AVERAGEIF(Продажи[Категория товара],Продажи[[#This Row],[Категория товара]],Продажи[цена за шт в рублях])</f>
        <v>252.76271186440678</v>
      </c>
      <c r="K504" s="20">
        <f>Продажи[[#This Row],[цена за шт в рублях]]/Продажи[[#This Row],[Средняя цена в категории за шт]]-1</f>
        <v>0.26996580164956741</v>
      </c>
      <c r="L504" t="str">
        <f>VLOOKUP(Продажи[[#This Row],[id товара]],Товары[#All],3,FALSE)</f>
        <v>Сладов</v>
      </c>
      <c r="M5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504" s="23">
        <f>VLOOKUP(Продажи[[#This Row],[id клиента]],Таблица4[#All],5,FALSE)</f>
        <v>44902</v>
      </c>
      <c r="O504">
        <f>Продажи[[#This Row],[дата создания чека]]-Продажи[[#This Row],[Дата регистрации клиентов]]</f>
        <v>229</v>
      </c>
      <c r="P504" t="str">
        <f>VLOOKUP(Продажи[[#This Row],[id клиента]],Таблица4[#All],7,FALSE)</f>
        <v>Россия</v>
      </c>
    </row>
    <row r="505" spans="1:16" x14ac:dyDescent="0.25">
      <c r="A505">
        <v>504</v>
      </c>
      <c r="B505">
        <v>234</v>
      </c>
      <c r="C505">
        <v>244</v>
      </c>
      <c r="D505">
        <v>3</v>
      </c>
      <c r="E505">
        <v>732</v>
      </c>
      <c r="F505" s="23">
        <v>45081</v>
      </c>
      <c r="G505" t="s">
        <v>20</v>
      </c>
      <c r="H505">
        <v>453</v>
      </c>
      <c r="I505" t="str">
        <f>VLOOKUP(Продажи[[#This Row],[id товара]],Товары[#All],2,FALSE)</f>
        <v>Чай</v>
      </c>
      <c r="J505" s="19">
        <f>AVERAGEIF(Продажи[Категория товара],Продажи[[#This Row],[Категория товара]],Продажи[цена за шт в рублях])</f>
        <v>271.18181818181819</v>
      </c>
      <c r="K505" s="20">
        <f>Продажи[[#This Row],[цена за шт в рублях]]/Продажи[[#This Row],[Средняя цена в категории за шт]]-1</f>
        <v>-0.10023466309084816</v>
      </c>
      <c r="L505" t="str">
        <f>VLOOKUP(Продажи[[#This Row],[id товара]],Товары[#All],3,FALSE)</f>
        <v>Greenfield</v>
      </c>
      <c r="M5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505" s="23">
        <f>VLOOKUP(Продажи[[#This Row],[id клиента]],Таблица4[#All],5,FALSE)</f>
        <v>44635</v>
      </c>
      <c r="O505">
        <f>Продажи[[#This Row],[дата создания чека]]-Продажи[[#This Row],[Дата регистрации клиентов]]</f>
        <v>446</v>
      </c>
      <c r="P505" t="str">
        <f>VLOOKUP(Продажи[[#This Row],[id клиента]],Таблица4[#All],7,FALSE)</f>
        <v>Россия</v>
      </c>
    </row>
    <row r="506" spans="1:16" x14ac:dyDescent="0.25">
      <c r="A506">
        <v>505</v>
      </c>
      <c r="B506">
        <v>336</v>
      </c>
      <c r="C506">
        <v>416</v>
      </c>
      <c r="D506">
        <v>2</v>
      </c>
      <c r="E506">
        <v>832</v>
      </c>
      <c r="F506" s="23">
        <v>45173</v>
      </c>
      <c r="G506" t="s">
        <v>12</v>
      </c>
      <c r="H506">
        <v>335</v>
      </c>
      <c r="I506" t="str">
        <f>VLOOKUP(Продажи[[#This Row],[id товара]],Товары[#All],2,FALSE)</f>
        <v>Чипсы</v>
      </c>
      <c r="J506" s="19">
        <f>AVERAGEIF(Продажи[Категория товара],Продажи[[#This Row],[Категория товара]],Продажи[цена за шт в рублях])</f>
        <v>273.72549019607845</v>
      </c>
      <c r="K506" s="20">
        <f>Продажи[[#This Row],[цена за шт в рублях]]/Продажи[[#This Row],[Средняя цена в категории за шт]]-1</f>
        <v>0.51977077363896829</v>
      </c>
      <c r="L506" t="str">
        <f>VLOOKUP(Продажи[[#This Row],[id товара]],Товары[#All],3,FALSE)</f>
        <v>Estrella</v>
      </c>
      <c r="M5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506" s="23">
        <f>VLOOKUP(Продажи[[#This Row],[id клиента]],Таблица4[#All],5,FALSE)</f>
        <v>44619</v>
      </c>
      <c r="O506">
        <f>Продажи[[#This Row],[дата создания чека]]-Продажи[[#This Row],[Дата регистрации клиентов]]</f>
        <v>554</v>
      </c>
      <c r="P506" t="str">
        <f>VLOOKUP(Продажи[[#This Row],[id клиента]],Таблица4[#All],7,FALSE)</f>
        <v>Узбекистан</v>
      </c>
    </row>
    <row r="507" spans="1:16" x14ac:dyDescent="0.25">
      <c r="A507">
        <v>506</v>
      </c>
      <c r="B507">
        <v>441</v>
      </c>
      <c r="C507">
        <v>293</v>
      </c>
      <c r="D507">
        <v>3</v>
      </c>
      <c r="E507">
        <v>879</v>
      </c>
      <c r="F507" s="23">
        <v>45274</v>
      </c>
      <c r="G507" t="s">
        <v>24</v>
      </c>
      <c r="H507">
        <v>136</v>
      </c>
      <c r="I507" t="str">
        <f>VLOOKUP(Продажи[[#This Row],[id товара]],Товары[#All],2,FALSE)</f>
        <v>Чай</v>
      </c>
      <c r="J507" s="19">
        <f>AVERAGEIF(Продажи[Категория товара],Продажи[[#This Row],[Категория товара]],Продажи[цена за шт в рублях])</f>
        <v>271.18181818181819</v>
      </c>
      <c r="K507" s="20">
        <f>Продажи[[#This Row],[цена за шт в рублях]]/Продажи[[#This Row],[Средняя цена в категории за шт]]-1</f>
        <v>8.0455916862219201E-2</v>
      </c>
      <c r="L507" t="str">
        <f>VLOOKUP(Продажи[[#This Row],[id товара]],Товары[#All],3,FALSE)</f>
        <v>Lipton</v>
      </c>
      <c r="M5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507" s="23">
        <f>VLOOKUP(Продажи[[#This Row],[id клиента]],Таблица4[#All],5,FALSE)</f>
        <v>44860</v>
      </c>
      <c r="O507">
        <f>Продажи[[#This Row],[дата создания чека]]-Продажи[[#This Row],[Дата регистрации клиентов]]</f>
        <v>414</v>
      </c>
      <c r="P507" t="str">
        <f>VLOOKUP(Продажи[[#This Row],[id клиента]],Таблица4[#All],7,FALSE)</f>
        <v>Украина</v>
      </c>
    </row>
    <row r="508" spans="1:16" x14ac:dyDescent="0.25">
      <c r="A508">
        <v>507</v>
      </c>
      <c r="B508">
        <v>481</v>
      </c>
      <c r="C508">
        <v>63</v>
      </c>
      <c r="D508">
        <v>1</v>
      </c>
      <c r="E508">
        <v>63</v>
      </c>
      <c r="F508" s="23">
        <v>45301</v>
      </c>
      <c r="G508" t="s">
        <v>12</v>
      </c>
      <c r="H508">
        <v>388</v>
      </c>
      <c r="I508" t="str">
        <f>VLOOKUP(Продажи[[#This Row],[id товара]],Товары[#All],2,FALSE)</f>
        <v>Чипсы</v>
      </c>
      <c r="J508" s="19">
        <f>AVERAGEIF(Продажи[Категория товара],Продажи[[#This Row],[Категория товара]],Продажи[цена за шт в рублях])</f>
        <v>273.72549019607845</v>
      </c>
      <c r="K508" s="20">
        <f>Продажи[[#This Row],[цена за шт в рублях]]/Продажи[[#This Row],[Средняя цена в категории за шт]]-1</f>
        <v>-0.76984240687679084</v>
      </c>
      <c r="L508" t="str">
        <f>VLOOKUP(Продажи[[#This Row],[id товара]],Товары[#All],3,FALSE)</f>
        <v>Pringles</v>
      </c>
      <c r="M5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08" s="23">
        <f>VLOOKUP(Продажи[[#This Row],[id клиента]],Таблица4[#All],5,FALSE)</f>
        <v>44581</v>
      </c>
      <c r="O508">
        <f>Продажи[[#This Row],[дата создания чека]]-Продажи[[#This Row],[Дата регистрации клиентов]]</f>
        <v>720</v>
      </c>
      <c r="P508" t="str">
        <f>VLOOKUP(Продажи[[#This Row],[id клиента]],Таблица4[#All],7,FALSE)</f>
        <v>Россия</v>
      </c>
    </row>
    <row r="509" spans="1:16" x14ac:dyDescent="0.25">
      <c r="A509">
        <v>508</v>
      </c>
      <c r="B509">
        <v>403</v>
      </c>
      <c r="C509">
        <v>240</v>
      </c>
      <c r="D509">
        <v>1</v>
      </c>
      <c r="E509">
        <v>240</v>
      </c>
      <c r="F509" s="23">
        <v>45359</v>
      </c>
      <c r="G509" t="s">
        <v>10</v>
      </c>
      <c r="H509">
        <v>341</v>
      </c>
      <c r="I509" t="str">
        <f>VLOOKUP(Продажи[[#This Row],[id товара]],Товары[#All],2,FALSE)</f>
        <v>Чай</v>
      </c>
      <c r="J509" s="19">
        <f>AVERAGEIF(Продажи[Категория товара],Продажи[[#This Row],[Категория товара]],Продажи[цена за шт в рублях])</f>
        <v>271.18181818181819</v>
      </c>
      <c r="K509" s="20">
        <f>Продажи[[#This Row],[цена за шт в рублях]]/Продажи[[#This Row],[Средняя цена в категории за шт]]-1</f>
        <v>-0.11498491451558834</v>
      </c>
      <c r="L509" t="str">
        <f>VLOOKUP(Продажи[[#This Row],[id товара]],Товары[#All],3,FALSE)</f>
        <v>Ахмад</v>
      </c>
      <c r="M5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509" s="23">
        <f>VLOOKUP(Продажи[[#This Row],[id клиента]],Таблица4[#All],5,FALSE)</f>
        <v>44724</v>
      </c>
      <c r="O509">
        <f>Продажи[[#This Row],[дата создания чека]]-Продажи[[#This Row],[Дата регистрации клиентов]]</f>
        <v>635</v>
      </c>
      <c r="P509" t="str">
        <f>VLOOKUP(Продажи[[#This Row],[id клиента]],Таблица4[#All],7,FALSE)</f>
        <v>Россия</v>
      </c>
    </row>
    <row r="510" spans="1:16" x14ac:dyDescent="0.25">
      <c r="A510">
        <v>509</v>
      </c>
      <c r="B510">
        <v>137</v>
      </c>
      <c r="C510">
        <v>432</v>
      </c>
      <c r="D510">
        <v>5</v>
      </c>
      <c r="E510">
        <v>2160</v>
      </c>
      <c r="F510" s="23">
        <v>45131</v>
      </c>
      <c r="G510" t="s">
        <v>22</v>
      </c>
      <c r="H510">
        <v>185</v>
      </c>
      <c r="I510" t="str">
        <f>VLOOKUP(Продажи[[#This Row],[id товара]],Товары[#All],2,FALSE)</f>
        <v>Фрукты</v>
      </c>
      <c r="J510" s="19">
        <f>AVERAGEIF(Продажи[Категория товара],Продажи[[#This Row],[Категория товара]],Продажи[цена за шт в рублях])</f>
        <v>274.16279069767444</v>
      </c>
      <c r="K510" s="20">
        <f>Продажи[[#This Row],[цена за шт в рублях]]/Продажи[[#This Row],[Средняя цена в категории за шт]]-1</f>
        <v>0.57570616676562891</v>
      </c>
      <c r="L510" t="str">
        <f>VLOOKUP(Продажи[[#This Row],[id товара]],Товары[#All],3,FALSE)</f>
        <v>Экзотик</v>
      </c>
      <c r="M5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510" s="23">
        <f>VLOOKUP(Продажи[[#This Row],[id клиента]],Таблица4[#All],5,FALSE)</f>
        <v>44683</v>
      </c>
      <c r="O510">
        <f>Продажи[[#This Row],[дата создания чека]]-Продажи[[#This Row],[Дата регистрации клиентов]]</f>
        <v>448</v>
      </c>
      <c r="P510" t="str">
        <f>VLOOKUP(Продажи[[#This Row],[id клиента]],Таблица4[#All],7,FALSE)</f>
        <v>Узбекистан</v>
      </c>
    </row>
    <row r="511" spans="1:16" x14ac:dyDescent="0.25">
      <c r="A511">
        <v>510</v>
      </c>
      <c r="B511">
        <v>246</v>
      </c>
      <c r="C511">
        <v>196</v>
      </c>
      <c r="D511">
        <v>5</v>
      </c>
      <c r="E511">
        <v>980</v>
      </c>
      <c r="F511" s="23">
        <v>45168</v>
      </c>
      <c r="G511" t="s">
        <v>15</v>
      </c>
      <c r="H511">
        <v>437</v>
      </c>
      <c r="I511" t="str">
        <f>VLOOKUP(Продажи[[#This Row],[id товара]],Товары[#All],2,FALSE)</f>
        <v>Сыр</v>
      </c>
      <c r="J511" s="19">
        <f>AVERAGEIF(Продажи[Категория товара],Продажи[[#This Row],[Категория товара]],Продажи[цена за шт в рублях])</f>
        <v>262.63492063492066</v>
      </c>
      <c r="K511" s="20">
        <f>Продажи[[#This Row],[цена за шт в рублях]]/Продажи[[#This Row],[Средняя цена в категории за шт]]-1</f>
        <v>-0.25371691043152433</v>
      </c>
      <c r="L511" t="str">
        <f>VLOOKUP(Продажи[[#This Row],[id товара]],Товары[#All],3,FALSE)</f>
        <v>President</v>
      </c>
      <c r="M5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511" s="23">
        <f>VLOOKUP(Продажи[[#This Row],[id клиента]],Таблица4[#All],5,FALSE)</f>
        <v>44576</v>
      </c>
      <c r="O511">
        <f>Продажи[[#This Row],[дата создания чека]]-Продажи[[#This Row],[Дата регистрации клиентов]]</f>
        <v>592</v>
      </c>
      <c r="P511" t="str">
        <f>VLOOKUP(Продажи[[#This Row],[id клиента]],Таблица4[#All],7,FALSE)</f>
        <v>Узбекистан</v>
      </c>
    </row>
    <row r="512" spans="1:16" x14ac:dyDescent="0.25">
      <c r="A512">
        <v>511</v>
      </c>
      <c r="B512">
        <v>4</v>
      </c>
      <c r="C512">
        <v>493</v>
      </c>
      <c r="D512">
        <v>4</v>
      </c>
      <c r="E512">
        <v>1972</v>
      </c>
      <c r="F512" s="23">
        <v>45155</v>
      </c>
      <c r="G512" t="s">
        <v>16</v>
      </c>
      <c r="H512">
        <v>263</v>
      </c>
      <c r="I512" t="str">
        <f>VLOOKUP(Продажи[[#This Row],[id товара]],Товары[#All],2,FALSE)</f>
        <v>Рис</v>
      </c>
      <c r="J512" s="19">
        <f>AVERAGEIF(Продажи[Категория товара],Продажи[[#This Row],[Категория товара]],Продажи[цена за шт в рублях])</f>
        <v>258.375</v>
      </c>
      <c r="K512" s="20">
        <f>Продажи[[#This Row],[цена за шт в рублях]]/Продажи[[#This Row],[Средняя цена в категории за шт]]-1</f>
        <v>0.90807934204160623</v>
      </c>
      <c r="L512" t="str">
        <f>VLOOKUP(Продажи[[#This Row],[id товара]],Товары[#All],3,FALSE)</f>
        <v>Белый Злат</v>
      </c>
      <c r="M5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512" s="23">
        <f>VLOOKUP(Продажи[[#This Row],[id клиента]],Таблица4[#All],5,FALSE)</f>
        <v>44612</v>
      </c>
      <c r="O512">
        <f>Продажи[[#This Row],[дата создания чека]]-Продажи[[#This Row],[Дата регистрации клиентов]]</f>
        <v>543</v>
      </c>
      <c r="P512" t="str">
        <f>VLOOKUP(Продажи[[#This Row],[id клиента]],Таблица4[#All],7,FALSE)</f>
        <v>Таджикистан</v>
      </c>
    </row>
    <row r="513" spans="1:16" x14ac:dyDescent="0.25">
      <c r="A513">
        <v>512</v>
      </c>
      <c r="B513">
        <v>484</v>
      </c>
      <c r="C513">
        <v>436</v>
      </c>
      <c r="D513">
        <v>2</v>
      </c>
      <c r="E513">
        <v>872</v>
      </c>
      <c r="F513" s="23">
        <v>45405</v>
      </c>
      <c r="G513" t="s">
        <v>15</v>
      </c>
      <c r="H513">
        <v>358</v>
      </c>
      <c r="I513" t="str">
        <f>VLOOKUP(Продажи[[#This Row],[id товара]],Товары[#All],2,FALSE)</f>
        <v>Печенье</v>
      </c>
      <c r="J513" s="19">
        <f>AVERAGEIF(Продажи[Категория товара],Продажи[[#This Row],[Категория товара]],Продажи[цена за шт в рублях])</f>
        <v>283.468085106383</v>
      </c>
      <c r="K513" s="20">
        <f>Продажи[[#This Row],[цена за шт в рублях]]/Продажи[[#This Row],[Средняя цена в категории за шт]]-1</f>
        <v>0.53809202131652012</v>
      </c>
      <c r="L513" t="str">
        <f>VLOOKUP(Продажи[[#This Row],[id товара]],Товары[#All],3,FALSE)</f>
        <v>КДВ</v>
      </c>
      <c r="M5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513" s="23">
        <f>VLOOKUP(Продажи[[#This Row],[id клиента]],Таблица4[#All],5,FALSE)</f>
        <v>44771</v>
      </c>
      <c r="O513">
        <f>Продажи[[#This Row],[дата создания чека]]-Продажи[[#This Row],[Дата регистрации клиентов]]</f>
        <v>634</v>
      </c>
      <c r="P513" t="str">
        <f>VLOOKUP(Продажи[[#This Row],[id клиента]],Таблица4[#All],7,FALSE)</f>
        <v>Украина</v>
      </c>
    </row>
    <row r="514" spans="1:16" x14ac:dyDescent="0.25">
      <c r="A514">
        <v>513</v>
      </c>
      <c r="B514">
        <v>60</v>
      </c>
      <c r="C514">
        <v>412</v>
      </c>
      <c r="D514">
        <v>5</v>
      </c>
      <c r="E514">
        <v>2060</v>
      </c>
      <c r="F514" s="23">
        <v>44930</v>
      </c>
      <c r="G514" t="s">
        <v>17</v>
      </c>
      <c r="H514">
        <v>377</v>
      </c>
      <c r="I514" t="str">
        <f>VLOOKUP(Продажи[[#This Row],[id товара]],Товары[#All],2,FALSE)</f>
        <v>Кофе</v>
      </c>
      <c r="J514" s="19">
        <f>AVERAGEIF(Продажи[Категория товара],Продажи[[#This Row],[Категория товара]],Продажи[цена за шт в рублях])</f>
        <v>249.02380952380952</v>
      </c>
      <c r="K514" s="20">
        <f>Продажи[[#This Row],[цена за шт в рублях]]/Продажи[[#This Row],[Средняя цена в категории за шт]]-1</f>
        <v>0.65446027344870461</v>
      </c>
      <c r="L514" t="str">
        <f>VLOOKUP(Продажи[[#This Row],[id товара]],Товары[#All],3,FALSE)</f>
        <v>Jacobs</v>
      </c>
      <c r="M5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514" s="23">
        <f>VLOOKUP(Продажи[[#This Row],[id клиента]],Таблица4[#All],5,FALSE)</f>
        <v>44794</v>
      </c>
      <c r="O514">
        <f>Продажи[[#This Row],[дата создания чека]]-Продажи[[#This Row],[Дата регистрации клиентов]]</f>
        <v>136</v>
      </c>
      <c r="P514" t="str">
        <f>VLOOKUP(Продажи[[#This Row],[id клиента]],Таблица4[#All],7,FALSE)</f>
        <v>Узбекистан</v>
      </c>
    </row>
    <row r="515" spans="1:16" x14ac:dyDescent="0.25">
      <c r="A515">
        <v>514</v>
      </c>
      <c r="B515">
        <v>477</v>
      </c>
      <c r="C515">
        <v>117</v>
      </c>
      <c r="D515">
        <v>3</v>
      </c>
      <c r="E515">
        <v>351</v>
      </c>
      <c r="F515" s="23">
        <v>45247</v>
      </c>
      <c r="G515" t="s">
        <v>23</v>
      </c>
      <c r="H515">
        <v>450</v>
      </c>
      <c r="I515" t="str">
        <f>VLOOKUP(Продажи[[#This Row],[id товара]],Товары[#All],2,FALSE)</f>
        <v>Макароны</v>
      </c>
      <c r="J515" s="19">
        <f>AVERAGEIF(Продажи[Категория товара],Продажи[[#This Row],[Категория товара]],Продажи[цена за шт в рублях])</f>
        <v>265.47674418604652</v>
      </c>
      <c r="K515" s="20">
        <f>Продажи[[#This Row],[цена за шт в рублях]]/Продажи[[#This Row],[Средняя цена в категории за шт]]-1</f>
        <v>-0.559283430423547</v>
      </c>
      <c r="L515" t="str">
        <f>VLOOKUP(Продажи[[#This Row],[id товара]],Товары[#All],3,FALSE)</f>
        <v>Борилла</v>
      </c>
      <c r="M5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515" s="23">
        <f>VLOOKUP(Продажи[[#This Row],[id клиента]],Таблица4[#All],5,FALSE)</f>
        <v>44619</v>
      </c>
      <c r="O515">
        <f>Продажи[[#This Row],[дата создания чека]]-Продажи[[#This Row],[Дата регистрации клиентов]]</f>
        <v>628</v>
      </c>
      <c r="P515" t="str">
        <f>VLOOKUP(Продажи[[#This Row],[id клиента]],Таблица4[#All],7,FALSE)</f>
        <v>Россия</v>
      </c>
    </row>
    <row r="516" spans="1:16" x14ac:dyDescent="0.25">
      <c r="A516">
        <v>515</v>
      </c>
      <c r="B516">
        <v>174</v>
      </c>
      <c r="C516">
        <v>301</v>
      </c>
      <c r="D516">
        <v>4</v>
      </c>
      <c r="E516">
        <v>1204</v>
      </c>
      <c r="F516" s="23">
        <v>45382</v>
      </c>
      <c r="G516" t="s">
        <v>14</v>
      </c>
      <c r="H516">
        <v>210</v>
      </c>
      <c r="I516" t="str">
        <f>VLOOKUP(Продажи[[#This Row],[id товара]],Товары[#All],2,FALSE)</f>
        <v>Чай</v>
      </c>
      <c r="J516" s="19">
        <f>AVERAGEIF(Продажи[Категория товара],Продажи[[#This Row],[Категория товара]],Продажи[цена за шт в рублях])</f>
        <v>271.18181818181819</v>
      </c>
      <c r="K516" s="20">
        <f>Продажи[[#This Row],[цена за шт в рублях]]/Продажи[[#This Row],[Средняя цена в категории за шт]]-1</f>
        <v>0.10995641971169956</v>
      </c>
      <c r="L516" t="str">
        <f>VLOOKUP(Продажи[[#This Row],[id товара]],Товары[#All],3,FALSE)</f>
        <v>Ахмад</v>
      </c>
      <c r="M5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516" s="23">
        <f>VLOOKUP(Продажи[[#This Row],[id клиента]],Таблица4[#All],5,FALSE)</f>
        <v>44602</v>
      </c>
      <c r="O516">
        <f>Продажи[[#This Row],[дата создания чека]]-Продажи[[#This Row],[Дата регистрации клиентов]]</f>
        <v>780</v>
      </c>
      <c r="P516" t="str">
        <f>VLOOKUP(Продажи[[#This Row],[id клиента]],Таблица4[#All],7,FALSE)</f>
        <v>Узбекистан</v>
      </c>
    </row>
    <row r="517" spans="1:16" x14ac:dyDescent="0.25">
      <c r="A517">
        <v>516</v>
      </c>
      <c r="B517">
        <v>240</v>
      </c>
      <c r="C517">
        <v>156</v>
      </c>
      <c r="D517">
        <v>4</v>
      </c>
      <c r="E517">
        <v>624</v>
      </c>
      <c r="F517" s="23">
        <v>45317</v>
      </c>
      <c r="G517" t="s">
        <v>23</v>
      </c>
      <c r="H517">
        <v>67</v>
      </c>
      <c r="I517" t="str">
        <f>VLOOKUP(Продажи[[#This Row],[id товара]],Товары[#All],2,FALSE)</f>
        <v>Макароны</v>
      </c>
      <c r="J517" s="19">
        <f>AVERAGEIF(Продажи[Категория товара],Продажи[[#This Row],[Категория товара]],Продажи[цена за шт в рублях])</f>
        <v>265.47674418604652</v>
      </c>
      <c r="K517" s="20">
        <f>Продажи[[#This Row],[цена за шт в рублях]]/Продажи[[#This Row],[Средняя цена в категории за шт]]-1</f>
        <v>-0.41237790723139589</v>
      </c>
      <c r="L517" t="str">
        <f>VLOOKUP(Продажи[[#This Row],[id товара]],Товары[#All],3,FALSE)</f>
        <v>Борилла</v>
      </c>
      <c r="M5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517" s="23">
        <f>VLOOKUP(Продажи[[#This Row],[id клиента]],Таблица4[#All],5,FALSE)</f>
        <v>44731</v>
      </c>
      <c r="O517">
        <f>Продажи[[#This Row],[дата создания чека]]-Продажи[[#This Row],[Дата регистрации клиентов]]</f>
        <v>586</v>
      </c>
      <c r="P517" t="str">
        <f>VLOOKUP(Продажи[[#This Row],[id клиента]],Таблица4[#All],7,FALSE)</f>
        <v>Узбекистан</v>
      </c>
    </row>
    <row r="518" spans="1:16" x14ac:dyDescent="0.25">
      <c r="A518">
        <v>517</v>
      </c>
      <c r="B518">
        <v>299</v>
      </c>
      <c r="C518">
        <v>141</v>
      </c>
      <c r="D518">
        <v>4</v>
      </c>
      <c r="E518">
        <v>564</v>
      </c>
      <c r="F518" s="23">
        <v>45269</v>
      </c>
      <c r="G518" t="s">
        <v>18</v>
      </c>
      <c r="H518">
        <v>125</v>
      </c>
      <c r="I518" t="str">
        <f>VLOOKUP(Продажи[[#This Row],[id товара]],Товары[#All],2,FALSE)</f>
        <v>Чай</v>
      </c>
      <c r="J518" s="19">
        <f>AVERAGEIF(Продажи[Категория товара],Продажи[[#This Row],[Категория товара]],Продажи[цена за шт в рублях])</f>
        <v>271.18181818181819</v>
      </c>
      <c r="K518" s="20">
        <f>Продажи[[#This Row],[цена за шт в рублях]]/Продажи[[#This Row],[Средняя цена в категории за шт]]-1</f>
        <v>-0.48005363727790817</v>
      </c>
      <c r="L518" t="str">
        <f>VLOOKUP(Продажи[[#This Row],[id товара]],Товары[#All],3,FALSE)</f>
        <v>Lipton</v>
      </c>
      <c r="M5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518" s="23">
        <f>VLOOKUP(Продажи[[#This Row],[id клиента]],Таблица4[#All],5,FALSE)</f>
        <v>44701</v>
      </c>
      <c r="O518">
        <f>Продажи[[#This Row],[дата создания чека]]-Продажи[[#This Row],[Дата регистрации клиентов]]</f>
        <v>568</v>
      </c>
      <c r="P518" t="str">
        <f>VLOOKUP(Продажи[[#This Row],[id клиента]],Таблица4[#All],7,FALSE)</f>
        <v>Россия</v>
      </c>
    </row>
    <row r="519" spans="1:16" x14ac:dyDescent="0.25">
      <c r="A519">
        <v>518</v>
      </c>
      <c r="B519">
        <v>481</v>
      </c>
      <c r="C519">
        <v>463</v>
      </c>
      <c r="D519">
        <v>2</v>
      </c>
      <c r="E519">
        <v>926</v>
      </c>
      <c r="F519" s="23">
        <v>45171</v>
      </c>
      <c r="G519" t="s">
        <v>22</v>
      </c>
      <c r="H519">
        <v>213</v>
      </c>
      <c r="I519" t="str">
        <f>VLOOKUP(Продажи[[#This Row],[id товара]],Товары[#All],2,FALSE)</f>
        <v>Чипсы</v>
      </c>
      <c r="J519" s="19">
        <f>AVERAGEIF(Продажи[Категория товара],Продажи[[#This Row],[Категория товара]],Продажи[цена за шт в рублях])</f>
        <v>273.72549019607845</v>
      </c>
      <c r="K519" s="20">
        <f>Продажи[[#This Row],[цена за шт в рублях]]/Продажи[[#This Row],[Средняя цена в категории за шт]]-1</f>
        <v>0.69147564469914036</v>
      </c>
      <c r="L519" t="str">
        <f>VLOOKUP(Продажи[[#This Row],[id товара]],Товары[#All],3,FALSE)</f>
        <v>Pringles</v>
      </c>
      <c r="M5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19" s="23">
        <f>VLOOKUP(Продажи[[#This Row],[id клиента]],Таблица4[#All],5,FALSE)</f>
        <v>44733</v>
      </c>
      <c r="O519">
        <f>Продажи[[#This Row],[дата создания чека]]-Продажи[[#This Row],[Дата регистрации клиентов]]</f>
        <v>438</v>
      </c>
      <c r="P519" t="str">
        <f>VLOOKUP(Продажи[[#This Row],[id клиента]],Таблица4[#All],7,FALSE)</f>
        <v>Узбекистан</v>
      </c>
    </row>
    <row r="520" spans="1:16" x14ac:dyDescent="0.25">
      <c r="A520">
        <v>519</v>
      </c>
      <c r="B520">
        <v>213</v>
      </c>
      <c r="C520">
        <v>432</v>
      </c>
      <c r="D520">
        <v>3</v>
      </c>
      <c r="E520">
        <v>1296</v>
      </c>
      <c r="F520" s="23">
        <v>45196</v>
      </c>
      <c r="G520" t="s">
        <v>21</v>
      </c>
      <c r="H520">
        <v>254</v>
      </c>
      <c r="I520" t="str">
        <f>VLOOKUP(Продажи[[#This Row],[id товара]],Товары[#All],2,FALSE)</f>
        <v>Сахар</v>
      </c>
      <c r="J520" s="19">
        <f>AVERAGEIF(Продажи[Категория товара],Продажи[[#This Row],[Категория товара]],Продажи[цена за шт в рублях])</f>
        <v>252.76271186440678</v>
      </c>
      <c r="K520" s="20">
        <f>Продажи[[#This Row],[цена за шт в рублях]]/Продажи[[#This Row],[Средняя цена в категории за шт]]-1</f>
        <v>0.70911285455642736</v>
      </c>
      <c r="L520" t="str">
        <f>VLOOKUP(Продажи[[#This Row],[id товара]],Товары[#All],3,FALSE)</f>
        <v>Продимекс</v>
      </c>
      <c r="M5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520" s="23">
        <f>VLOOKUP(Продажи[[#This Row],[id клиента]],Таблица4[#All],5,FALSE)</f>
        <v>44862</v>
      </c>
      <c r="O520">
        <f>Продажи[[#This Row],[дата создания чека]]-Продажи[[#This Row],[Дата регистрации клиентов]]</f>
        <v>334</v>
      </c>
      <c r="P520" t="str">
        <f>VLOOKUP(Продажи[[#This Row],[id клиента]],Таблица4[#All],7,FALSE)</f>
        <v>Беларусь</v>
      </c>
    </row>
    <row r="521" spans="1:16" x14ac:dyDescent="0.25">
      <c r="A521">
        <v>520</v>
      </c>
      <c r="B521">
        <v>484</v>
      </c>
      <c r="C521">
        <v>238</v>
      </c>
      <c r="D521">
        <v>2</v>
      </c>
      <c r="E521">
        <v>476</v>
      </c>
      <c r="F521" s="23">
        <v>45364</v>
      </c>
      <c r="G521" t="s">
        <v>14</v>
      </c>
      <c r="H521">
        <v>252</v>
      </c>
      <c r="I521" t="str">
        <f>VLOOKUP(Продажи[[#This Row],[id товара]],Товары[#All],2,FALSE)</f>
        <v>Печенье</v>
      </c>
      <c r="J521" s="19">
        <f>AVERAGEIF(Продажи[Категория товара],Продажи[[#This Row],[Категория товара]],Продажи[цена за шт в рублях])</f>
        <v>283.468085106383</v>
      </c>
      <c r="K521" s="20">
        <f>Продажи[[#This Row],[цена за шт в рублях]]/Продажи[[#This Row],[Средняя цена в категории за шт]]-1</f>
        <v>-0.16039930946483527</v>
      </c>
      <c r="L521" t="str">
        <f>VLOOKUP(Продажи[[#This Row],[id товара]],Товары[#All],3,FALSE)</f>
        <v>КДВ</v>
      </c>
      <c r="M5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521" s="23">
        <f>VLOOKUP(Продажи[[#This Row],[id клиента]],Таблица4[#All],5,FALSE)</f>
        <v>44643</v>
      </c>
      <c r="O521">
        <f>Продажи[[#This Row],[дата создания чека]]-Продажи[[#This Row],[Дата регистрации клиентов]]</f>
        <v>721</v>
      </c>
      <c r="P521" t="str">
        <f>VLOOKUP(Продажи[[#This Row],[id клиента]],Таблица4[#All],7,FALSE)</f>
        <v>Россия</v>
      </c>
    </row>
    <row r="522" spans="1:16" x14ac:dyDescent="0.25">
      <c r="A522">
        <v>521</v>
      </c>
      <c r="B522">
        <v>479</v>
      </c>
      <c r="C522">
        <v>131</v>
      </c>
      <c r="D522">
        <v>5</v>
      </c>
      <c r="E522">
        <v>655</v>
      </c>
      <c r="F522" s="23">
        <v>44965</v>
      </c>
      <c r="G522" t="s">
        <v>12</v>
      </c>
      <c r="H522">
        <v>164</v>
      </c>
      <c r="I522" t="str">
        <f>VLOOKUP(Продажи[[#This Row],[id товара]],Товары[#All],2,FALSE)</f>
        <v>Овощи</v>
      </c>
      <c r="J522" s="19">
        <f>AVERAGEIF(Продажи[Категория товара],Продажи[[#This Row],[Категория товара]],Продажи[цена за шт в рублях])</f>
        <v>250.48780487804879</v>
      </c>
      <c r="K522" s="20">
        <f>Продажи[[#This Row],[цена за шт в рублях]]/Продажи[[#This Row],[Средняя цена в категории за шт]]-1</f>
        <v>-0.47702044790652387</v>
      </c>
      <c r="L522" t="str">
        <f>VLOOKUP(Продажи[[#This Row],[id товара]],Товары[#All],3,FALSE)</f>
        <v>Гавриш</v>
      </c>
      <c r="M5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522" s="23">
        <f>VLOOKUP(Продажи[[#This Row],[id клиента]],Таблица4[#All],5,FALSE)</f>
        <v>44678</v>
      </c>
      <c r="O522">
        <f>Продажи[[#This Row],[дата создания чека]]-Продажи[[#This Row],[Дата регистрации клиентов]]</f>
        <v>287</v>
      </c>
      <c r="P522" t="str">
        <f>VLOOKUP(Продажи[[#This Row],[id клиента]],Таблица4[#All],7,FALSE)</f>
        <v>Россия</v>
      </c>
    </row>
    <row r="523" spans="1:16" x14ac:dyDescent="0.25">
      <c r="A523">
        <v>522</v>
      </c>
      <c r="B523">
        <v>159</v>
      </c>
      <c r="C523">
        <v>225</v>
      </c>
      <c r="D523">
        <v>1</v>
      </c>
      <c r="E523">
        <v>225</v>
      </c>
      <c r="F523" s="23">
        <v>45016</v>
      </c>
      <c r="G523" t="s">
        <v>21</v>
      </c>
      <c r="H523">
        <v>258</v>
      </c>
      <c r="I523" t="str">
        <f>VLOOKUP(Продажи[[#This Row],[id товара]],Товары[#All],2,FALSE)</f>
        <v>Крупа</v>
      </c>
      <c r="J523" s="19">
        <f>AVERAGEIF(Продажи[Категория товара],Продажи[[#This Row],[Категория товара]],Продажи[цена за шт в рублях])</f>
        <v>255.11627906976744</v>
      </c>
      <c r="K523" s="20">
        <f>Продажи[[#This Row],[цена за шт в рублях]]/Продажи[[#This Row],[Средняя цена в категории за шт]]-1</f>
        <v>-0.11804922515952598</v>
      </c>
      <c r="L523" t="str">
        <f>VLOOKUP(Продажи[[#This Row],[id товара]],Товары[#All],3,FALSE)</f>
        <v>Националь</v>
      </c>
      <c r="M5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523" s="23">
        <f>VLOOKUP(Продажи[[#This Row],[id клиента]],Таблица4[#All],5,FALSE)</f>
        <v>44717</v>
      </c>
      <c r="O523">
        <f>Продажи[[#This Row],[дата создания чека]]-Продажи[[#This Row],[Дата регистрации клиентов]]</f>
        <v>299</v>
      </c>
      <c r="P523" t="str">
        <f>VLOOKUP(Продажи[[#This Row],[id клиента]],Таблица4[#All],7,FALSE)</f>
        <v>Украина</v>
      </c>
    </row>
    <row r="524" spans="1:16" x14ac:dyDescent="0.25">
      <c r="A524">
        <v>523</v>
      </c>
      <c r="B524">
        <v>110</v>
      </c>
      <c r="C524">
        <v>279</v>
      </c>
      <c r="D524">
        <v>1</v>
      </c>
      <c r="E524">
        <v>279</v>
      </c>
      <c r="F524" s="23">
        <v>45311</v>
      </c>
      <c r="G524" t="s">
        <v>18</v>
      </c>
      <c r="H524">
        <v>290</v>
      </c>
      <c r="I524" t="str">
        <f>VLOOKUP(Продажи[[#This Row],[id товара]],Товары[#All],2,FALSE)</f>
        <v>Макароны</v>
      </c>
      <c r="J524" s="19">
        <f>AVERAGEIF(Продажи[Категория товара],Продажи[[#This Row],[Категория товара]],Продажи[цена за шт в рублях])</f>
        <v>265.47674418604652</v>
      </c>
      <c r="K524" s="20">
        <f>Продажи[[#This Row],[цена за шт в рублях]]/Продажи[[#This Row],[Средняя цена в категории за шт]]-1</f>
        <v>5.0939512066926484E-2</v>
      </c>
      <c r="L524" t="str">
        <f>VLOOKUP(Продажи[[#This Row],[id товара]],Товары[#All],3,FALSE)</f>
        <v>Паста Зара</v>
      </c>
      <c r="M5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524" s="23">
        <f>VLOOKUP(Продажи[[#This Row],[id клиента]],Таблица4[#All],5,FALSE)</f>
        <v>44777</v>
      </c>
      <c r="O524">
        <f>Продажи[[#This Row],[дата создания чека]]-Продажи[[#This Row],[Дата регистрации клиентов]]</f>
        <v>534</v>
      </c>
      <c r="P524" t="str">
        <f>VLOOKUP(Продажи[[#This Row],[id клиента]],Таблица4[#All],7,FALSE)</f>
        <v>Россия</v>
      </c>
    </row>
    <row r="525" spans="1:16" x14ac:dyDescent="0.25">
      <c r="A525">
        <v>524</v>
      </c>
      <c r="B525">
        <v>224</v>
      </c>
      <c r="C525">
        <v>161</v>
      </c>
      <c r="D525">
        <v>2</v>
      </c>
      <c r="E525">
        <v>322</v>
      </c>
      <c r="F525" s="23">
        <v>45177</v>
      </c>
      <c r="G525" t="s">
        <v>18</v>
      </c>
      <c r="H525">
        <v>336</v>
      </c>
      <c r="I525" t="str">
        <f>VLOOKUP(Продажи[[#This Row],[id товара]],Товары[#All],2,FALSE)</f>
        <v>Чипсы</v>
      </c>
      <c r="J525" s="19">
        <f>AVERAGEIF(Продажи[Категория товара],Продажи[[#This Row],[Категория товара]],Продажи[цена за шт в рублях])</f>
        <v>273.72549019607845</v>
      </c>
      <c r="K525" s="20">
        <f>Продажи[[#This Row],[цена за шт в рублях]]/Продажи[[#This Row],[Средняя цена в категории за шт]]-1</f>
        <v>-0.41181948424068771</v>
      </c>
      <c r="L525" t="str">
        <f>VLOOKUP(Продажи[[#This Row],[id товара]],Товары[#All],3,FALSE)</f>
        <v>Pringles</v>
      </c>
      <c r="M5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25" s="23">
        <f>VLOOKUP(Продажи[[#This Row],[id клиента]],Таблица4[#All],5,FALSE)</f>
        <v>44856</v>
      </c>
      <c r="O525">
        <f>Продажи[[#This Row],[дата создания чека]]-Продажи[[#This Row],[Дата регистрации клиентов]]</f>
        <v>321</v>
      </c>
      <c r="P525" t="str">
        <f>VLOOKUP(Продажи[[#This Row],[id клиента]],Таблица4[#All],7,FALSE)</f>
        <v>Узбекистан</v>
      </c>
    </row>
    <row r="526" spans="1:16" x14ac:dyDescent="0.25">
      <c r="A526">
        <v>525</v>
      </c>
      <c r="B526">
        <v>126</v>
      </c>
      <c r="C526">
        <v>267</v>
      </c>
      <c r="D526">
        <v>1</v>
      </c>
      <c r="E526">
        <v>267</v>
      </c>
      <c r="F526" s="23">
        <v>44989</v>
      </c>
      <c r="G526" t="s">
        <v>24</v>
      </c>
      <c r="H526">
        <v>437</v>
      </c>
      <c r="I526" t="str">
        <f>VLOOKUP(Продажи[[#This Row],[id товара]],Товары[#All],2,FALSE)</f>
        <v>Сахар</v>
      </c>
      <c r="J526" s="19">
        <f>AVERAGEIF(Продажи[Категория товара],Продажи[[#This Row],[Категория товара]],Продажи[цена за шт в рублях])</f>
        <v>252.76271186440678</v>
      </c>
      <c r="K526" s="20">
        <f>Продажи[[#This Row],[цена за шт в рублях]]/Продажи[[#This Row],[Средняя цена в категории за шт]]-1</f>
        <v>5.6326694830014068E-2</v>
      </c>
      <c r="L526" t="str">
        <f>VLOOKUP(Продажи[[#This Row],[id товара]],Товары[#All],3,FALSE)</f>
        <v>Русский сахар</v>
      </c>
      <c r="M5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526" s="23">
        <f>VLOOKUP(Продажи[[#This Row],[id клиента]],Таблица4[#All],5,FALSE)</f>
        <v>44576</v>
      </c>
      <c r="O526">
        <f>Продажи[[#This Row],[дата создания чека]]-Продажи[[#This Row],[Дата регистрации клиентов]]</f>
        <v>413</v>
      </c>
      <c r="P526" t="str">
        <f>VLOOKUP(Продажи[[#This Row],[id клиента]],Таблица4[#All],7,FALSE)</f>
        <v>Узбекистан</v>
      </c>
    </row>
    <row r="527" spans="1:16" x14ac:dyDescent="0.25">
      <c r="A527">
        <v>526</v>
      </c>
      <c r="B527">
        <v>344</v>
      </c>
      <c r="C527">
        <v>110</v>
      </c>
      <c r="D527">
        <v>4</v>
      </c>
      <c r="E527">
        <v>440</v>
      </c>
      <c r="F527" s="23">
        <v>45284</v>
      </c>
      <c r="G527" t="s">
        <v>25</v>
      </c>
      <c r="H527">
        <v>294</v>
      </c>
      <c r="I527" t="str">
        <f>VLOOKUP(Продажи[[#This Row],[id товара]],Товары[#All],2,FALSE)</f>
        <v>Сок</v>
      </c>
      <c r="J527" s="19">
        <f>AVERAGEIF(Продажи[Категория товара],Продажи[[#This Row],[Категория товара]],Продажи[цена за шт в рублях])</f>
        <v>268.60344827586209</v>
      </c>
      <c r="K527" s="20">
        <f>Продажи[[#This Row],[цена за шт в рублях]]/Продажи[[#This Row],[Средняя цена в категории за шт]]-1</f>
        <v>-0.59047435650555236</v>
      </c>
      <c r="L527" t="str">
        <f>VLOOKUP(Продажи[[#This Row],[id товара]],Товары[#All],3,FALSE)</f>
        <v>Сады Придонья</v>
      </c>
      <c r="M5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527" s="23">
        <f>VLOOKUP(Продажи[[#This Row],[id клиента]],Таблица4[#All],5,FALSE)</f>
        <v>44879</v>
      </c>
      <c r="O527">
        <f>Продажи[[#This Row],[дата создания чека]]-Продажи[[#This Row],[Дата регистрации клиентов]]</f>
        <v>405</v>
      </c>
      <c r="P527" t="str">
        <f>VLOOKUP(Продажи[[#This Row],[id клиента]],Таблица4[#All],7,FALSE)</f>
        <v>Украина</v>
      </c>
    </row>
    <row r="528" spans="1:16" x14ac:dyDescent="0.25">
      <c r="A528">
        <v>527</v>
      </c>
      <c r="B528">
        <v>447</v>
      </c>
      <c r="C528">
        <v>316</v>
      </c>
      <c r="D528">
        <v>1</v>
      </c>
      <c r="E528">
        <v>316</v>
      </c>
      <c r="F528" s="23">
        <v>45121</v>
      </c>
      <c r="G528" t="s">
        <v>17</v>
      </c>
      <c r="H528">
        <v>297</v>
      </c>
      <c r="I528" t="str">
        <f>VLOOKUP(Продажи[[#This Row],[id товара]],Товары[#All],2,FALSE)</f>
        <v>Йогурт</v>
      </c>
      <c r="J528" s="19">
        <f>AVERAGEIF(Продажи[Категория товара],Продажи[[#This Row],[Категория товара]],Продажи[цена за шт в рублях])</f>
        <v>263.25423728813558</v>
      </c>
      <c r="K528" s="20">
        <f>Продажи[[#This Row],[цена за шт в рублях]]/Продажи[[#This Row],[Средняя цена в категории за шт]]-1</f>
        <v>0.20036054596961117</v>
      </c>
      <c r="L528" t="str">
        <f>VLOOKUP(Продажи[[#This Row],[id товара]],Товары[#All],3,FALSE)</f>
        <v>Эрманн</v>
      </c>
      <c r="M5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528" s="23">
        <f>VLOOKUP(Продажи[[#This Row],[id клиента]],Таблица4[#All],5,FALSE)</f>
        <v>44666</v>
      </c>
      <c r="O528">
        <f>Продажи[[#This Row],[дата создания чека]]-Продажи[[#This Row],[Дата регистрации клиентов]]</f>
        <v>455</v>
      </c>
      <c r="P528" t="str">
        <f>VLOOKUP(Продажи[[#This Row],[id клиента]],Таблица4[#All],7,FALSE)</f>
        <v>Украина</v>
      </c>
    </row>
    <row r="529" spans="1:16" x14ac:dyDescent="0.25">
      <c r="A529">
        <v>528</v>
      </c>
      <c r="B529">
        <v>450</v>
      </c>
      <c r="C529">
        <v>228</v>
      </c>
      <c r="D529">
        <v>4</v>
      </c>
      <c r="E529">
        <v>912</v>
      </c>
      <c r="F529" s="23">
        <v>45193</v>
      </c>
      <c r="G529" t="s">
        <v>15</v>
      </c>
      <c r="H529">
        <v>27</v>
      </c>
      <c r="I529" t="str">
        <f>VLOOKUP(Продажи[[#This Row],[id товара]],Товары[#All],2,FALSE)</f>
        <v>Хлеб</v>
      </c>
      <c r="J529" s="19">
        <f>AVERAGEIF(Продажи[Категория товара],Продажи[[#This Row],[Категория товара]],Продажи[цена за шт в рублях])</f>
        <v>300.31818181818181</v>
      </c>
      <c r="K529" s="20">
        <f>Продажи[[#This Row],[цена за шт в рублях]]/Продажи[[#This Row],[Средняя цена в категории за шт]]-1</f>
        <v>-0.24080520659906157</v>
      </c>
      <c r="L529" t="str">
        <f>VLOOKUP(Продажи[[#This Row],[id товара]],Товары[#All],3,FALSE)</f>
        <v>Хлебный Дом</v>
      </c>
      <c r="M5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529" s="23">
        <f>VLOOKUP(Продажи[[#This Row],[id клиента]],Таблица4[#All],5,FALSE)</f>
        <v>44586</v>
      </c>
      <c r="O529">
        <f>Продажи[[#This Row],[дата создания чека]]-Продажи[[#This Row],[Дата регистрации клиентов]]</f>
        <v>607</v>
      </c>
      <c r="P529" t="str">
        <f>VLOOKUP(Продажи[[#This Row],[id клиента]],Таблица4[#All],7,FALSE)</f>
        <v>Украина</v>
      </c>
    </row>
    <row r="530" spans="1:16" x14ac:dyDescent="0.25">
      <c r="A530">
        <v>529</v>
      </c>
      <c r="B530">
        <v>60</v>
      </c>
      <c r="C530">
        <v>100</v>
      </c>
      <c r="D530">
        <v>1</v>
      </c>
      <c r="E530">
        <v>100</v>
      </c>
      <c r="F530" s="23">
        <v>45397</v>
      </c>
      <c r="G530" t="s">
        <v>27</v>
      </c>
      <c r="H530">
        <v>102</v>
      </c>
      <c r="I530" t="str">
        <f>VLOOKUP(Продажи[[#This Row],[id товара]],Товары[#All],2,FALSE)</f>
        <v>Кофе</v>
      </c>
      <c r="J530" s="19">
        <f>AVERAGEIF(Продажи[Категория товара],Продажи[[#This Row],[Категория товара]],Продажи[цена за шт в рублях])</f>
        <v>249.02380952380952</v>
      </c>
      <c r="K530" s="20">
        <f>Продажи[[#This Row],[цена за шт в рублях]]/Продажи[[#This Row],[Средняя цена в категории за шт]]-1</f>
        <v>-0.59843197246390667</v>
      </c>
      <c r="L530" t="str">
        <f>VLOOKUP(Продажи[[#This Row],[id товара]],Товары[#All],3,FALSE)</f>
        <v>Jacobs</v>
      </c>
      <c r="M5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530" s="23">
        <f>VLOOKUP(Продажи[[#This Row],[id клиента]],Таблица4[#All],5,FALSE)</f>
        <v>44723</v>
      </c>
      <c r="O530">
        <f>Продажи[[#This Row],[дата создания чека]]-Продажи[[#This Row],[Дата регистрации клиентов]]</f>
        <v>674</v>
      </c>
      <c r="P530" t="str">
        <f>VLOOKUP(Продажи[[#This Row],[id клиента]],Таблица4[#All],7,FALSE)</f>
        <v>Узбекистан</v>
      </c>
    </row>
    <row r="531" spans="1:16" x14ac:dyDescent="0.25">
      <c r="A531">
        <v>530</v>
      </c>
      <c r="B531">
        <v>42</v>
      </c>
      <c r="C531">
        <v>332</v>
      </c>
      <c r="D531">
        <v>2</v>
      </c>
      <c r="E531">
        <v>664</v>
      </c>
      <c r="F531" s="23">
        <v>45301</v>
      </c>
      <c r="G531" t="s">
        <v>8</v>
      </c>
      <c r="H531">
        <v>323</v>
      </c>
      <c r="I531" t="str">
        <f>VLOOKUP(Продажи[[#This Row],[id товара]],Товары[#All],2,FALSE)</f>
        <v>Рис</v>
      </c>
      <c r="J531" s="19">
        <f>AVERAGEIF(Продажи[Категория товара],Продажи[[#This Row],[Категория товара]],Продажи[цена за шт в рублях])</f>
        <v>258.375</v>
      </c>
      <c r="K531" s="20">
        <f>Продажи[[#This Row],[цена за шт в рублях]]/Продажи[[#This Row],[Средняя цена в категории за шт]]-1</f>
        <v>0.28495403967102084</v>
      </c>
      <c r="L531" t="str">
        <f>VLOOKUP(Продажи[[#This Row],[id товара]],Товары[#All],3,FALSE)</f>
        <v>Мистраль</v>
      </c>
      <c r="M5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531" s="23">
        <f>VLOOKUP(Продажи[[#This Row],[id клиента]],Таблица4[#All],5,FALSE)</f>
        <v>44821</v>
      </c>
      <c r="O531">
        <f>Продажи[[#This Row],[дата создания чека]]-Продажи[[#This Row],[Дата регистрации клиентов]]</f>
        <v>480</v>
      </c>
      <c r="P531" t="str">
        <f>VLOOKUP(Продажи[[#This Row],[id клиента]],Таблица4[#All],7,FALSE)</f>
        <v>Таджикистан</v>
      </c>
    </row>
    <row r="532" spans="1:16" x14ac:dyDescent="0.25">
      <c r="A532">
        <v>531</v>
      </c>
      <c r="B532">
        <v>267</v>
      </c>
      <c r="C532">
        <v>65</v>
      </c>
      <c r="D532">
        <v>2</v>
      </c>
      <c r="E532">
        <v>130</v>
      </c>
      <c r="F532" s="23">
        <v>45142</v>
      </c>
      <c r="G532" t="s">
        <v>25</v>
      </c>
      <c r="H532">
        <v>53</v>
      </c>
      <c r="I532" t="str">
        <f>VLOOKUP(Продажи[[#This Row],[id товара]],Товары[#All],2,FALSE)</f>
        <v>Овощи</v>
      </c>
      <c r="J532" s="19">
        <f>AVERAGEIF(Продажи[Категория товара],Продажи[[#This Row],[Категория товара]],Продажи[цена за шт в рублях])</f>
        <v>250.48780487804879</v>
      </c>
      <c r="K532" s="20">
        <f>Продажи[[#This Row],[цена за шт в рублях]]/Продажи[[#This Row],[Средняя цена в категории за шт]]-1</f>
        <v>-0.740506329113924</v>
      </c>
      <c r="L532" t="str">
        <f>VLOOKUP(Продажи[[#This Row],[id товара]],Товары[#All],3,FALSE)</f>
        <v>Семко</v>
      </c>
      <c r="M5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532" s="23">
        <f>VLOOKUP(Продажи[[#This Row],[id клиента]],Таблица4[#All],5,FALSE)</f>
        <v>44593</v>
      </c>
      <c r="O532">
        <f>Продажи[[#This Row],[дата создания чека]]-Продажи[[#This Row],[Дата регистрации клиентов]]</f>
        <v>549</v>
      </c>
      <c r="P532" t="str">
        <f>VLOOKUP(Продажи[[#This Row],[id клиента]],Таблица4[#All],7,FALSE)</f>
        <v>Россия</v>
      </c>
    </row>
    <row r="533" spans="1:16" x14ac:dyDescent="0.25">
      <c r="A533">
        <v>532</v>
      </c>
      <c r="B533">
        <v>161</v>
      </c>
      <c r="C533">
        <v>489</v>
      </c>
      <c r="D533">
        <v>5</v>
      </c>
      <c r="E533">
        <v>2445</v>
      </c>
      <c r="F533" s="23">
        <v>45117</v>
      </c>
      <c r="G533" t="s">
        <v>13</v>
      </c>
      <c r="H533">
        <v>143</v>
      </c>
      <c r="I533" t="str">
        <f>VLOOKUP(Продажи[[#This Row],[id товара]],Товары[#All],2,FALSE)</f>
        <v>Молоко</v>
      </c>
      <c r="J533" s="19">
        <f>AVERAGEIF(Продажи[Категория товара],Продажи[[#This Row],[Категория товара]],Продажи[цена за шт в рублях])</f>
        <v>294.95238095238096</v>
      </c>
      <c r="K533" s="20">
        <f>Продажи[[#This Row],[цена за шт в рублях]]/Продажи[[#This Row],[Средняя цена в категории за шт]]-1</f>
        <v>0.65789473684210531</v>
      </c>
      <c r="L533" t="str">
        <f>VLOOKUP(Продажи[[#This Row],[id товара]],Товары[#All],3,FALSE)</f>
        <v>Простоквашино</v>
      </c>
      <c r="M5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533" s="23">
        <f>VLOOKUP(Продажи[[#This Row],[id клиента]],Таблица4[#All],5,FALSE)</f>
        <v>44601</v>
      </c>
      <c r="O533">
        <f>Продажи[[#This Row],[дата создания чека]]-Продажи[[#This Row],[Дата регистрации клиентов]]</f>
        <v>516</v>
      </c>
      <c r="P533" t="str">
        <f>VLOOKUP(Продажи[[#This Row],[id клиента]],Таблица4[#All],7,FALSE)</f>
        <v>Россия</v>
      </c>
    </row>
    <row r="534" spans="1:16" x14ac:dyDescent="0.25">
      <c r="A534">
        <v>533</v>
      </c>
      <c r="B534">
        <v>83</v>
      </c>
      <c r="C534">
        <v>315</v>
      </c>
      <c r="D534">
        <v>2</v>
      </c>
      <c r="E534">
        <v>630</v>
      </c>
      <c r="F534" s="23">
        <v>45369</v>
      </c>
      <c r="G534" t="s">
        <v>16</v>
      </c>
      <c r="H534">
        <v>135</v>
      </c>
      <c r="I534" t="str">
        <f>VLOOKUP(Продажи[[#This Row],[id товара]],Товары[#All],2,FALSE)</f>
        <v>Сок</v>
      </c>
      <c r="J534" s="19">
        <f>AVERAGEIF(Продажи[Категория товара],Продажи[[#This Row],[Категория товара]],Продажи[цена за шт в рублях])</f>
        <v>268.60344827586209</v>
      </c>
      <c r="K534" s="20">
        <f>Продажи[[#This Row],[цена за шт в рублях]]/Продажи[[#This Row],[Средняя цена в категории за шт]]-1</f>
        <v>0.17273252455228172</v>
      </c>
      <c r="L534" t="str">
        <f>VLOOKUP(Продажи[[#This Row],[id товара]],Товары[#All],3,FALSE)</f>
        <v>Сады Придонья</v>
      </c>
      <c r="M5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534" s="23">
        <f>VLOOKUP(Продажи[[#This Row],[id клиента]],Таблица4[#All],5,FALSE)</f>
        <v>44602</v>
      </c>
      <c r="O534">
        <f>Продажи[[#This Row],[дата создания чека]]-Продажи[[#This Row],[Дата регистрации клиентов]]</f>
        <v>767</v>
      </c>
      <c r="P534" t="str">
        <f>VLOOKUP(Продажи[[#This Row],[id клиента]],Таблица4[#All],7,FALSE)</f>
        <v>Россия</v>
      </c>
    </row>
    <row r="535" spans="1:16" x14ac:dyDescent="0.25">
      <c r="A535">
        <v>534</v>
      </c>
      <c r="B535">
        <v>315</v>
      </c>
      <c r="C535">
        <v>348</v>
      </c>
      <c r="D535">
        <v>2</v>
      </c>
      <c r="E535">
        <v>696</v>
      </c>
      <c r="F535" s="23">
        <v>45002</v>
      </c>
      <c r="G535" t="s">
        <v>12</v>
      </c>
      <c r="H535">
        <v>402</v>
      </c>
      <c r="I535" t="str">
        <f>VLOOKUP(Продажи[[#This Row],[id товара]],Товары[#All],2,FALSE)</f>
        <v>Йогурт</v>
      </c>
      <c r="J535" s="19">
        <f>AVERAGEIF(Продажи[Категория товара],Продажи[[#This Row],[Категория товара]],Продажи[цена за шт в рублях])</f>
        <v>263.25423728813558</v>
      </c>
      <c r="K535" s="20">
        <f>Продажи[[#This Row],[цена за шт в рублях]]/Продажи[[#This Row],[Средняя цена в категории за шт]]-1</f>
        <v>0.32191604429564769</v>
      </c>
      <c r="L535" t="str">
        <f>VLOOKUP(Продажи[[#This Row],[id товара]],Товары[#All],3,FALSE)</f>
        <v>Чудо</v>
      </c>
      <c r="M5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535" s="23">
        <f>VLOOKUP(Продажи[[#This Row],[id клиента]],Таблица4[#All],5,FALSE)</f>
        <v>44742</v>
      </c>
      <c r="O535">
        <f>Продажи[[#This Row],[дата создания чека]]-Продажи[[#This Row],[Дата регистрации клиентов]]</f>
        <v>260</v>
      </c>
      <c r="P535" t="str">
        <f>VLOOKUP(Продажи[[#This Row],[id клиента]],Таблица4[#All],7,FALSE)</f>
        <v>Узбекистан</v>
      </c>
    </row>
    <row r="536" spans="1:16" x14ac:dyDescent="0.25">
      <c r="A536">
        <v>535</v>
      </c>
      <c r="B536">
        <v>121</v>
      </c>
      <c r="C536">
        <v>77</v>
      </c>
      <c r="D536">
        <v>1</v>
      </c>
      <c r="E536">
        <v>77</v>
      </c>
      <c r="F536" s="23">
        <v>45047</v>
      </c>
      <c r="G536" t="s">
        <v>11</v>
      </c>
      <c r="H536">
        <v>279</v>
      </c>
      <c r="I536" t="str">
        <f>VLOOKUP(Продажи[[#This Row],[id товара]],Товары[#All],2,FALSE)</f>
        <v>Чипсы</v>
      </c>
      <c r="J536" s="19">
        <f>AVERAGEIF(Продажи[Категория товара],Продажи[[#This Row],[Категория товара]],Продажи[цена за шт в рублях])</f>
        <v>273.72549019607845</v>
      </c>
      <c r="K536" s="20">
        <f>Продажи[[#This Row],[цена за шт в рублях]]/Продажи[[#This Row],[Средняя цена в категории за шт]]-1</f>
        <v>-0.71869627507163325</v>
      </c>
      <c r="L536" t="str">
        <f>VLOOKUP(Продажи[[#This Row],[id товара]],Товары[#All],3,FALSE)</f>
        <v>Pringles</v>
      </c>
      <c r="M5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36" s="23">
        <f>VLOOKUP(Продажи[[#This Row],[id клиента]],Таблица4[#All],5,FALSE)</f>
        <v>44786</v>
      </c>
      <c r="O536">
        <f>Продажи[[#This Row],[дата создания чека]]-Продажи[[#This Row],[Дата регистрации клиентов]]</f>
        <v>261</v>
      </c>
      <c r="P536" t="str">
        <f>VLOOKUP(Продажи[[#This Row],[id клиента]],Таблица4[#All],7,FALSE)</f>
        <v>Узбекистан</v>
      </c>
    </row>
    <row r="537" spans="1:16" x14ac:dyDescent="0.25">
      <c r="A537">
        <v>536</v>
      </c>
      <c r="B537">
        <v>371</v>
      </c>
      <c r="C537">
        <v>62</v>
      </c>
      <c r="D537">
        <v>5</v>
      </c>
      <c r="E537">
        <v>310</v>
      </c>
      <c r="F537" s="23">
        <v>45330</v>
      </c>
      <c r="G537" t="s">
        <v>10</v>
      </c>
      <c r="H537">
        <v>385</v>
      </c>
      <c r="I537" t="str">
        <f>VLOOKUP(Продажи[[#This Row],[id товара]],Товары[#All],2,FALSE)</f>
        <v>Сахар</v>
      </c>
      <c r="J537" s="19">
        <f>AVERAGEIF(Продажи[Категория товара],Продажи[[#This Row],[Категория товара]],Продажи[цена за шт в рублях])</f>
        <v>252.76271186440678</v>
      </c>
      <c r="K537" s="20">
        <f>Продажи[[#This Row],[цена за шт в рублях]]/Продажи[[#This Row],[Средняя цена в категории за шт]]-1</f>
        <v>-0.75471065513310531</v>
      </c>
      <c r="L537" t="str">
        <f>VLOOKUP(Продажи[[#This Row],[id товара]],Товары[#All],3,FALSE)</f>
        <v>Русский сахар</v>
      </c>
      <c r="M5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537" s="23">
        <f>VLOOKUP(Продажи[[#This Row],[id клиента]],Таблица4[#All],5,FALSE)</f>
        <v>44753</v>
      </c>
      <c r="O537">
        <f>Продажи[[#This Row],[дата создания чека]]-Продажи[[#This Row],[Дата регистрации клиентов]]</f>
        <v>577</v>
      </c>
      <c r="P537" t="str">
        <f>VLOOKUP(Продажи[[#This Row],[id клиента]],Таблица4[#All],7,FALSE)</f>
        <v>Украина</v>
      </c>
    </row>
    <row r="538" spans="1:16" x14ac:dyDescent="0.25">
      <c r="A538">
        <v>537</v>
      </c>
      <c r="B538">
        <v>169</v>
      </c>
      <c r="C538">
        <v>429</v>
      </c>
      <c r="D538">
        <v>2</v>
      </c>
      <c r="E538">
        <v>858</v>
      </c>
      <c r="F538" s="23">
        <v>45289</v>
      </c>
      <c r="G538" t="s">
        <v>26</v>
      </c>
      <c r="H538">
        <v>326</v>
      </c>
      <c r="I538" t="str">
        <f>VLOOKUP(Продажи[[#This Row],[id товара]],Товары[#All],2,FALSE)</f>
        <v>Фрукты</v>
      </c>
      <c r="J538" s="19">
        <f>AVERAGEIF(Продажи[Категория товара],Продажи[[#This Row],[Категория товара]],Продажи[цена за шт в рублях])</f>
        <v>274.16279069767444</v>
      </c>
      <c r="K538" s="20">
        <f>Продажи[[#This Row],[цена за шт в рублях]]/Продажи[[#This Row],[Средняя цена в категории за шт]]-1</f>
        <v>0.56476376282975638</v>
      </c>
      <c r="L538" t="str">
        <f>VLOOKUP(Продажи[[#This Row],[id товара]],Товары[#All],3,FALSE)</f>
        <v>Фруктовый Рай</v>
      </c>
      <c r="M5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538" s="23">
        <f>VLOOKUP(Продажи[[#This Row],[id клиента]],Таблица4[#All],5,FALSE)</f>
        <v>44655</v>
      </c>
      <c r="O538">
        <f>Продажи[[#This Row],[дата создания чека]]-Продажи[[#This Row],[Дата регистрации клиентов]]</f>
        <v>634</v>
      </c>
      <c r="P538" t="str">
        <f>VLOOKUP(Продажи[[#This Row],[id клиента]],Таблица4[#All],7,FALSE)</f>
        <v>Россия</v>
      </c>
    </row>
    <row r="539" spans="1:16" x14ac:dyDescent="0.25">
      <c r="A539">
        <v>538</v>
      </c>
      <c r="B539">
        <v>433</v>
      </c>
      <c r="C539">
        <v>115</v>
      </c>
      <c r="D539">
        <v>4</v>
      </c>
      <c r="E539">
        <v>460</v>
      </c>
      <c r="F539" s="23">
        <v>45203</v>
      </c>
      <c r="G539" t="s">
        <v>25</v>
      </c>
      <c r="H539">
        <v>138</v>
      </c>
      <c r="I539" t="str">
        <f>VLOOKUP(Продажи[[#This Row],[id товара]],Товары[#All],2,FALSE)</f>
        <v>Рыба</v>
      </c>
      <c r="J539" s="19">
        <f>AVERAGEIF(Продажи[Категория товара],Продажи[[#This Row],[Категория товара]],Продажи[цена за шт в рублях])</f>
        <v>258.5128205128205</v>
      </c>
      <c r="K539" s="20">
        <f>Продажи[[#This Row],[цена за шт в рублях]]/Продажи[[#This Row],[Средняя цена в категории за шт]]-1</f>
        <v>-0.55514778813727439</v>
      </c>
      <c r="L539" t="str">
        <f>VLOOKUP(Продажи[[#This Row],[id товара]],Товары[#All],3,FALSE)</f>
        <v>Меридиан</v>
      </c>
      <c r="M5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539" s="23">
        <f>VLOOKUP(Продажи[[#This Row],[id клиента]],Таблица4[#All],5,FALSE)</f>
        <v>44723</v>
      </c>
      <c r="O539">
        <f>Продажи[[#This Row],[дата создания чека]]-Продажи[[#This Row],[Дата регистрации клиентов]]</f>
        <v>480</v>
      </c>
      <c r="P539" t="str">
        <f>VLOOKUP(Продажи[[#This Row],[id клиента]],Таблица4[#All],7,FALSE)</f>
        <v>Украина</v>
      </c>
    </row>
    <row r="540" spans="1:16" x14ac:dyDescent="0.25">
      <c r="A540">
        <v>539</v>
      </c>
      <c r="B540">
        <v>43</v>
      </c>
      <c r="C540">
        <v>158</v>
      </c>
      <c r="D540">
        <v>5</v>
      </c>
      <c r="E540">
        <v>790</v>
      </c>
      <c r="F540" s="23">
        <v>45397</v>
      </c>
      <c r="G540" t="s">
        <v>16</v>
      </c>
      <c r="H540">
        <v>271</v>
      </c>
      <c r="I540" t="str">
        <f>VLOOKUP(Продажи[[#This Row],[id товара]],Товары[#All],2,FALSE)</f>
        <v>Печенье</v>
      </c>
      <c r="J540" s="19">
        <f>AVERAGEIF(Продажи[Категория товара],Продажи[[#This Row],[Категория товара]],Продажи[цена за шт в рублях])</f>
        <v>283.468085106383</v>
      </c>
      <c r="K540" s="20">
        <f>Продажи[[#This Row],[цена за шт в рублях]]/Продажи[[#This Row],[Средняя цена в категории за шт]]-1</f>
        <v>-0.44261802897245373</v>
      </c>
      <c r="L540" t="str">
        <f>VLOOKUP(Продажи[[#This Row],[id товара]],Товары[#All],3,FALSE)</f>
        <v>КДВ</v>
      </c>
      <c r="M5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540" s="23">
        <f>VLOOKUP(Продажи[[#This Row],[id клиента]],Таблица4[#All],5,FALSE)</f>
        <v>44892</v>
      </c>
      <c r="O540">
        <f>Продажи[[#This Row],[дата создания чека]]-Продажи[[#This Row],[Дата регистрации клиентов]]</f>
        <v>505</v>
      </c>
      <c r="P540" t="str">
        <f>VLOOKUP(Продажи[[#This Row],[id клиента]],Таблица4[#All],7,FALSE)</f>
        <v>Беларусь</v>
      </c>
    </row>
    <row r="541" spans="1:16" x14ac:dyDescent="0.25">
      <c r="A541">
        <v>540</v>
      </c>
      <c r="B541">
        <v>453</v>
      </c>
      <c r="C541">
        <v>318</v>
      </c>
      <c r="D541">
        <v>4</v>
      </c>
      <c r="E541">
        <v>1272</v>
      </c>
      <c r="F541" s="23">
        <v>45355</v>
      </c>
      <c r="G541" t="s">
        <v>16</v>
      </c>
      <c r="H541">
        <v>408</v>
      </c>
      <c r="I541" t="str">
        <f>VLOOKUP(Продажи[[#This Row],[id товара]],Товары[#All],2,FALSE)</f>
        <v>Макароны</v>
      </c>
      <c r="J541" s="19">
        <f>AVERAGEIF(Продажи[Категория товара],Продажи[[#This Row],[Категория товара]],Продажи[цена за шт в рублях])</f>
        <v>265.47674418604652</v>
      </c>
      <c r="K541" s="20">
        <f>Продажи[[#This Row],[цена за шт в рублях]]/Продажи[[#This Row],[Средняя цена в категории за шт]]-1</f>
        <v>0.19784503525907748</v>
      </c>
      <c r="L541" t="str">
        <f>VLOOKUP(Продажи[[#This Row],[id товара]],Товары[#All],3,FALSE)</f>
        <v>Макфа</v>
      </c>
      <c r="M5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541" s="23">
        <f>VLOOKUP(Продажи[[#This Row],[id клиента]],Таблица4[#All],5,FALSE)</f>
        <v>44857</v>
      </c>
      <c r="O541">
        <f>Продажи[[#This Row],[дата создания чека]]-Продажи[[#This Row],[Дата регистрации клиентов]]</f>
        <v>498</v>
      </c>
      <c r="P541" t="str">
        <f>VLOOKUP(Продажи[[#This Row],[id клиента]],Таблица4[#All],7,FALSE)</f>
        <v>Россия</v>
      </c>
    </row>
    <row r="542" spans="1:16" x14ac:dyDescent="0.25">
      <c r="A542">
        <v>541</v>
      </c>
      <c r="B542">
        <v>403</v>
      </c>
      <c r="C542">
        <v>184</v>
      </c>
      <c r="D542">
        <v>5</v>
      </c>
      <c r="E542">
        <v>920</v>
      </c>
      <c r="F542" s="23">
        <v>45378</v>
      </c>
      <c r="G542" t="s">
        <v>11</v>
      </c>
      <c r="H542">
        <v>444</v>
      </c>
      <c r="I542" t="str">
        <f>VLOOKUP(Продажи[[#This Row],[id товара]],Товары[#All],2,FALSE)</f>
        <v>Чай</v>
      </c>
      <c r="J542" s="19">
        <f>AVERAGEIF(Продажи[Категория товара],Продажи[[#This Row],[Категория товара]],Продажи[цена за шт в рублях])</f>
        <v>271.18181818181819</v>
      </c>
      <c r="K542" s="20">
        <f>Продажи[[#This Row],[цена за шт в рублях]]/Продажи[[#This Row],[Средняя цена в категории за шт]]-1</f>
        <v>-0.32148843446195108</v>
      </c>
      <c r="L542" t="str">
        <f>VLOOKUP(Продажи[[#This Row],[id товара]],Товары[#All],3,FALSE)</f>
        <v>Ахмад</v>
      </c>
      <c r="M5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542" s="23">
        <f>VLOOKUP(Продажи[[#This Row],[id клиента]],Таблица4[#All],5,FALSE)</f>
        <v>44688</v>
      </c>
      <c r="O542">
        <f>Продажи[[#This Row],[дата создания чека]]-Продажи[[#This Row],[Дата регистрации клиентов]]</f>
        <v>690</v>
      </c>
      <c r="P542" t="str">
        <f>VLOOKUP(Продажи[[#This Row],[id клиента]],Таблица4[#All],7,FALSE)</f>
        <v>Россия</v>
      </c>
    </row>
    <row r="543" spans="1:16" x14ac:dyDescent="0.25">
      <c r="A543">
        <v>542</v>
      </c>
      <c r="B543">
        <v>248</v>
      </c>
      <c r="C543">
        <v>497</v>
      </c>
      <c r="D543">
        <v>2</v>
      </c>
      <c r="E543">
        <v>994</v>
      </c>
      <c r="F543" s="23">
        <v>45051</v>
      </c>
      <c r="G543" t="s">
        <v>17</v>
      </c>
      <c r="H543">
        <v>116</v>
      </c>
      <c r="I543" t="str">
        <f>VLOOKUP(Продажи[[#This Row],[id товара]],Товары[#All],2,FALSE)</f>
        <v>Конфеты</v>
      </c>
      <c r="J543" s="19">
        <f>AVERAGEIF(Продажи[Категория товара],Продажи[[#This Row],[Категория товара]],Продажи[цена за шт в рублях])</f>
        <v>267.85483870967744</v>
      </c>
      <c r="K543" s="20">
        <f>Продажи[[#This Row],[цена за шт в рублях]]/Продажи[[#This Row],[Средняя цена в категории за шт]]-1</f>
        <v>0.85548262780755091</v>
      </c>
      <c r="L543" t="str">
        <f>VLOOKUP(Продажи[[#This Row],[id товара]],Товары[#All],3,FALSE)</f>
        <v>Красный Октябрь</v>
      </c>
      <c r="M5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543" s="23">
        <f>VLOOKUP(Продажи[[#This Row],[id клиента]],Таблица4[#All],5,FALSE)</f>
        <v>44643</v>
      </c>
      <c r="O543">
        <f>Продажи[[#This Row],[дата создания чека]]-Продажи[[#This Row],[Дата регистрации клиентов]]</f>
        <v>408</v>
      </c>
      <c r="P543" t="str">
        <f>VLOOKUP(Продажи[[#This Row],[id клиента]],Таблица4[#All],7,FALSE)</f>
        <v>Россия</v>
      </c>
    </row>
    <row r="544" spans="1:16" x14ac:dyDescent="0.25">
      <c r="A544">
        <v>543</v>
      </c>
      <c r="B544">
        <v>492</v>
      </c>
      <c r="C544">
        <v>469</v>
      </c>
      <c r="D544">
        <v>4</v>
      </c>
      <c r="E544">
        <v>1876</v>
      </c>
      <c r="F544" s="23">
        <v>45386</v>
      </c>
      <c r="G544" t="s">
        <v>10</v>
      </c>
      <c r="H544">
        <v>38</v>
      </c>
      <c r="I544" t="str">
        <f>VLOOKUP(Продажи[[#This Row],[id товара]],Товары[#All],2,FALSE)</f>
        <v>Рыба</v>
      </c>
      <c r="J544" s="19">
        <f>AVERAGEIF(Продажи[Категория товара],Продажи[[#This Row],[Категория товара]],Продажи[цена за шт в рублях])</f>
        <v>258.5128205128205</v>
      </c>
      <c r="K544" s="20">
        <f>Продажи[[#This Row],[цена за шт в рублях]]/Продажи[[#This Row],[Средняя цена в категории за шт]]-1</f>
        <v>0.81422336837928988</v>
      </c>
      <c r="L544" t="str">
        <f>VLOOKUP(Продажи[[#This Row],[id товара]],Товары[#All],3,FALSE)</f>
        <v>Русское море</v>
      </c>
      <c r="M5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292.66666666666669</v>
      </c>
      <c r="N544" s="23">
        <f>VLOOKUP(Продажи[[#This Row],[id клиента]],Таблица4[#All],5,FALSE)</f>
        <v>44819</v>
      </c>
      <c r="O544">
        <f>Продажи[[#This Row],[дата создания чека]]-Продажи[[#This Row],[Дата регистрации клиентов]]</f>
        <v>567</v>
      </c>
      <c r="P544" t="str">
        <f>VLOOKUP(Продажи[[#This Row],[id клиента]],Таблица4[#All],7,FALSE)</f>
        <v>Таджикистан</v>
      </c>
    </row>
    <row r="545" spans="1:16" x14ac:dyDescent="0.25">
      <c r="A545">
        <v>544</v>
      </c>
      <c r="B545">
        <v>428</v>
      </c>
      <c r="C545">
        <v>263</v>
      </c>
      <c r="D545">
        <v>4</v>
      </c>
      <c r="E545">
        <v>1052</v>
      </c>
      <c r="F545" s="23">
        <v>45385</v>
      </c>
      <c r="G545" t="s">
        <v>22</v>
      </c>
      <c r="H545">
        <v>136</v>
      </c>
      <c r="I545" t="str">
        <f>VLOOKUP(Продажи[[#This Row],[id товара]],Товары[#All],2,FALSE)</f>
        <v>Конфеты</v>
      </c>
      <c r="J545" s="19">
        <f>AVERAGEIF(Продажи[Категория товара],Продажи[[#This Row],[Категория товара]],Продажи[цена за шт в рублях])</f>
        <v>267.85483870967744</v>
      </c>
      <c r="K545" s="20">
        <f>Продажи[[#This Row],[цена за шт в рублях]]/Продажи[[#This Row],[Средняя цена в категории за шт]]-1</f>
        <v>-1.8124887095803066E-2</v>
      </c>
      <c r="L545" t="str">
        <f>VLOOKUP(Продажи[[#This Row],[id товара]],Товары[#All],3,FALSE)</f>
        <v>Бабаевский</v>
      </c>
      <c r="M5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545" s="23">
        <f>VLOOKUP(Продажи[[#This Row],[id клиента]],Таблица4[#All],5,FALSE)</f>
        <v>44860</v>
      </c>
      <c r="O545">
        <f>Продажи[[#This Row],[дата создания чека]]-Продажи[[#This Row],[Дата регистрации клиентов]]</f>
        <v>525</v>
      </c>
      <c r="P545" t="str">
        <f>VLOOKUP(Продажи[[#This Row],[id клиента]],Таблица4[#All],7,FALSE)</f>
        <v>Украина</v>
      </c>
    </row>
    <row r="546" spans="1:16" x14ac:dyDescent="0.25">
      <c r="A546">
        <v>545</v>
      </c>
      <c r="B546">
        <v>91</v>
      </c>
      <c r="C546">
        <v>335</v>
      </c>
      <c r="D546">
        <v>2</v>
      </c>
      <c r="E546">
        <v>670</v>
      </c>
      <c r="F546" s="23">
        <v>45186</v>
      </c>
      <c r="G546" t="s">
        <v>23</v>
      </c>
      <c r="H546">
        <v>310</v>
      </c>
      <c r="I546" t="str">
        <f>VLOOKUP(Продажи[[#This Row],[id товара]],Товары[#All],2,FALSE)</f>
        <v>Сыр</v>
      </c>
      <c r="J546" s="19">
        <f>AVERAGEIF(Продажи[Категория товара],Продажи[[#This Row],[Категория товара]],Продажи[цена за шт в рублях])</f>
        <v>262.63492063492066</v>
      </c>
      <c r="K546" s="20">
        <f>Продажи[[#This Row],[цена за шт в рублях]]/Продажи[[#This Row],[Средняя цена в категории за шт]]-1</f>
        <v>0.27553487247673147</v>
      </c>
      <c r="L546" t="str">
        <f>VLOOKUP(Продажи[[#This Row],[id товара]],Товары[#All],3,FALSE)</f>
        <v>Сырная долина</v>
      </c>
      <c r="M5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546" s="23">
        <f>VLOOKUP(Продажи[[#This Row],[id клиента]],Таблица4[#All],5,FALSE)</f>
        <v>44807</v>
      </c>
      <c r="O546">
        <f>Продажи[[#This Row],[дата создания чека]]-Продажи[[#This Row],[Дата регистрации клиентов]]</f>
        <v>379</v>
      </c>
      <c r="P546" t="str">
        <f>VLOOKUP(Продажи[[#This Row],[id клиента]],Таблица4[#All],7,FALSE)</f>
        <v>Таджикистан</v>
      </c>
    </row>
    <row r="547" spans="1:16" x14ac:dyDescent="0.25">
      <c r="A547">
        <v>546</v>
      </c>
      <c r="B547">
        <v>122</v>
      </c>
      <c r="C547">
        <v>309</v>
      </c>
      <c r="D547">
        <v>3</v>
      </c>
      <c r="E547">
        <v>927</v>
      </c>
      <c r="F547" s="23">
        <v>45073</v>
      </c>
      <c r="G547" t="s">
        <v>19</v>
      </c>
      <c r="H547">
        <v>263</v>
      </c>
      <c r="I547" t="str">
        <f>VLOOKUP(Продажи[[#This Row],[id товара]],Товары[#All],2,FALSE)</f>
        <v>Фрукты</v>
      </c>
      <c r="J547" s="19">
        <f>AVERAGEIF(Продажи[Категория товара],Продажи[[#This Row],[Категория товара]],Продажи[цена за шт в рублях])</f>
        <v>274.16279069767444</v>
      </c>
      <c r="K547" s="20">
        <f>Продажи[[#This Row],[цена за шт в рублях]]/Продажи[[#This Row],[Средняя цена в категории за шт]]-1</f>
        <v>0.12706760539485962</v>
      </c>
      <c r="L547" t="str">
        <f>VLOOKUP(Продажи[[#This Row],[id товара]],Товары[#All],3,FALSE)</f>
        <v>Фрукты-Ягоды</v>
      </c>
      <c r="M5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547" s="23">
        <f>VLOOKUP(Продажи[[#This Row],[id клиента]],Таблица4[#All],5,FALSE)</f>
        <v>44612</v>
      </c>
      <c r="O547">
        <f>Продажи[[#This Row],[дата создания чека]]-Продажи[[#This Row],[Дата регистрации клиентов]]</f>
        <v>461</v>
      </c>
      <c r="P547" t="str">
        <f>VLOOKUP(Продажи[[#This Row],[id клиента]],Таблица4[#All],7,FALSE)</f>
        <v>Таджикистан</v>
      </c>
    </row>
    <row r="548" spans="1:16" x14ac:dyDescent="0.25">
      <c r="A548">
        <v>547</v>
      </c>
      <c r="B548">
        <v>444</v>
      </c>
      <c r="C548">
        <v>59</v>
      </c>
      <c r="D548">
        <v>2</v>
      </c>
      <c r="E548">
        <v>118</v>
      </c>
      <c r="F548" s="23">
        <v>45263</v>
      </c>
      <c r="G548" t="s">
        <v>27</v>
      </c>
      <c r="H548">
        <v>381</v>
      </c>
      <c r="I548" t="str">
        <f>VLOOKUP(Продажи[[#This Row],[id товара]],Товары[#All],2,FALSE)</f>
        <v>Йогурт</v>
      </c>
      <c r="J548" s="19">
        <f>AVERAGEIF(Продажи[Категория товара],Продажи[[#This Row],[Категория товара]],Продажи[цена за шт в рублях])</f>
        <v>263.25423728813558</v>
      </c>
      <c r="K548" s="20">
        <f>Продажи[[#This Row],[цена за шт в рублях]]/Продажи[[#This Row],[Средняя цена в категории за шт]]-1</f>
        <v>-0.77588204996137011</v>
      </c>
      <c r="L548" t="str">
        <f>VLOOKUP(Продажи[[#This Row],[id товара]],Товары[#All],3,FALSE)</f>
        <v>Эрманн</v>
      </c>
      <c r="M5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548" s="23">
        <f>VLOOKUP(Продажи[[#This Row],[id клиента]],Таблица4[#All],5,FALSE)</f>
        <v>44714</v>
      </c>
      <c r="O548">
        <f>Продажи[[#This Row],[дата создания чека]]-Продажи[[#This Row],[Дата регистрации клиентов]]</f>
        <v>549</v>
      </c>
      <c r="P548" t="str">
        <f>VLOOKUP(Продажи[[#This Row],[id клиента]],Таблица4[#All],7,FALSE)</f>
        <v>Узбекистан</v>
      </c>
    </row>
    <row r="549" spans="1:16" x14ac:dyDescent="0.25">
      <c r="A549">
        <v>548</v>
      </c>
      <c r="B549">
        <v>334</v>
      </c>
      <c r="C549">
        <v>459</v>
      </c>
      <c r="D549">
        <v>5</v>
      </c>
      <c r="E549">
        <v>2295</v>
      </c>
      <c r="F549" s="23">
        <v>45146</v>
      </c>
      <c r="G549" t="s">
        <v>8</v>
      </c>
      <c r="H549">
        <v>167</v>
      </c>
      <c r="I549" t="str">
        <f>VLOOKUP(Продажи[[#This Row],[id товара]],Товары[#All],2,FALSE)</f>
        <v>Молоко</v>
      </c>
      <c r="J549" s="19">
        <f>AVERAGEIF(Продажи[Категория товара],Продажи[[#This Row],[Категория товара]],Продажи[цена за шт в рублях])</f>
        <v>294.95238095238096</v>
      </c>
      <c r="K549" s="20">
        <f>Продажи[[#This Row],[цена за шт в рублях]]/Продажи[[#This Row],[Средняя цена в категории за шт]]-1</f>
        <v>0.55618340329350979</v>
      </c>
      <c r="L549" t="str">
        <f>VLOOKUP(Продажи[[#This Row],[id товара]],Товары[#All],3,FALSE)</f>
        <v>Домик в деревне</v>
      </c>
      <c r="M5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549" s="23">
        <f>VLOOKUP(Продажи[[#This Row],[id клиента]],Таблица4[#All],5,FALSE)</f>
        <v>44563</v>
      </c>
      <c r="O549">
        <f>Продажи[[#This Row],[дата создания чека]]-Продажи[[#This Row],[Дата регистрации клиентов]]</f>
        <v>583</v>
      </c>
      <c r="P549" t="str">
        <f>VLOOKUP(Продажи[[#This Row],[id клиента]],Таблица4[#All],7,FALSE)</f>
        <v>Узбекистан</v>
      </c>
    </row>
    <row r="550" spans="1:16" x14ac:dyDescent="0.25">
      <c r="A550">
        <v>549</v>
      </c>
      <c r="B550">
        <v>431</v>
      </c>
      <c r="C550">
        <v>149</v>
      </c>
      <c r="D550">
        <v>5</v>
      </c>
      <c r="E550">
        <v>745</v>
      </c>
      <c r="F550" s="23">
        <v>45271</v>
      </c>
      <c r="G550" t="s">
        <v>23</v>
      </c>
      <c r="H550">
        <v>12</v>
      </c>
      <c r="I550" t="str">
        <f>VLOOKUP(Продажи[[#This Row],[id товара]],Товары[#All],2,FALSE)</f>
        <v>Овощи</v>
      </c>
      <c r="J550" s="19">
        <f>AVERAGEIF(Продажи[Категория товара],Продажи[[#This Row],[Категория товара]],Продажи[цена за шт в рублях])</f>
        <v>250.48780487804879</v>
      </c>
      <c r="K550" s="20">
        <f>Продажи[[#This Row],[цена за шт в рублях]]/Продажи[[#This Row],[Средняя цена в категории за шт]]-1</f>
        <v>-0.40516066212268742</v>
      </c>
      <c r="L550" t="str">
        <f>VLOOKUP(Продажи[[#This Row],[id товара]],Товары[#All],3,FALSE)</f>
        <v>Гавриш</v>
      </c>
      <c r="M5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550" s="23">
        <f>VLOOKUP(Продажи[[#This Row],[id клиента]],Таблица4[#All],5,FALSE)</f>
        <v>44842</v>
      </c>
      <c r="O550">
        <f>Продажи[[#This Row],[дата создания чека]]-Продажи[[#This Row],[Дата регистрации клиентов]]</f>
        <v>429</v>
      </c>
      <c r="P550" t="str">
        <f>VLOOKUP(Продажи[[#This Row],[id клиента]],Таблица4[#All],7,FALSE)</f>
        <v>Беларусь</v>
      </c>
    </row>
    <row r="551" spans="1:16" x14ac:dyDescent="0.25">
      <c r="A551">
        <v>550</v>
      </c>
      <c r="B551">
        <v>62</v>
      </c>
      <c r="C551">
        <v>88</v>
      </c>
      <c r="D551">
        <v>1</v>
      </c>
      <c r="E551">
        <v>88</v>
      </c>
      <c r="F551" s="23">
        <v>44950</v>
      </c>
      <c r="G551" t="s">
        <v>14</v>
      </c>
      <c r="H551">
        <v>44</v>
      </c>
      <c r="I551" t="str">
        <f>VLOOKUP(Продажи[[#This Row],[id товара]],Товары[#All],2,FALSE)</f>
        <v>Рыба</v>
      </c>
      <c r="J551" s="19">
        <f>AVERAGEIF(Продажи[Категория товара],Продажи[[#This Row],[Категория товара]],Продажи[цена за шт в рублях])</f>
        <v>258.5128205128205</v>
      </c>
      <c r="K551" s="20">
        <f>Продажи[[#This Row],[цена за шт в рублях]]/Продажи[[#This Row],[Средняя цена в категории за шт]]-1</f>
        <v>-0.65959135092243604</v>
      </c>
      <c r="L551" t="str">
        <f>VLOOKUP(Продажи[[#This Row],[id товара]],Товары[#All],3,FALSE)</f>
        <v>Балтийский берег</v>
      </c>
      <c r="M5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551" s="23">
        <f>VLOOKUP(Продажи[[#This Row],[id клиента]],Таблица4[#All],5,FALSE)</f>
        <v>44701</v>
      </c>
      <c r="O551">
        <f>Продажи[[#This Row],[дата создания чека]]-Продажи[[#This Row],[Дата регистрации клиентов]]</f>
        <v>249</v>
      </c>
      <c r="P551" t="str">
        <f>VLOOKUP(Продажи[[#This Row],[id клиента]],Таблица4[#All],7,FALSE)</f>
        <v>Беларусь</v>
      </c>
    </row>
    <row r="552" spans="1:16" x14ac:dyDescent="0.25">
      <c r="A552">
        <v>551</v>
      </c>
      <c r="B552">
        <v>458</v>
      </c>
      <c r="C552">
        <v>79</v>
      </c>
      <c r="D552">
        <v>2</v>
      </c>
      <c r="E552">
        <v>158</v>
      </c>
      <c r="F552" s="23">
        <v>45023</v>
      </c>
      <c r="G552" t="s">
        <v>22</v>
      </c>
      <c r="H552">
        <v>133</v>
      </c>
      <c r="I552" t="str">
        <f>VLOOKUP(Продажи[[#This Row],[id товара]],Товары[#All],2,FALSE)</f>
        <v>Макароны</v>
      </c>
      <c r="J552" s="19">
        <f>AVERAGEIF(Продажи[Категория товара],Продажи[[#This Row],[Категория товара]],Продажи[цена за шт в рублях])</f>
        <v>265.47674418604652</v>
      </c>
      <c r="K552" s="20">
        <f>Продажи[[#This Row],[цена за шт в рублях]]/Продажи[[#This Row],[Средняя цена в категории за шт]]-1</f>
        <v>-0.70242214532871972</v>
      </c>
      <c r="L552" t="str">
        <f>VLOOKUP(Продажи[[#This Row],[id товара]],Товары[#All],3,FALSE)</f>
        <v>Борилла</v>
      </c>
      <c r="M5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552" s="23">
        <f>VLOOKUP(Продажи[[#This Row],[id клиента]],Таблица4[#All],5,FALSE)</f>
        <v>44588</v>
      </c>
      <c r="O552">
        <f>Продажи[[#This Row],[дата создания чека]]-Продажи[[#This Row],[Дата регистрации клиентов]]</f>
        <v>435</v>
      </c>
      <c r="P552" t="str">
        <f>VLOOKUP(Продажи[[#This Row],[id клиента]],Таблица4[#All],7,FALSE)</f>
        <v>Узбекистан</v>
      </c>
    </row>
    <row r="553" spans="1:16" x14ac:dyDescent="0.25">
      <c r="A553">
        <v>552</v>
      </c>
      <c r="B553">
        <v>119</v>
      </c>
      <c r="C553">
        <v>369</v>
      </c>
      <c r="D553">
        <v>2</v>
      </c>
      <c r="E553">
        <v>738</v>
      </c>
      <c r="F553" s="23">
        <v>45105</v>
      </c>
      <c r="G553" t="s">
        <v>20</v>
      </c>
      <c r="H553">
        <v>21</v>
      </c>
      <c r="I553" t="str">
        <f>VLOOKUP(Продажи[[#This Row],[id товара]],Товары[#All],2,FALSE)</f>
        <v>Печенье</v>
      </c>
      <c r="J553" s="19">
        <f>AVERAGEIF(Продажи[Категория товара],Продажи[[#This Row],[Категория товара]],Продажи[цена за шт в рублях])</f>
        <v>283.468085106383</v>
      </c>
      <c r="K553" s="20">
        <f>Продажи[[#This Row],[цена за шт в рублях]]/Продажи[[#This Row],[Средняя цена в категории за шт]]-1</f>
        <v>0.30173384372888989</v>
      </c>
      <c r="L553" t="str">
        <f>VLOOKUP(Продажи[[#This Row],[id товара]],Товары[#All],3,FALSE)</f>
        <v>КДВ</v>
      </c>
      <c r="M5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553" s="23">
        <f>VLOOKUP(Продажи[[#This Row],[id клиента]],Таблица4[#All],5,FALSE)</f>
        <v>44881</v>
      </c>
      <c r="O553">
        <f>Продажи[[#This Row],[дата создания чека]]-Продажи[[#This Row],[Дата регистрации клиентов]]</f>
        <v>224</v>
      </c>
      <c r="P553" t="str">
        <f>VLOOKUP(Продажи[[#This Row],[id клиента]],Таблица4[#All],7,FALSE)</f>
        <v>Беларусь</v>
      </c>
    </row>
    <row r="554" spans="1:16" x14ac:dyDescent="0.25">
      <c r="A554">
        <v>553</v>
      </c>
      <c r="B554">
        <v>388</v>
      </c>
      <c r="C554">
        <v>107</v>
      </c>
      <c r="D554">
        <v>1</v>
      </c>
      <c r="E554">
        <v>107</v>
      </c>
      <c r="F554" s="23">
        <v>45137</v>
      </c>
      <c r="G554" t="s">
        <v>12</v>
      </c>
      <c r="H554">
        <v>179</v>
      </c>
      <c r="I554" t="str">
        <f>VLOOKUP(Продажи[[#This Row],[id товара]],Товары[#All],2,FALSE)</f>
        <v>Рыба</v>
      </c>
      <c r="J554" s="19">
        <f>AVERAGEIF(Продажи[Категория товара],Продажи[[#This Row],[Категория товара]],Продажи[цена за шт в рублях])</f>
        <v>258.5128205128205</v>
      </c>
      <c r="K554" s="20">
        <f>Продажи[[#This Row],[цена за шт в рублях]]/Продажи[[#This Row],[Средняя цена в категории за шт]]-1</f>
        <v>-0.5860940289625074</v>
      </c>
      <c r="L554" t="str">
        <f>VLOOKUP(Продажи[[#This Row],[id товара]],Товары[#All],3,FALSE)</f>
        <v>Меридиан</v>
      </c>
      <c r="M5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554" s="23">
        <f>VLOOKUP(Продажи[[#This Row],[id клиента]],Таблица4[#All],5,FALSE)</f>
        <v>44833</v>
      </c>
      <c r="O554">
        <f>Продажи[[#This Row],[дата создания чека]]-Продажи[[#This Row],[Дата регистрации клиентов]]</f>
        <v>304</v>
      </c>
      <c r="P554" t="str">
        <f>VLOOKUP(Продажи[[#This Row],[id клиента]],Таблица4[#All],7,FALSE)</f>
        <v>Россия</v>
      </c>
    </row>
    <row r="555" spans="1:16" x14ac:dyDescent="0.25">
      <c r="A555">
        <v>554</v>
      </c>
      <c r="B555">
        <v>303</v>
      </c>
      <c r="C555">
        <v>258</v>
      </c>
      <c r="D555">
        <v>4</v>
      </c>
      <c r="E555">
        <v>1032</v>
      </c>
      <c r="F555" s="23">
        <v>45076</v>
      </c>
      <c r="G555" t="s">
        <v>18</v>
      </c>
      <c r="H555">
        <v>300</v>
      </c>
      <c r="I555" t="str">
        <f>VLOOKUP(Продажи[[#This Row],[id товара]],Товары[#All],2,FALSE)</f>
        <v>Фрукты</v>
      </c>
      <c r="J555" s="19">
        <f>AVERAGEIF(Продажи[Категория товара],Продажи[[#This Row],[Категория товара]],Продажи[цена за шт в рублях])</f>
        <v>274.16279069767444</v>
      </c>
      <c r="K555" s="20">
        <f>Продажи[[#This Row],[цена за шт в рублях]]/Продажи[[#This Row],[Средняя цена в категории за шт]]-1</f>
        <v>-5.89532615149716E-2</v>
      </c>
      <c r="L555" t="str">
        <f>VLOOKUP(Продажи[[#This Row],[id товара]],Товары[#All],3,FALSE)</f>
        <v>Фруктовый Рай</v>
      </c>
      <c r="M5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555" s="23">
        <f>VLOOKUP(Продажи[[#This Row],[id клиента]],Таблица4[#All],5,FALSE)</f>
        <v>44824</v>
      </c>
      <c r="O555">
        <f>Продажи[[#This Row],[дата создания чека]]-Продажи[[#This Row],[Дата регистрации клиентов]]</f>
        <v>252</v>
      </c>
      <c r="P555" t="str">
        <f>VLOOKUP(Продажи[[#This Row],[id клиента]],Таблица4[#All],7,FALSE)</f>
        <v>Украина</v>
      </c>
    </row>
    <row r="556" spans="1:16" x14ac:dyDescent="0.25">
      <c r="A556">
        <v>555</v>
      </c>
      <c r="B556">
        <v>160</v>
      </c>
      <c r="C556">
        <v>400</v>
      </c>
      <c r="D556">
        <v>3</v>
      </c>
      <c r="E556">
        <v>1200</v>
      </c>
      <c r="F556" s="23">
        <v>45181</v>
      </c>
      <c r="G556" t="s">
        <v>27</v>
      </c>
      <c r="H556">
        <v>134</v>
      </c>
      <c r="I556" t="str">
        <f>VLOOKUP(Продажи[[#This Row],[id товара]],Товары[#All],2,FALSE)</f>
        <v>Крупа</v>
      </c>
      <c r="J556" s="19">
        <f>AVERAGEIF(Продажи[Категория товара],Продажи[[#This Row],[Категория товара]],Продажи[цена за шт в рублях])</f>
        <v>255.11627906976744</v>
      </c>
      <c r="K556" s="20">
        <f>Продажи[[#This Row],[цена за шт в рублях]]/Продажи[[#This Row],[Средняя цена в категории за шт]]-1</f>
        <v>0.56791248860528709</v>
      </c>
      <c r="L556" t="str">
        <f>VLOOKUP(Продажи[[#This Row],[id товара]],Товары[#All],3,FALSE)</f>
        <v>Мистраль</v>
      </c>
      <c r="M5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556" s="23">
        <f>VLOOKUP(Продажи[[#This Row],[id клиента]],Таблица4[#All],5,FALSE)</f>
        <v>44753</v>
      </c>
      <c r="O556">
        <f>Продажи[[#This Row],[дата создания чека]]-Продажи[[#This Row],[Дата регистрации клиентов]]</f>
        <v>428</v>
      </c>
      <c r="P556" t="str">
        <f>VLOOKUP(Продажи[[#This Row],[id клиента]],Таблица4[#All],7,FALSE)</f>
        <v>Россия</v>
      </c>
    </row>
    <row r="557" spans="1:16" x14ac:dyDescent="0.25">
      <c r="A557">
        <v>556</v>
      </c>
      <c r="B557">
        <v>66</v>
      </c>
      <c r="C557">
        <v>230</v>
      </c>
      <c r="D557">
        <v>2</v>
      </c>
      <c r="E557">
        <v>460</v>
      </c>
      <c r="F557" s="23">
        <v>45074</v>
      </c>
      <c r="G557" t="s">
        <v>21</v>
      </c>
      <c r="H557">
        <v>391</v>
      </c>
      <c r="I557" t="str">
        <f>VLOOKUP(Продажи[[#This Row],[id товара]],Товары[#All],2,FALSE)</f>
        <v>Кофе</v>
      </c>
      <c r="J557" s="19">
        <f>AVERAGEIF(Продажи[Категория товара],Продажи[[#This Row],[Категория товара]],Продажи[цена за шт в рублях])</f>
        <v>249.02380952380952</v>
      </c>
      <c r="K557" s="20">
        <f>Продажи[[#This Row],[цена за шт в рублях]]/Продажи[[#This Row],[Средняя цена в категории за шт]]-1</f>
        <v>-7.639353666698534E-2</v>
      </c>
      <c r="L557" t="str">
        <f>VLOOKUP(Продажи[[#This Row],[id товара]],Товары[#All],3,FALSE)</f>
        <v>Черная Карта</v>
      </c>
      <c r="M5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557" s="23">
        <f>VLOOKUP(Продажи[[#This Row],[id клиента]],Таблица4[#All],5,FALSE)</f>
        <v>44675</v>
      </c>
      <c r="O557">
        <f>Продажи[[#This Row],[дата создания чека]]-Продажи[[#This Row],[Дата регистрации клиентов]]</f>
        <v>399</v>
      </c>
      <c r="P557" t="str">
        <f>VLOOKUP(Продажи[[#This Row],[id клиента]],Таблица4[#All],7,FALSE)</f>
        <v>Таджикистан</v>
      </c>
    </row>
    <row r="558" spans="1:16" x14ac:dyDescent="0.25">
      <c r="A558">
        <v>557</v>
      </c>
      <c r="B558">
        <v>125</v>
      </c>
      <c r="C558">
        <v>187</v>
      </c>
      <c r="D558">
        <v>5</v>
      </c>
      <c r="E558">
        <v>935</v>
      </c>
      <c r="F558" s="23">
        <v>45027</v>
      </c>
      <c r="G558" t="s">
        <v>23</v>
      </c>
      <c r="H558">
        <v>54</v>
      </c>
      <c r="I558" t="str">
        <f>VLOOKUP(Продажи[[#This Row],[id товара]],Товары[#All],2,FALSE)</f>
        <v>Рис</v>
      </c>
      <c r="J558" s="19">
        <f>AVERAGEIF(Продажи[Категория товара],Продажи[[#This Row],[Категория товара]],Продажи[цена за шт в рублях])</f>
        <v>258.375</v>
      </c>
      <c r="K558" s="20">
        <f>Продажи[[#This Row],[цена за шт в рублях]]/Продажи[[#This Row],[Средняя цена в категории за шт]]-1</f>
        <v>-0.27624576681180457</v>
      </c>
      <c r="L558" t="str">
        <f>VLOOKUP(Продажи[[#This Row],[id товара]],Товары[#All],3,FALSE)</f>
        <v>Националь</v>
      </c>
      <c r="M5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187</v>
      </c>
      <c r="N558" s="23">
        <f>VLOOKUP(Продажи[[#This Row],[id клиента]],Таблица4[#All],5,FALSE)</f>
        <v>44847</v>
      </c>
      <c r="O558">
        <f>Продажи[[#This Row],[дата создания чека]]-Продажи[[#This Row],[Дата регистрации клиентов]]</f>
        <v>180</v>
      </c>
      <c r="P558" t="str">
        <f>VLOOKUP(Продажи[[#This Row],[id клиента]],Таблица4[#All],7,FALSE)</f>
        <v>Беларусь</v>
      </c>
    </row>
    <row r="559" spans="1:16" x14ac:dyDescent="0.25">
      <c r="A559">
        <v>558</v>
      </c>
      <c r="B559">
        <v>280</v>
      </c>
      <c r="C559">
        <v>234</v>
      </c>
      <c r="D559">
        <v>2</v>
      </c>
      <c r="E559">
        <v>468</v>
      </c>
      <c r="F559" s="23">
        <v>45088</v>
      </c>
      <c r="G559" t="s">
        <v>12</v>
      </c>
      <c r="H559">
        <v>19</v>
      </c>
      <c r="I559" t="str">
        <f>VLOOKUP(Продажи[[#This Row],[id товара]],Товары[#All],2,FALSE)</f>
        <v>Сыр</v>
      </c>
      <c r="J559" s="19">
        <f>AVERAGEIF(Продажи[Категория товара],Продажи[[#This Row],[Категория товара]],Продажи[цена за шт в рублях])</f>
        <v>262.63492063492066</v>
      </c>
      <c r="K559" s="20">
        <f>Продажи[[#This Row],[цена за шт в рублях]]/Продажи[[#This Row],[Средняя цена в категории за шт]]-1</f>
        <v>-0.10902937265804435</v>
      </c>
      <c r="L559" t="str">
        <f>VLOOKUP(Продажи[[#This Row],[id товара]],Товары[#All],3,FALSE)</f>
        <v>President</v>
      </c>
      <c r="M5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559" s="23">
        <f>VLOOKUP(Продажи[[#This Row],[id клиента]],Таблица4[#All],5,FALSE)</f>
        <v>44902</v>
      </c>
      <c r="O559">
        <f>Продажи[[#This Row],[дата создания чека]]-Продажи[[#This Row],[Дата регистрации клиентов]]</f>
        <v>186</v>
      </c>
      <c r="P559" t="str">
        <f>VLOOKUP(Продажи[[#This Row],[id клиента]],Таблица4[#All],7,FALSE)</f>
        <v>Россия</v>
      </c>
    </row>
    <row r="560" spans="1:16" x14ac:dyDescent="0.25">
      <c r="A560">
        <v>559</v>
      </c>
      <c r="B560">
        <v>309</v>
      </c>
      <c r="C560">
        <v>368</v>
      </c>
      <c r="D560">
        <v>3</v>
      </c>
      <c r="E560">
        <v>1104</v>
      </c>
      <c r="F560" s="23">
        <v>44960</v>
      </c>
      <c r="G560" t="s">
        <v>15</v>
      </c>
      <c r="H560">
        <v>340</v>
      </c>
      <c r="I560" t="str">
        <f>VLOOKUP(Продажи[[#This Row],[id товара]],Товары[#All],2,FALSE)</f>
        <v>Конфеты</v>
      </c>
      <c r="J560" s="19">
        <f>AVERAGEIF(Продажи[Категория товара],Продажи[[#This Row],[Категория товара]],Продажи[цена за шт в рублях])</f>
        <v>267.85483870967744</v>
      </c>
      <c r="K560" s="20">
        <f>Продажи[[#This Row],[цена за шт в рублях]]/Продажи[[#This Row],[Средняя цена в категории за шт]]-1</f>
        <v>0.37387848497621468</v>
      </c>
      <c r="L560" t="str">
        <f>VLOOKUP(Продажи[[#This Row],[id товара]],Товары[#All],3,FALSE)</f>
        <v>Рот Фронт</v>
      </c>
      <c r="M5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560" s="23">
        <f>VLOOKUP(Продажи[[#This Row],[id клиента]],Таблица4[#All],5,FALSE)</f>
        <v>44896</v>
      </c>
      <c r="O560">
        <f>Продажи[[#This Row],[дата создания чека]]-Продажи[[#This Row],[Дата регистрации клиентов]]</f>
        <v>64</v>
      </c>
      <c r="P560" t="str">
        <f>VLOOKUP(Продажи[[#This Row],[id клиента]],Таблица4[#All],7,FALSE)</f>
        <v>Россия</v>
      </c>
    </row>
    <row r="561" spans="1:16" x14ac:dyDescent="0.25">
      <c r="A561">
        <v>560</v>
      </c>
      <c r="B561">
        <v>317</v>
      </c>
      <c r="C561">
        <v>267</v>
      </c>
      <c r="D561">
        <v>3</v>
      </c>
      <c r="E561">
        <v>801</v>
      </c>
      <c r="F561" s="23">
        <v>45396</v>
      </c>
      <c r="G561" t="s">
        <v>26</v>
      </c>
      <c r="H561">
        <v>71</v>
      </c>
      <c r="I561" t="str">
        <f>VLOOKUP(Продажи[[#This Row],[id товара]],Товары[#All],2,FALSE)</f>
        <v>Сок</v>
      </c>
      <c r="J561" s="19">
        <f>AVERAGEIF(Продажи[Категория товара],Продажи[[#This Row],[Категория товара]],Продажи[цена за шт в рублях])</f>
        <v>268.60344827586209</v>
      </c>
      <c r="K561" s="20">
        <f>Продажи[[#This Row],[цена за шт в рублях]]/Продажи[[#This Row],[Средняя цена в категории за шт]]-1</f>
        <v>-5.9695744271135442E-3</v>
      </c>
      <c r="L561" t="str">
        <f>VLOOKUP(Продажи[[#This Row],[id товара]],Товары[#All],3,FALSE)</f>
        <v>Фруктовый сад</v>
      </c>
      <c r="M5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561" s="23">
        <f>VLOOKUP(Продажи[[#This Row],[id клиента]],Таблица4[#All],5,FALSE)</f>
        <v>44762</v>
      </c>
      <c r="O561">
        <f>Продажи[[#This Row],[дата создания чека]]-Продажи[[#This Row],[Дата регистрации клиентов]]</f>
        <v>634</v>
      </c>
      <c r="P561" t="str">
        <f>VLOOKUP(Продажи[[#This Row],[id клиента]],Таблица4[#All],7,FALSE)</f>
        <v>Украина</v>
      </c>
    </row>
    <row r="562" spans="1:16" x14ac:dyDescent="0.25">
      <c r="A562">
        <v>561</v>
      </c>
      <c r="B562">
        <v>260</v>
      </c>
      <c r="C562">
        <v>370</v>
      </c>
      <c r="D562">
        <v>5</v>
      </c>
      <c r="E562">
        <v>1850</v>
      </c>
      <c r="F562" s="23">
        <v>44958</v>
      </c>
      <c r="G562" t="s">
        <v>18</v>
      </c>
      <c r="H562">
        <v>102</v>
      </c>
      <c r="I562" t="str">
        <f>VLOOKUP(Продажи[[#This Row],[id товара]],Товары[#All],2,FALSE)</f>
        <v>Соль</v>
      </c>
      <c r="J562" s="19">
        <f>AVERAGEIF(Продажи[Категория товара],Продажи[[#This Row],[Категория товара]],Продажи[цена за шт в рублях])</f>
        <v>264.8679245283019</v>
      </c>
      <c r="K562" s="20">
        <f>Продажи[[#This Row],[цена за шт в рублях]]/Продажи[[#This Row],[Средняя цена в категории за шт]]-1</f>
        <v>0.39692263855250021</v>
      </c>
      <c r="L562" t="str">
        <f>VLOOKUP(Продажи[[#This Row],[id товара]],Товары[#All],3,FALSE)</f>
        <v>Экстра</v>
      </c>
      <c r="M5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562" s="23">
        <f>VLOOKUP(Продажи[[#This Row],[id клиента]],Таблица4[#All],5,FALSE)</f>
        <v>44723</v>
      </c>
      <c r="O562">
        <f>Продажи[[#This Row],[дата создания чека]]-Продажи[[#This Row],[Дата регистрации клиентов]]</f>
        <v>235</v>
      </c>
      <c r="P562" t="str">
        <f>VLOOKUP(Продажи[[#This Row],[id клиента]],Таблица4[#All],7,FALSE)</f>
        <v>Узбекистан</v>
      </c>
    </row>
    <row r="563" spans="1:16" x14ac:dyDescent="0.25">
      <c r="A563">
        <v>562</v>
      </c>
      <c r="B563">
        <v>448</v>
      </c>
      <c r="C563">
        <v>170</v>
      </c>
      <c r="D563">
        <v>1</v>
      </c>
      <c r="E563">
        <v>170</v>
      </c>
      <c r="F563" s="23">
        <v>45075</v>
      </c>
      <c r="G563" t="s">
        <v>26</v>
      </c>
      <c r="H563">
        <v>43</v>
      </c>
      <c r="I563" t="str">
        <f>VLOOKUP(Продажи[[#This Row],[id товара]],Товары[#All],2,FALSE)</f>
        <v>Йогурт</v>
      </c>
      <c r="J563" s="19">
        <f>AVERAGEIF(Продажи[Категория товара],Продажи[[#This Row],[Категория товара]],Продажи[цена за шт в рублях])</f>
        <v>263.25423728813558</v>
      </c>
      <c r="K563" s="20">
        <f>Продажи[[#This Row],[цена за шт в рублях]]/Продажи[[#This Row],[Средняя цена в категории за шт]]-1</f>
        <v>-0.35423641514293069</v>
      </c>
      <c r="L563" t="str">
        <f>VLOOKUP(Продажи[[#This Row],[id товара]],Товары[#All],3,FALSE)</f>
        <v>Ростагроэкспорт</v>
      </c>
      <c r="M5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563" s="23">
        <f>VLOOKUP(Продажи[[#This Row],[id клиента]],Таблица4[#All],5,FALSE)</f>
        <v>44912</v>
      </c>
      <c r="O563">
        <f>Продажи[[#This Row],[дата создания чека]]-Продажи[[#This Row],[Дата регистрации клиентов]]</f>
        <v>163</v>
      </c>
      <c r="P563" t="str">
        <f>VLOOKUP(Продажи[[#This Row],[id клиента]],Таблица4[#All],7,FALSE)</f>
        <v>Россия</v>
      </c>
    </row>
    <row r="564" spans="1:16" x14ac:dyDescent="0.25">
      <c r="A564">
        <v>563</v>
      </c>
      <c r="B564">
        <v>158</v>
      </c>
      <c r="C564">
        <v>71</v>
      </c>
      <c r="D564">
        <v>2</v>
      </c>
      <c r="E564">
        <v>142</v>
      </c>
      <c r="F564" s="23">
        <v>45051</v>
      </c>
      <c r="G564" t="s">
        <v>13</v>
      </c>
      <c r="H564">
        <v>29</v>
      </c>
      <c r="I564" t="str">
        <f>VLOOKUP(Продажи[[#This Row],[id товара]],Товары[#All],2,FALSE)</f>
        <v>Сахар</v>
      </c>
      <c r="J564" s="19">
        <f>AVERAGEIF(Продажи[Категория товара],Продажи[[#This Row],[Категория товара]],Продажи[цена за шт в рублях])</f>
        <v>252.76271186440678</v>
      </c>
      <c r="K564" s="20">
        <f>Продажи[[#This Row],[цена за шт в рублях]]/Продажи[[#This Row],[Средняя цена в категории за шт]]-1</f>
        <v>-0.71910413732984646</v>
      </c>
      <c r="L564" t="str">
        <f>VLOOKUP(Продажи[[#This Row],[id товара]],Товары[#All],3,FALSE)</f>
        <v>Сладов</v>
      </c>
      <c r="M5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564" s="23">
        <f>VLOOKUP(Продажи[[#This Row],[id клиента]],Таблица4[#All],5,FALSE)</f>
        <v>44704</v>
      </c>
      <c r="O564">
        <f>Продажи[[#This Row],[дата создания чека]]-Продажи[[#This Row],[Дата регистрации клиентов]]</f>
        <v>347</v>
      </c>
      <c r="P564" t="str">
        <f>VLOOKUP(Продажи[[#This Row],[id клиента]],Таблица4[#All],7,FALSE)</f>
        <v>Россия</v>
      </c>
    </row>
    <row r="565" spans="1:16" x14ac:dyDescent="0.25">
      <c r="A565">
        <v>564</v>
      </c>
      <c r="B565">
        <v>274</v>
      </c>
      <c r="C565">
        <v>472</v>
      </c>
      <c r="D565">
        <v>3</v>
      </c>
      <c r="E565">
        <v>1416</v>
      </c>
      <c r="F565" s="23">
        <v>45408</v>
      </c>
      <c r="G565" t="s">
        <v>9</v>
      </c>
      <c r="H565">
        <v>272</v>
      </c>
      <c r="I565" t="str">
        <f>VLOOKUP(Продажи[[#This Row],[id товара]],Товары[#All],2,FALSE)</f>
        <v>Молоко</v>
      </c>
      <c r="J565" s="19">
        <f>AVERAGEIF(Продажи[Категория товара],Продажи[[#This Row],[Категория товара]],Продажи[цена за шт в рублях])</f>
        <v>294.95238095238096</v>
      </c>
      <c r="K565" s="20">
        <f>Продажи[[#This Row],[цена за шт в рублях]]/Продажи[[#This Row],[Средняя цена в категории за шт]]-1</f>
        <v>0.60025831449790124</v>
      </c>
      <c r="L565" t="str">
        <f>VLOOKUP(Продажи[[#This Row],[id товара]],Товары[#All],3,FALSE)</f>
        <v>Простоквашино</v>
      </c>
      <c r="M5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565" s="23">
        <f>VLOOKUP(Продажи[[#This Row],[id клиента]],Таблица4[#All],5,FALSE)</f>
        <v>44668</v>
      </c>
      <c r="O565">
        <f>Продажи[[#This Row],[дата создания чека]]-Продажи[[#This Row],[Дата регистрации клиентов]]</f>
        <v>740</v>
      </c>
      <c r="P565" t="str">
        <f>VLOOKUP(Продажи[[#This Row],[id клиента]],Таблица4[#All],7,FALSE)</f>
        <v>Таджикистан</v>
      </c>
    </row>
    <row r="566" spans="1:16" x14ac:dyDescent="0.25">
      <c r="A566">
        <v>565</v>
      </c>
      <c r="B566">
        <v>471</v>
      </c>
      <c r="C566">
        <v>294</v>
      </c>
      <c r="D566">
        <v>2</v>
      </c>
      <c r="E566">
        <v>588</v>
      </c>
      <c r="F566" s="23">
        <v>45112</v>
      </c>
      <c r="G566" t="s">
        <v>11</v>
      </c>
      <c r="H566">
        <v>370</v>
      </c>
      <c r="I566" t="str">
        <f>VLOOKUP(Продажи[[#This Row],[id товара]],Товары[#All],2,FALSE)</f>
        <v>Овощи</v>
      </c>
      <c r="J566" s="19">
        <f>AVERAGEIF(Продажи[Категория товара],Продажи[[#This Row],[Категория товара]],Продажи[цена за шт в рублях])</f>
        <v>250.48780487804879</v>
      </c>
      <c r="K566" s="20">
        <f>Продажи[[#This Row],[цена за шт в рублях]]/Продажи[[#This Row],[Средняя цена в категории за шт]]-1</f>
        <v>0.17370983446932819</v>
      </c>
      <c r="L566" t="str">
        <f>VLOOKUP(Продажи[[#This Row],[id товара]],Товары[#All],3,FALSE)</f>
        <v>Зеленая грядка</v>
      </c>
      <c r="M5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159.19999999999999</v>
      </c>
      <c r="N566" s="23">
        <f>VLOOKUP(Продажи[[#This Row],[id клиента]],Таблица4[#All],5,FALSE)</f>
        <v>44726</v>
      </c>
      <c r="O566">
        <f>Продажи[[#This Row],[дата создания чека]]-Продажи[[#This Row],[Дата регистрации клиентов]]</f>
        <v>386</v>
      </c>
      <c r="P566" t="str">
        <f>VLOOKUP(Продажи[[#This Row],[id клиента]],Таблица4[#All],7,FALSE)</f>
        <v>Таджикистан</v>
      </c>
    </row>
    <row r="567" spans="1:16" x14ac:dyDescent="0.25">
      <c r="A567">
        <v>566</v>
      </c>
      <c r="B567">
        <v>398</v>
      </c>
      <c r="C567">
        <v>65</v>
      </c>
      <c r="D567">
        <v>4</v>
      </c>
      <c r="E567">
        <v>260</v>
      </c>
      <c r="F567" s="23">
        <v>45055</v>
      </c>
      <c r="G567" t="s">
        <v>15</v>
      </c>
      <c r="H567">
        <v>165</v>
      </c>
      <c r="I567" t="str">
        <f>VLOOKUP(Продажи[[#This Row],[id товара]],Товары[#All],2,FALSE)</f>
        <v>Сок</v>
      </c>
      <c r="J567" s="19">
        <f>AVERAGEIF(Продажи[Категория товара],Продажи[[#This Row],[Категория товара]],Продажи[цена за шт в рублях])</f>
        <v>268.60344827586209</v>
      </c>
      <c r="K567" s="20">
        <f>Продажи[[#This Row],[цена за шт в рублях]]/Продажи[[#This Row],[Средняя цена в категории за шт]]-1</f>
        <v>-0.75800757429873555</v>
      </c>
      <c r="L567" t="str">
        <f>VLOOKUP(Продажи[[#This Row],[id товара]],Товары[#All],3,FALSE)</f>
        <v>Фруктовый сад</v>
      </c>
      <c r="M5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567" s="23">
        <f>VLOOKUP(Продажи[[#This Row],[id клиента]],Таблица4[#All],5,FALSE)</f>
        <v>44599</v>
      </c>
      <c r="O567">
        <f>Продажи[[#This Row],[дата создания чека]]-Продажи[[#This Row],[Дата регистрации клиентов]]</f>
        <v>456</v>
      </c>
      <c r="P567" t="str">
        <f>VLOOKUP(Продажи[[#This Row],[id клиента]],Таблица4[#All],7,FALSE)</f>
        <v>Таджикистан</v>
      </c>
    </row>
    <row r="568" spans="1:16" x14ac:dyDescent="0.25">
      <c r="A568">
        <v>567</v>
      </c>
      <c r="B568">
        <v>395</v>
      </c>
      <c r="C568">
        <v>454</v>
      </c>
      <c r="D568">
        <v>5</v>
      </c>
      <c r="E568">
        <v>2270</v>
      </c>
      <c r="F568" s="23">
        <v>45278</v>
      </c>
      <c r="G568" t="s">
        <v>12</v>
      </c>
      <c r="H568">
        <v>147</v>
      </c>
      <c r="I568" t="str">
        <f>VLOOKUP(Продажи[[#This Row],[id товара]],Товары[#All],2,FALSE)</f>
        <v>Соль</v>
      </c>
      <c r="J568" s="19">
        <f>AVERAGEIF(Продажи[Категория товара],Продажи[[#This Row],[Категория товара]],Продажи[цена за шт в рублях])</f>
        <v>264.8679245283019</v>
      </c>
      <c r="K568" s="20">
        <f>Продажи[[#This Row],[цена за шт в рублях]]/Продажи[[#This Row],[Средняя цена в категории за шт]]-1</f>
        <v>0.71406183216982466</v>
      </c>
      <c r="L568" t="str">
        <f>VLOOKUP(Продажи[[#This Row],[id товара]],Товары[#All],3,FALSE)</f>
        <v>Славянская</v>
      </c>
      <c r="M5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568" s="23">
        <f>VLOOKUP(Продажи[[#This Row],[id клиента]],Таблица4[#All],5,FALSE)</f>
        <v>44827</v>
      </c>
      <c r="O568">
        <f>Продажи[[#This Row],[дата создания чека]]-Продажи[[#This Row],[Дата регистрации клиентов]]</f>
        <v>451</v>
      </c>
      <c r="P568" t="str">
        <f>VLOOKUP(Продажи[[#This Row],[id клиента]],Таблица4[#All],7,FALSE)</f>
        <v>Россия</v>
      </c>
    </row>
    <row r="569" spans="1:16" x14ac:dyDescent="0.25">
      <c r="A569">
        <v>568</v>
      </c>
      <c r="B569">
        <v>424</v>
      </c>
      <c r="C569">
        <v>472</v>
      </c>
      <c r="D569">
        <v>3</v>
      </c>
      <c r="E569">
        <v>1416</v>
      </c>
      <c r="F569" s="23">
        <v>45423</v>
      </c>
      <c r="G569" t="s">
        <v>22</v>
      </c>
      <c r="H569">
        <v>181</v>
      </c>
      <c r="I569" t="str">
        <f>VLOOKUP(Продажи[[#This Row],[id товара]],Товары[#All],2,FALSE)</f>
        <v>Печенье</v>
      </c>
      <c r="J569" s="19">
        <f>AVERAGEIF(Продажи[Категория товара],Продажи[[#This Row],[Категория товара]],Продажи[цена за шт в рублях])</f>
        <v>283.468085106383</v>
      </c>
      <c r="K569" s="20">
        <f>Продажи[[#This Row],[цена за шт в рублях]]/Продажи[[#This Row],[Средняя цена в категории за шт]]-1</f>
        <v>0.66509044509494841</v>
      </c>
      <c r="L569" t="str">
        <f>VLOOKUP(Продажи[[#This Row],[id товара]],Товары[#All],3,FALSE)</f>
        <v>КДВ</v>
      </c>
      <c r="M5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569" s="23">
        <f>VLOOKUP(Продажи[[#This Row],[id клиента]],Таблица4[#All],5,FALSE)</f>
        <v>44568</v>
      </c>
      <c r="O569">
        <f>Продажи[[#This Row],[дата создания чека]]-Продажи[[#This Row],[Дата регистрации клиентов]]</f>
        <v>855</v>
      </c>
      <c r="P569" t="str">
        <f>VLOOKUP(Продажи[[#This Row],[id клиента]],Таблица4[#All],7,FALSE)</f>
        <v>Украина</v>
      </c>
    </row>
    <row r="570" spans="1:16" x14ac:dyDescent="0.25">
      <c r="A570">
        <v>569</v>
      </c>
      <c r="B570">
        <v>474</v>
      </c>
      <c r="C570">
        <v>261</v>
      </c>
      <c r="D570">
        <v>2</v>
      </c>
      <c r="E570">
        <v>522</v>
      </c>
      <c r="F570" s="23">
        <v>45382</v>
      </c>
      <c r="G570" t="s">
        <v>27</v>
      </c>
      <c r="H570">
        <v>88</v>
      </c>
      <c r="I570" t="str">
        <f>VLOOKUP(Продажи[[#This Row],[id товара]],Товары[#All],2,FALSE)</f>
        <v>Молоко</v>
      </c>
      <c r="J570" s="19">
        <f>AVERAGEIF(Продажи[Категория товара],Продажи[[#This Row],[Категория товара]],Продажи[цена за шт в рублях])</f>
        <v>294.95238095238096</v>
      </c>
      <c r="K570" s="20">
        <f>Продажи[[#This Row],[цена за шт в рублях]]/Продажи[[#This Row],[Средняя цена в категории за шт]]-1</f>
        <v>-0.11511139812721993</v>
      </c>
      <c r="L570" t="str">
        <f>VLOOKUP(Продажи[[#This Row],[id товара]],Товары[#All],3,FALSE)</f>
        <v>Простоквашино</v>
      </c>
      <c r="M5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570" s="23">
        <f>VLOOKUP(Продажи[[#This Row],[id клиента]],Таблица4[#All],5,FALSE)</f>
        <v>44630</v>
      </c>
      <c r="O570">
        <f>Продажи[[#This Row],[дата создания чека]]-Продажи[[#This Row],[Дата регистрации клиентов]]</f>
        <v>752</v>
      </c>
      <c r="P570" t="str">
        <f>VLOOKUP(Продажи[[#This Row],[id клиента]],Таблица4[#All],7,FALSE)</f>
        <v>Украина</v>
      </c>
    </row>
    <row r="571" spans="1:16" x14ac:dyDescent="0.25">
      <c r="A571">
        <v>570</v>
      </c>
      <c r="B571">
        <v>346</v>
      </c>
      <c r="C571">
        <v>390</v>
      </c>
      <c r="D571">
        <v>5</v>
      </c>
      <c r="E571">
        <v>1950</v>
      </c>
      <c r="F571" s="23">
        <v>45402</v>
      </c>
      <c r="G571" t="s">
        <v>20</v>
      </c>
      <c r="H571">
        <v>10</v>
      </c>
      <c r="I571" t="str">
        <f>VLOOKUP(Продажи[[#This Row],[id товара]],Товары[#All],2,FALSE)</f>
        <v>Чай</v>
      </c>
      <c r="J571" s="19">
        <f>AVERAGEIF(Продажи[Категория товара],Продажи[[#This Row],[Категория товара]],Продажи[цена за шт в рублях])</f>
        <v>271.18181818181819</v>
      </c>
      <c r="K571" s="20">
        <f>Продажи[[#This Row],[цена за шт в рублях]]/Продажи[[#This Row],[Средняя цена в категории за шт]]-1</f>
        <v>0.43814951391216894</v>
      </c>
      <c r="L571" t="str">
        <f>VLOOKUP(Продажи[[#This Row],[id товара]],Товары[#All],3,FALSE)</f>
        <v>Greenfield</v>
      </c>
      <c r="M5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571" s="23">
        <f>VLOOKUP(Продажи[[#This Row],[id клиента]],Таблица4[#All],5,FALSE)</f>
        <v>44881</v>
      </c>
      <c r="O571">
        <f>Продажи[[#This Row],[дата создания чека]]-Продажи[[#This Row],[Дата регистрации клиентов]]</f>
        <v>521</v>
      </c>
      <c r="P571" t="str">
        <f>VLOOKUP(Продажи[[#This Row],[id клиента]],Таблица4[#All],7,FALSE)</f>
        <v>Украина</v>
      </c>
    </row>
    <row r="572" spans="1:16" x14ac:dyDescent="0.25">
      <c r="A572">
        <v>571</v>
      </c>
      <c r="B572">
        <v>132</v>
      </c>
      <c r="C572">
        <v>497</v>
      </c>
      <c r="D572">
        <v>4</v>
      </c>
      <c r="E572">
        <v>1988</v>
      </c>
      <c r="F572" s="23">
        <v>44987</v>
      </c>
      <c r="G572" t="s">
        <v>27</v>
      </c>
      <c r="H572">
        <v>364</v>
      </c>
      <c r="I572" t="str">
        <f>VLOOKUP(Продажи[[#This Row],[id товара]],Товары[#All],2,FALSE)</f>
        <v>Рыба</v>
      </c>
      <c r="J572" s="19">
        <f>AVERAGEIF(Продажи[Категория товара],Продажи[[#This Row],[Категория товара]],Продажи[цена за шт в рублях])</f>
        <v>258.5128205128205</v>
      </c>
      <c r="K572" s="20">
        <f>Продажи[[#This Row],[цена за шт в рублях]]/Продажи[[#This Row],[Средняя цена в категории за шт]]-1</f>
        <v>0.92253521126760574</v>
      </c>
      <c r="L572" t="str">
        <f>VLOOKUP(Продажи[[#This Row],[id товара]],Товары[#All],3,FALSE)</f>
        <v>Меридиан</v>
      </c>
      <c r="M5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572" s="23">
        <f>VLOOKUP(Продажи[[#This Row],[id клиента]],Таблица4[#All],5,FALSE)</f>
        <v>44883</v>
      </c>
      <c r="O572">
        <f>Продажи[[#This Row],[дата создания чека]]-Продажи[[#This Row],[Дата регистрации клиентов]]</f>
        <v>104</v>
      </c>
      <c r="P572" t="str">
        <f>VLOOKUP(Продажи[[#This Row],[id клиента]],Таблица4[#All],7,FALSE)</f>
        <v>Россия</v>
      </c>
    </row>
    <row r="573" spans="1:16" x14ac:dyDescent="0.25">
      <c r="A573">
        <v>572</v>
      </c>
      <c r="B573">
        <v>17</v>
      </c>
      <c r="C573">
        <v>363</v>
      </c>
      <c r="D573">
        <v>4</v>
      </c>
      <c r="E573">
        <v>1452</v>
      </c>
      <c r="F573" s="23">
        <v>45191</v>
      </c>
      <c r="G573" t="s">
        <v>20</v>
      </c>
      <c r="H573">
        <v>277</v>
      </c>
      <c r="I573" t="str">
        <f>VLOOKUP(Продажи[[#This Row],[id товара]],Товары[#All],2,FALSE)</f>
        <v>Кофе</v>
      </c>
      <c r="J573" s="19">
        <f>AVERAGEIF(Продажи[Категория товара],Продажи[[#This Row],[Категория товара]],Продажи[цена за шт в рублях])</f>
        <v>249.02380952380952</v>
      </c>
      <c r="K573" s="20">
        <f>Продажи[[#This Row],[цена за шт в рублях]]/Продажи[[#This Row],[Средняя цена в категории за шт]]-1</f>
        <v>0.45769193995601887</v>
      </c>
      <c r="L573" t="str">
        <f>VLOOKUP(Продажи[[#This Row],[id товара]],Товары[#All],3,FALSE)</f>
        <v>Jacobs</v>
      </c>
      <c r="M5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573" s="23">
        <f>VLOOKUP(Продажи[[#This Row],[id клиента]],Таблица4[#All],5,FALSE)</f>
        <v>44750</v>
      </c>
      <c r="O573">
        <f>Продажи[[#This Row],[дата создания чека]]-Продажи[[#This Row],[Дата регистрации клиентов]]</f>
        <v>441</v>
      </c>
      <c r="P573" t="str">
        <f>VLOOKUP(Продажи[[#This Row],[id клиента]],Таблица4[#All],7,FALSE)</f>
        <v>Россия</v>
      </c>
    </row>
    <row r="574" spans="1:16" x14ac:dyDescent="0.25">
      <c r="A574">
        <v>573</v>
      </c>
      <c r="B574">
        <v>63</v>
      </c>
      <c r="C574">
        <v>251</v>
      </c>
      <c r="D574">
        <v>1</v>
      </c>
      <c r="E574">
        <v>251</v>
      </c>
      <c r="F574" s="23">
        <v>45087</v>
      </c>
      <c r="G574" t="s">
        <v>19</v>
      </c>
      <c r="H574">
        <v>214</v>
      </c>
      <c r="I574" t="str">
        <f>VLOOKUP(Продажи[[#This Row],[id товара]],Товары[#All],2,FALSE)</f>
        <v>Рыба</v>
      </c>
      <c r="J574" s="19">
        <f>AVERAGEIF(Продажи[Категория товара],Продажи[[#This Row],[Категория товара]],Продажи[цена за шт в рублях])</f>
        <v>258.5128205128205</v>
      </c>
      <c r="K574" s="20">
        <f>Продажи[[#This Row],[цена за шт в рублях]]/Продажи[[#This Row],[Средняя цена в категории за шт]]-1</f>
        <v>-2.9061694108311831E-2</v>
      </c>
      <c r="L574" t="str">
        <f>VLOOKUP(Продажи[[#This Row],[id товара]],Товары[#All],3,FALSE)</f>
        <v>Балтийский берег</v>
      </c>
      <c r="M5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574" s="23">
        <f>VLOOKUP(Продажи[[#This Row],[id клиента]],Таблица4[#All],5,FALSE)</f>
        <v>44601</v>
      </c>
      <c r="O574">
        <f>Продажи[[#This Row],[дата создания чека]]-Продажи[[#This Row],[Дата регистрации клиентов]]</f>
        <v>486</v>
      </c>
      <c r="P574" t="str">
        <f>VLOOKUP(Продажи[[#This Row],[id клиента]],Таблица4[#All],7,FALSE)</f>
        <v>Россия</v>
      </c>
    </row>
    <row r="575" spans="1:16" x14ac:dyDescent="0.25">
      <c r="A575">
        <v>574</v>
      </c>
      <c r="B575">
        <v>89</v>
      </c>
      <c r="C575">
        <v>492</v>
      </c>
      <c r="D575">
        <v>2</v>
      </c>
      <c r="E575">
        <v>984</v>
      </c>
      <c r="F575" s="23">
        <v>44935</v>
      </c>
      <c r="G575" t="s">
        <v>17</v>
      </c>
      <c r="H575">
        <v>402</v>
      </c>
      <c r="I575" t="str">
        <f>VLOOKUP(Продажи[[#This Row],[id товара]],Товары[#All],2,FALSE)</f>
        <v>Конфеты</v>
      </c>
      <c r="J575" s="19">
        <f>AVERAGEIF(Продажи[Категория товара],Продажи[[#This Row],[Категория товара]],Продажи[цена за шт в рублях])</f>
        <v>267.85483870967744</v>
      </c>
      <c r="K575" s="20">
        <f>Продажи[[#This Row],[цена за шт в рублях]]/Продажи[[#This Row],[Средняя цена в категории за шт]]-1</f>
        <v>0.83681580056602622</v>
      </c>
      <c r="L575" t="str">
        <f>VLOOKUP(Продажи[[#This Row],[id товара]],Товары[#All],3,FALSE)</f>
        <v>Рот Фронт</v>
      </c>
      <c r="M5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575" s="23">
        <f>VLOOKUP(Продажи[[#This Row],[id клиента]],Таблица4[#All],5,FALSE)</f>
        <v>44742</v>
      </c>
      <c r="O575">
        <f>Продажи[[#This Row],[дата создания чека]]-Продажи[[#This Row],[Дата регистрации клиентов]]</f>
        <v>193</v>
      </c>
      <c r="P575" t="str">
        <f>VLOOKUP(Продажи[[#This Row],[id клиента]],Таблица4[#All],7,FALSE)</f>
        <v>Узбекистан</v>
      </c>
    </row>
    <row r="576" spans="1:16" x14ac:dyDescent="0.25">
      <c r="A576">
        <v>575</v>
      </c>
      <c r="B576">
        <v>260</v>
      </c>
      <c r="C576">
        <v>449</v>
      </c>
      <c r="D576">
        <v>1</v>
      </c>
      <c r="E576">
        <v>449</v>
      </c>
      <c r="F576" s="23">
        <v>45025</v>
      </c>
      <c r="G576" t="s">
        <v>24</v>
      </c>
      <c r="H576">
        <v>490</v>
      </c>
      <c r="I576" t="str">
        <f>VLOOKUP(Продажи[[#This Row],[id товара]],Товары[#All],2,FALSE)</f>
        <v>Соль</v>
      </c>
      <c r="J576" s="19">
        <f>AVERAGEIF(Продажи[Категория товара],Продажи[[#This Row],[Категория товара]],Продажи[цена за шт в рублях])</f>
        <v>264.8679245283019</v>
      </c>
      <c r="K576" s="20">
        <f>Продажи[[#This Row],[цена за шт в рублях]]/Продажи[[#This Row],[Средняя цена в категории за шт]]-1</f>
        <v>0.69518449921641245</v>
      </c>
      <c r="L576" t="str">
        <f>VLOOKUP(Продажи[[#This Row],[id товара]],Товары[#All],3,FALSE)</f>
        <v>Экстра</v>
      </c>
      <c r="M5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576" s="23">
        <f>VLOOKUP(Продажи[[#This Row],[id клиента]],Таблица4[#All],5,FALSE)</f>
        <v>44603</v>
      </c>
      <c r="O576">
        <f>Продажи[[#This Row],[дата создания чека]]-Продажи[[#This Row],[Дата регистрации клиентов]]</f>
        <v>422</v>
      </c>
      <c r="P576" t="str">
        <f>VLOOKUP(Продажи[[#This Row],[id клиента]],Таблица4[#All],7,FALSE)</f>
        <v>Россия</v>
      </c>
    </row>
    <row r="577" spans="1:16" x14ac:dyDescent="0.25">
      <c r="A577">
        <v>576</v>
      </c>
      <c r="B577">
        <v>27</v>
      </c>
      <c r="C577">
        <v>193</v>
      </c>
      <c r="D577">
        <v>1</v>
      </c>
      <c r="E577">
        <v>193</v>
      </c>
      <c r="F577" s="23">
        <v>45061</v>
      </c>
      <c r="G577" t="s">
        <v>15</v>
      </c>
      <c r="H577">
        <v>151</v>
      </c>
      <c r="I577" t="str">
        <f>VLOOKUP(Продажи[[#This Row],[id товара]],Товары[#All],2,FALSE)</f>
        <v>Макароны</v>
      </c>
      <c r="J577" s="19">
        <f>AVERAGEIF(Продажи[Категория товара],Продажи[[#This Row],[Категория товара]],Продажи[цена за шт в рублях])</f>
        <v>265.47674418604652</v>
      </c>
      <c r="K577" s="20">
        <f>Продажи[[#This Row],[цена за шт в рублях]]/Продажи[[#This Row],[Средняя цена в категории за шт]]-1</f>
        <v>-0.27300600061320135</v>
      </c>
      <c r="L577" t="str">
        <f>VLOOKUP(Продажи[[#This Row],[id товара]],Товары[#All],3,FALSE)</f>
        <v>Паста Зара</v>
      </c>
      <c r="M5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577" s="23">
        <f>VLOOKUP(Продажи[[#This Row],[id клиента]],Таблица4[#All],5,FALSE)</f>
        <v>44923</v>
      </c>
      <c r="O577">
        <f>Продажи[[#This Row],[дата создания чека]]-Продажи[[#This Row],[Дата регистрации клиентов]]</f>
        <v>138</v>
      </c>
      <c r="P577" t="str">
        <f>VLOOKUP(Продажи[[#This Row],[id клиента]],Таблица4[#All],7,FALSE)</f>
        <v>Беларусь</v>
      </c>
    </row>
    <row r="578" spans="1:16" x14ac:dyDescent="0.25">
      <c r="A578">
        <v>577</v>
      </c>
      <c r="B578">
        <v>221</v>
      </c>
      <c r="C578">
        <v>406</v>
      </c>
      <c r="D578">
        <v>3</v>
      </c>
      <c r="E578">
        <v>1218</v>
      </c>
      <c r="F578" s="23">
        <v>44999</v>
      </c>
      <c r="G578" t="s">
        <v>27</v>
      </c>
      <c r="H578">
        <v>409</v>
      </c>
      <c r="I578" t="str">
        <f>VLOOKUP(Продажи[[#This Row],[id товара]],Товары[#All],2,FALSE)</f>
        <v>Чипсы</v>
      </c>
      <c r="J578" s="19">
        <f>AVERAGEIF(Продажи[Категория товара],Продажи[[#This Row],[Категория товара]],Продажи[цена за шт в рублях])</f>
        <v>273.72549019607845</v>
      </c>
      <c r="K578" s="20">
        <f>Продажи[[#This Row],[цена за шт в рублях]]/Продажи[[#This Row],[Средняя цена в категории за шт]]-1</f>
        <v>0.48323782234957013</v>
      </c>
      <c r="L578" t="str">
        <f>VLOOKUP(Продажи[[#This Row],[id товара]],Товары[#All],3,FALSE)</f>
        <v>Pringles</v>
      </c>
      <c r="M5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78" s="23">
        <f>VLOOKUP(Продажи[[#This Row],[id клиента]],Таблица4[#All],5,FALSE)</f>
        <v>44869</v>
      </c>
      <c r="O578">
        <f>Продажи[[#This Row],[дата создания чека]]-Продажи[[#This Row],[Дата регистрации клиентов]]</f>
        <v>130</v>
      </c>
      <c r="P578" t="str">
        <f>VLOOKUP(Продажи[[#This Row],[id клиента]],Таблица4[#All],7,FALSE)</f>
        <v>Украина</v>
      </c>
    </row>
    <row r="579" spans="1:16" x14ac:dyDescent="0.25">
      <c r="A579">
        <v>578</v>
      </c>
      <c r="B579">
        <v>127</v>
      </c>
      <c r="C579">
        <v>384</v>
      </c>
      <c r="D579">
        <v>2</v>
      </c>
      <c r="E579">
        <v>768</v>
      </c>
      <c r="F579" s="23">
        <v>45010</v>
      </c>
      <c r="G579" t="s">
        <v>19</v>
      </c>
      <c r="H579">
        <v>348</v>
      </c>
      <c r="I579" t="str">
        <f>VLOOKUP(Продажи[[#This Row],[id товара]],Товары[#All],2,FALSE)</f>
        <v>Овощи</v>
      </c>
      <c r="J579" s="19">
        <f>AVERAGEIF(Продажи[Категория товара],Продажи[[#This Row],[Категория товара]],Продажи[цена за шт в рублях])</f>
        <v>250.48780487804879</v>
      </c>
      <c r="K579" s="20">
        <f>Продажи[[#This Row],[цена за шт в рублях]]/Продажи[[#This Row],[Средняя цена в категории за шт]]-1</f>
        <v>0.53300876338851011</v>
      </c>
      <c r="L579" t="str">
        <f>VLOOKUP(Продажи[[#This Row],[id товара]],Товары[#All],3,FALSE)</f>
        <v>Семко</v>
      </c>
      <c r="M5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579" s="23">
        <f>VLOOKUP(Продажи[[#This Row],[id клиента]],Таблица4[#All],5,FALSE)</f>
        <v>44569</v>
      </c>
      <c r="O579">
        <f>Продажи[[#This Row],[дата создания чека]]-Продажи[[#This Row],[Дата регистрации клиентов]]</f>
        <v>441</v>
      </c>
      <c r="P579" t="str">
        <f>VLOOKUP(Продажи[[#This Row],[id клиента]],Таблица4[#All],7,FALSE)</f>
        <v>Украина</v>
      </c>
    </row>
    <row r="580" spans="1:16" x14ac:dyDescent="0.25">
      <c r="A580">
        <v>579</v>
      </c>
      <c r="B580">
        <v>464</v>
      </c>
      <c r="C580">
        <v>356</v>
      </c>
      <c r="D580">
        <v>4</v>
      </c>
      <c r="E580">
        <v>1424</v>
      </c>
      <c r="F580" s="23">
        <v>45031</v>
      </c>
      <c r="G580" t="s">
        <v>19</v>
      </c>
      <c r="H580">
        <v>255</v>
      </c>
      <c r="I580" t="str">
        <f>VLOOKUP(Продажи[[#This Row],[id товара]],Товары[#All],2,FALSE)</f>
        <v>Сыр</v>
      </c>
      <c r="J580" s="19">
        <f>AVERAGEIF(Продажи[Категория товара],Продажи[[#This Row],[Категория товара]],Продажи[цена за шт в рублях])</f>
        <v>262.63492063492066</v>
      </c>
      <c r="K580" s="20">
        <f>Продажи[[#This Row],[цена за шт в рублях]]/Продажи[[#This Row],[Средняя цена в категории за шт]]-1</f>
        <v>0.35549377493049672</v>
      </c>
      <c r="L580" t="str">
        <f>VLOOKUP(Продажи[[#This Row],[id товара]],Товары[#All],3,FALSE)</f>
        <v>Сырная долина</v>
      </c>
      <c r="M5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580" s="23">
        <f>VLOOKUP(Продажи[[#This Row],[id клиента]],Таблица4[#All],5,FALSE)</f>
        <v>44793</v>
      </c>
      <c r="O580">
        <f>Продажи[[#This Row],[дата создания чека]]-Продажи[[#This Row],[Дата регистрации клиентов]]</f>
        <v>238</v>
      </c>
      <c r="P580" t="str">
        <f>VLOOKUP(Продажи[[#This Row],[id клиента]],Таблица4[#All],7,FALSE)</f>
        <v>Украина</v>
      </c>
    </row>
    <row r="581" spans="1:16" x14ac:dyDescent="0.25">
      <c r="A581">
        <v>580</v>
      </c>
      <c r="B581">
        <v>426</v>
      </c>
      <c r="C581">
        <v>438</v>
      </c>
      <c r="D581">
        <v>1</v>
      </c>
      <c r="E581">
        <v>438</v>
      </c>
      <c r="F581" s="23">
        <v>44932</v>
      </c>
      <c r="G581" t="s">
        <v>10</v>
      </c>
      <c r="H581">
        <v>27</v>
      </c>
      <c r="I581" t="str">
        <f>VLOOKUP(Продажи[[#This Row],[id товара]],Товары[#All],2,FALSE)</f>
        <v>Печенье</v>
      </c>
      <c r="J581" s="19">
        <f>AVERAGEIF(Продажи[Категория товара],Продажи[[#This Row],[Категория товара]],Продажи[цена за шт в рублях])</f>
        <v>283.468085106383</v>
      </c>
      <c r="K581" s="20">
        <f>Продажи[[#This Row],[цена за шт в рублях]]/Продажи[[#This Row],[Средняя цена в категории за шт]]-1</f>
        <v>0.54514748930421075</v>
      </c>
      <c r="L581" t="str">
        <f>VLOOKUP(Продажи[[#This Row],[id товара]],Товары[#All],3,FALSE)</f>
        <v>Посиделкино</v>
      </c>
      <c r="M5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581" s="23">
        <f>VLOOKUP(Продажи[[#This Row],[id клиента]],Таблица4[#All],5,FALSE)</f>
        <v>44586</v>
      </c>
      <c r="O581">
        <f>Продажи[[#This Row],[дата создания чека]]-Продажи[[#This Row],[Дата регистрации клиентов]]</f>
        <v>346</v>
      </c>
      <c r="P581" t="str">
        <f>VLOOKUP(Продажи[[#This Row],[id клиента]],Таблица4[#All],7,FALSE)</f>
        <v>Украина</v>
      </c>
    </row>
    <row r="582" spans="1:16" x14ac:dyDescent="0.25">
      <c r="A582">
        <v>581</v>
      </c>
      <c r="B582">
        <v>224</v>
      </c>
      <c r="C582">
        <v>232</v>
      </c>
      <c r="D582">
        <v>5</v>
      </c>
      <c r="E582">
        <v>1160</v>
      </c>
      <c r="F582" s="23">
        <v>45332</v>
      </c>
      <c r="G582" t="s">
        <v>27</v>
      </c>
      <c r="H582">
        <v>219</v>
      </c>
      <c r="I582" t="str">
        <f>VLOOKUP(Продажи[[#This Row],[id товара]],Товары[#All],2,FALSE)</f>
        <v>Чипсы</v>
      </c>
      <c r="J582" s="19">
        <f>AVERAGEIF(Продажи[Категория товара],Продажи[[#This Row],[Категория товара]],Продажи[цена за шт в рублях])</f>
        <v>273.72549019607845</v>
      </c>
      <c r="K582" s="20">
        <f>Продажи[[#This Row],[цена за шт в рублях]]/Продажи[[#This Row],[Средняя цена в категории за шт]]-1</f>
        <v>-0.15243553008596</v>
      </c>
      <c r="L582" t="str">
        <f>VLOOKUP(Продажи[[#This Row],[id товара]],Товары[#All],3,FALSE)</f>
        <v>Pringles</v>
      </c>
      <c r="M5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582" s="23">
        <f>VLOOKUP(Продажи[[#This Row],[id клиента]],Таблица4[#All],5,FALSE)</f>
        <v>44585</v>
      </c>
      <c r="O582">
        <f>Продажи[[#This Row],[дата создания чека]]-Продажи[[#This Row],[Дата регистрации клиентов]]</f>
        <v>747</v>
      </c>
      <c r="P582" t="str">
        <f>VLOOKUP(Продажи[[#This Row],[id клиента]],Таблица4[#All],7,FALSE)</f>
        <v>Таджикистан</v>
      </c>
    </row>
    <row r="583" spans="1:16" x14ac:dyDescent="0.25">
      <c r="A583">
        <v>582</v>
      </c>
      <c r="B583">
        <v>198</v>
      </c>
      <c r="C583">
        <v>383</v>
      </c>
      <c r="D583">
        <v>2</v>
      </c>
      <c r="E583">
        <v>766</v>
      </c>
      <c r="F583" s="23">
        <v>45393</v>
      </c>
      <c r="G583" t="s">
        <v>13</v>
      </c>
      <c r="H583">
        <v>272</v>
      </c>
      <c r="I583" t="str">
        <f>VLOOKUP(Продажи[[#This Row],[id товара]],Товары[#All],2,FALSE)</f>
        <v>Мясо</v>
      </c>
      <c r="J583" s="19">
        <f>AVERAGEIF(Продажи[Категория товара],Продажи[[#This Row],[Категория товара]],Продажи[цена за шт в рублях])</f>
        <v>271.74545454545455</v>
      </c>
      <c r="K583" s="20">
        <f>Продажи[[#This Row],[цена за шт в рублях]]/Продажи[[#This Row],[Средняя цена в категории за шт]]-1</f>
        <v>0.40940719925063562</v>
      </c>
      <c r="L583" t="str">
        <f>VLOOKUP(Продажи[[#This Row],[id товара]],Товары[#All],3,FALSE)</f>
        <v>Мираторг</v>
      </c>
      <c r="M5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583" s="23">
        <f>VLOOKUP(Продажи[[#This Row],[id клиента]],Таблица4[#All],5,FALSE)</f>
        <v>44668</v>
      </c>
      <c r="O583">
        <f>Продажи[[#This Row],[дата создания чека]]-Продажи[[#This Row],[Дата регистрации клиентов]]</f>
        <v>725</v>
      </c>
      <c r="P583" t="str">
        <f>VLOOKUP(Продажи[[#This Row],[id клиента]],Таблица4[#All],7,FALSE)</f>
        <v>Таджикистан</v>
      </c>
    </row>
    <row r="584" spans="1:16" x14ac:dyDescent="0.25">
      <c r="A584">
        <v>583</v>
      </c>
      <c r="B584">
        <v>233</v>
      </c>
      <c r="C584">
        <v>419</v>
      </c>
      <c r="D584">
        <v>5</v>
      </c>
      <c r="E584">
        <v>2095</v>
      </c>
      <c r="F584" s="23">
        <v>45304</v>
      </c>
      <c r="G584" t="s">
        <v>25</v>
      </c>
      <c r="H584">
        <v>388</v>
      </c>
      <c r="I584" t="str">
        <f>VLOOKUP(Продажи[[#This Row],[id товара]],Товары[#All],2,FALSE)</f>
        <v>Йогурт</v>
      </c>
      <c r="J584" s="19">
        <f>AVERAGEIF(Продажи[Категория товара],Продажи[[#This Row],[Категория товара]],Продажи[цена за шт в рублях])</f>
        <v>263.25423728813558</v>
      </c>
      <c r="K584" s="20">
        <f>Продажи[[#This Row],[цена за шт в рублях]]/Продажи[[#This Row],[Средняя цена в категории за шт]]-1</f>
        <v>0.59161730620654129</v>
      </c>
      <c r="L584" t="str">
        <f>VLOOKUP(Продажи[[#This Row],[id товара]],Товары[#All],3,FALSE)</f>
        <v>Ростагроэкспорт</v>
      </c>
      <c r="M5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584" s="23">
        <f>VLOOKUP(Продажи[[#This Row],[id клиента]],Таблица4[#All],5,FALSE)</f>
        <v>44581</v>
      </c>
      <c r="O584">
        <f>Продажи[[#This Row],[дата создания чека]]-Продажи[[#This Row],[Дата регистрации клиентов]]</f>
        <v>723</v>
      </c>
      <c r="P584" t="str">
        <f>VLOOKUP(Продажи[[#This Row],[id клиента]],Таблица4[#All],7,FALSE)</f>
        <v>Россия</v>
      </c>
    </row>
    <row r="585" spans="1:16" x14ac:dyDescent="0.25">
      <c r="A585">
        <v>584</v>
      </c>
      <c r="B585">
        <v>355</v>
      </c>
      <c r="C585">
        <v>210</v>
      </c>
      <c r="D585">
        <v>1</v>
      </c>
      <c r="E585">
        <v>210</v>
      </c>
      <c r="F585" s="23">
        <v>45213</v>
      </c>
      <c r="G585" t="s">
        <v>14</v>
      </c>
      <c r="H585">
        <v>446</v>
      </c>
      <c r="I585" t="str">
        <f>VLOOKUP(Продажи[[#This Row],[id товара]],Товары[#All],2,FALSE)</f>
        <v>Кофе</v>
      </c>
      <c r="J585" s="19">
        <f>AVERAGEIF(Продажи[Категория товара],Продажи[[#This Row],[Категория товара]],Продажи[цена за шт в рублях])</f>
        <v>249.02380952380952</v>
      </c>
      <c r="K585" s="20">
        <f>Продажи[[#This Row],[цена за шт в рублях]]/Продажи[[#This Row],[Средняя цена в категории за шт]]-1</f>
        <v>-0.15670714217420401</v>
      </c>
      <c r="L585" t="str">
        <f>VLOOKUP(Продажи[[#This Row],[id товара]],Товары[#All],3,FALSE)</f>
        <v>Jacobs</v>
      </c>
      <c r="M5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585" s="23">
        <f>VLOOKUP(Продажи[[#This Row],[id клиента]],Таблица4[#All],5,FALSE)</f>
        <v>44671</v>
      </c>
      <c r="O585">
        <f>Продажи[[#This Row],[дата создания чека]]-Продажи[[#This Row],[Дата регистрации клиентов]]</f>
        <v>542</v>
      </c>
      <c r="P585" t="str">
        <f>VLOOKUP(Продажи[[#This Row],[id клиента]],Таблица4[#All],7,FALSE)</f>
        <v>Таджикистан</v>
      </c>
    </row>
    <row r="586" spans="1:16" x14ac:dyDescent="0.25">
      <c r="A586">
        <v>585</v>
      </c>
      <c r="B586">
        <v>118</v>
      </c>
      <c r="C586">
        <v>214</v>
      </c>
      <c r="D586">
        <v>2</v>
      </c>
      <c r="E586">
        <v>428</v>
      </c>
      <c r="F586" s="23">
        <v>45058</v>
      </c>
      <c r="G586" t="s">
        <v>14</v>
      </c>
      <c r="H586">
        <v>138</v>
      </c>
      <c r="I586" t="str">
        <f>VLOOKUP(Продажи[[#This Row],[id товара]],Товары[#All],2,FALSE)</f>
        <v>Сахар</v>
      </c>
      <c r="J586" s="19">
        <f>AVERAGEIF(Продажи[Категория товара],Продажи[[#This Row],[Категория товара]],Продажи[цена за шт в рублях])</f>
        <v>252.76271186440678</v>
      </c>
      <c r="K586" s="20">
        <f>Продажи[[#This Row],[цена за шт в рублях]]/Продажи[[#This Row],[Средняя цена в категории за шт]]-1</f>
        <v>-0.15335613223362166</v>
      </c>
      <c r="L586" t="str">
        <f>VLOOKUP(Продажи[[#This Row],[id товара]],Товары[#All],3,FALSE)</f>
        <v>Продимекс</v>
      </c>
      <c r="M5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586" s="23">
        <f>VLOOKUP(Продажи[[#This Row],[id клиента]],Таблица4[#All],5,FALSE)</f>
        <v>44723</v>
      </c>
      <c r="O586">
        <f>Продажи[[#This Row],[дата создания чека]]-Продажи[[#This Row],[Дата регистрации клиентов]]</f>
        <v>335</v>
      </c>
      <c r="P586" t="str">
        <f>VLOOKUP(Продажи[[#This Row],[id клиента]],Таблица4[#All],7,FALSE)</f>
        <v>Украина</v>
      </c>
    </row>
    <row r="587" spans="1:16" x14ac:dyDescent="0.25">
      <c r="A587">
        <v>586</v>
      </c>
      <c r="B587">
        <v>414</v>
      </c>
      <c r="C587">
        <v>115</v>
      </c>
      <c r="D587">
        <v>2</v>
      </c>
      <c r="E587">
        <v>230</v>
      </c>
      <c r="F587" s="23">
        <v>45094</v>
      </c>
      <c r="G587" t="s">
        <v>12</v>
      </c>
      <c r="H587">
        <v>402</v>
      </c>
      <c r="I587" t="str">
        <f>VLOOKUP(Продажи[[#This Row],[id товара]],Товары[#All],2,FALSE)</f>
        <v>Фрукты</v>
      </c>
      <c r="J587" s="19">
        <f>AVERAGEIF(Продажи[Категория товара],Продажи[[#This Row],[Категория товара]],Продажи[цена за шт в рублях])</f>
        <v>274.16279069767444</v>
      </c>
      <c r="K587" s="20">
        <f>Продажи[[#This Row],[цена за шт в рублях]]/Продажи[[#This Row],[Средняя цена в категории за шт]]-1</f>
        <v>-0.58054118245822384</v>
      </c>
      <c r="L587" t="str">
        <f>VLOOKUP(Продажи[[#This Row],[id товара]],Товары[#All],3,FALSE)</f>
        <v>Экзотик</v>
      </c>
      <c r="M5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587" s="23">
        <f>VLOOKUP(Продажи[[#This Row],[id клиента]],Таблица4[#All],5,FALSE)</f>
        <v>44742</v>
      </c>
      <c r="O587">
        <f>Продажи[[#This Row],[дата создания чека]]-Продажи[[#This Row],[Дата регистрации клиентов]]</f>
        <v>352</v>
      </c>
      <c r="P587" t="str">
        <f>VLOOKUP(Продажи[[#This Row],[id клиента]],Таблица4[#All],7,FALSE)</f>
        <v>Узбекистан</v>
      </c>
    </row>
    <row r="588" spans="1:16" x14ac:dyDescent="0.25">
      <c r="A588">
        <v>587</v>
      </c>
      <c r="B588">
        <v>405</v>
      </c>
      <c r="C588">
        <v>340</v>
      </c>
      <c r="D588">
        <v>1</v>
      </c>
      <c r="E588">
        <v>340</v>
      </c>
      <c r="F588" s="23">
        <v>45213</v>
      </c>
      <c r="G588" t="s">
        <v>11</v>
      </c>
      <c r="H588">
        <v>351</v>
      </c>
      <c r="I588" t="str">
        <f>VLOOKUP(Продажи[[#This Row],[id товара]],Товары[#All],2,FALSE)</f>
        <v>Хлеб</v>
      </c>
      <c r="J588" s="19">
        <f>AVERAGEIF(Продажи[Категория товара],Продажи[[#This Row],[Категория товара]],Продажи[цена за шт в рублях])</f>
        <v>300.31818181818181</v>
      </c>
      <c r="K588" s="20">
        <f>Продажи[[#This Row],[цена за шт в рублях]]/Продажи[[#This Row],[Средняя цена в категории за шт]]-1</f>
        <v>0.1321325866505223</v>
      </c>
      <c r="L588" t="str">
        <f>VLOOKUP(Продажи[[#This Row],[id товара]],Товары[#All],3,FALSE)</f>
        <v>Каравай</v>
      </c>
      <c r="M5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588" s="23">
        <f>VLOOKUP(Продажи[[#This Row],[id клиента]],Таблица4[#All],5,FALSE)</f>
        <v>44863</v>
      </c>
      <c r="O588">
        <f>Продажи[[#This Row],[дата создания чека]]-Продажи[[#This Row],[Дата регистрации клиентов]]</f>
        <v>350</v>
      </c>
      <c r="P588" t="str">
        <f>VLOOKUP(Продажи[[#This Row],[id клиента]],Таблица4[#All],7,FALSE)</f>
        <v>Россия</v>
      </c>
    </row>
    <row r="589" spans="1:16" x14ac:dyDescent="0.25">
      <c r="A589">
        <v>588</v>
      </c>
      <c r="B589">
        <v>313</v>
      </c>
      <c r="C589">
        <v>392</v>
      </c>
      <c r="D589">
        <v>5</v>
      </c>
      <c r="E589">
        <v>1960</v>
      </c>
      <c r="F589" s="23">
        <v>45109</v>
      </c>
      <c r="G589" t="s">
        <v>8</v>
      </c>
      <c r="H589">
        <v>40</v>
      </c>
      <c r="I589" t="str">
        <f>VLOOKUP(Продажи[[#This Row],[id товара]],Товары[#All],2,FALSE)</f>
        <v>Конфеты</v>
      </c>
      <c r="J589" s="19">
        <f>AVERAGEIF(Продажи[Категория товара],Продажи[[#This Row],[Категория товара]],Продажи[цена за шт в рублях])</f>
        <v>267.85483870967744</v>
      </c>
      <c r="K589" s="20">
        <f>Продажи[[#This Row],[цена за шт в рублях]]/Продажи[[#This Row],[Средняя цена в категории за шт]]-1</f>
        <v>0.46347925573553317</v>
      </c>
      <c r="L589" t="str">
        <f>VLOOKUP(Продажи[[#This Row],[id товара]],Товары[#All],3,FALSE)</f>
        <v>Бабаевский</v>
      </c>
      <c r="M5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589" s="23">
        <f>VLOOKUP(Продажи[[#This Row],[id клиента]],Таблица4[#All],5,FALSE)</f>
        <v>44855</v>
      </c>
      <c r="O589">
        <f>Продажи[[#This Row],[дата создания чека]]-Продажи[[#This Row],[Дата регистрации клиентов]]</f>
        <v>254</v>
      </c>
      <c r="P589" t="str">
        <f>VLOOKUP(Продажи[[#This Row],[id клиента]],Таблица4[#All],7,FALSE)</f>
        <v>Россия</v>
      </c>
    </row>
    <row r="590" spans="1:16" x14ac:dyDescent="0.25">
      <c r="A590">
        <v>589</v>
      </c>
      <c r="B590">
        <v>113</v>
      </c>
      <c r="C590">
        <v>378</v>
      </c>
      <c r="D590">
        <v>1</v>
      </c>
      <c r="E590">
        <v>378</v>
      </c>
      <c r="F590" s="23">
        <v>45277</v>
      </c>
      <c r="G590" t="s">
        <v>10</v>
      </c>
      <c r="H590">
        <v>19</v>
      </c>
      <c r="I590" t="str">
        <f>VLOOKUP(Продажи[[#This Row],[id товара]],Товары[#All],2,FALSE)</f>
        <v>Сок</v>
      </c>
      <c r="J590" s="19">
        <f>AVERAGEIF(Продажи[Категория товара],Продажи[[#This Row],[Категория товара]],Продажи[цена за шт в рублях])</f>
        <v>268.60344827586209</v>
      </c>
      <c r="K590" s="20">
        <f>Продажи[[#This Row],[цена за шт в рублях]]/Продажи[[#This Row],[Средняя цена в категории за шт]]-1</f>
        <v>0.4072790294627382</v>
      </c>
      <c r="L590" t="str">
        <f>VLOOKUP(Продажи[[#This Row],[id товара]],Товары[#All],3,FALSE)</f>
        <v>Добрый</v>
      </c>
      <c r="M5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590" s="23">
        <f>VLOOKUP(Продажи[[#This Row],[id клиента]],Таблица4[#All],5,FALSE)</f>
        <v>44902</v>
      </c>
      <c r="O590">
        <f>Продажи[[#This Row],[дата создания чека]]-Продажи[[#This Row],[Дата регистрации клиентов]]</f>
        <v>375</v>
      </c>
      <c r="P590" t="str">
        <f>VLOOKUP(Продажи[[#This Row],[id клиента]],Таблица4[#All],7,FALSE)</f>
        <v>Россия</v>
      </c>
    </row>
    <row r="591" spans="1:16" x14ac:dyDescent="0.25">
      <c r="A591">
        <v>590</v>
      </c>
      <c r="B591">
        <v>474</v>
      </c>
      <c r="C591">
        <v>204</v>
      </c>
      <c r="D591">
        <v>2</v>
      </c>
      <c r="E591">
        <v>408</v>
      </c>
      <c r="F591" s="23">
        <v>45349</v>
      </c>
      <c r="G591" t="s">
        <v>23</v>
      </c>
      <c r="H591">
        <v>153</v>
      </c>
      <c r="I591" t="str">
        <f>VLOOKUP(Продажи[[#This Row],[id товара]],Товары[#All],2,FALSE)</f>
        <v>Молоко</v>
      </c>
      <c r="J591" s="19">
        <f>AVERAGEIF(Продажи[Категория товара],Продажи[[#This Row],[Категория товара]],Продажи[цена за шт в рублях])</f>
        <v>294.95238095238096</v>
      </c>
      <c r="K591" s="20">
        <f>Продажи[[#This Row],[цена за шт в рублях]]/Продажи[[#This Row],[Средняя цена в категории за шт]]-1</f>
        <v>-0.30836293186955122</v>
      </c>
      <c r="L591" t="str">
        <f>VLOOKUP(Продажи[[#This Row],[id товара]],Товары[#All],3,FALSE)</f>
        <v>Простоквашино</v>
      </c>
      <c r="M5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591" s="23">
        <f>VLOOKUP(Продажи[[#This Row],[id клиента]],Таблица4[#All],5,FALSE)</f>
        <v>44802</v>
      </c>
      <c r="O591">
        <f>Продажи[[#This Row],[дата создания чека]]-Продажи[[#This Row],[Дата регистрации клиентов]]</f>
        <v>547</v>
      </c>
      <c r="P591" t="str">
        <f>VLOOKUP(Продажи[[#This Row],[id клиента]],Таблица4[#All],7,FALSE)</f>
        <v>Россия</v>
      </c>
    </row>
    <row r="592" spans="1:16" x14ac:dyDescent="0.25">
      <c r="A592">
        <v>591</v>
      </c>
      <c r="B592">
        <v>361</v>
      </c>
      <c r="C592">
        <v>69</v>
      </c>
      <c r="D592">
        <v>1</v>
      </c>
      <c r="E592">
        <v>69</v>
      </c>
      <c r="F592" s="23">
        <v>45021</v>
      </c>
      <c r="G592" t="s">
        <v>27</v>
      </c>
      <c r="H592">
        <v>355</v>
      </c>
      <c r="I592" t="str">
        <f>VLOOKUP(Продажи[[#This Row],[id товара]],Товары[#All],2,FALSE)</f>
        <v>Мясо</v>
      </c>
      <c r="J592" s="19">
        <f>AVERAGEIF(Продажи[Категория товара],Продажи[[#This Row],[Категория товара]],Продажи[цена за шт в рублях])</f>
        <v>271.74545454545455</v>
      </c>
      <c r="K592" s="20">
        <f>Продажи[[#This Row],[цена за шт в рублях]]/Продажи[[#This Row],[Средняя цена в категории за шт]]-1</f>
        <v>-0.74608590927338425</v>
      </c>
      <c r="L592" t="str">
        <f>VLOOKUP(Продажи[[#This Row],[id товара]],Товары[#All],3,FALSE)</f>
        <v>Сава</v>
      </c>
      <c r="M5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592" s="23">
        <f>VLOOKUP(Продажи[[#This Row],[id клиента]],Таблица4[#All],5,FALSE)</f>
        <v>44631</v>
      </c>
      <c r="O592">
        <f>Продажи[[#This Row],[дата создания чека]]-Продажи[[#This Row],[Дата регистрации клиентов]]</f>
        <v>390</v>
      </c>
      <c r="P592" t="str">
        <f>VLOOKUP(Продажи[[#This Row],[id клиента]],Таблица4[#All],7,FALSE)</f>
        <v>Россия</v>
      </c>
    </row>
    <row r="593" spans="1:16" x14ac:dyDescent="0.25">
      <c r="A593">
        <v>592</v>
      </c>
      <c r="B593">
        <v>291</v>
      </c>
      <c r="C593">
        <v>455</v>
      </c>
      <c r="D593">
        <v>5</v>
      </c>
      <c r="E593">
        <v>2275</v>
      </c>
      <c r="F593" s="23">
        <v>45142</v>
      </c>
      <c r="G593" t="s">
        <v>18</v>
      </c>
      <c r="H593">
        <v>245</v>
      </c>
      <c r="I593" t="str">
        <f>VLOOKUP(Продажи[[#This Row],[id товара]],Товары[#All],2,FALSE)</f>
        <v>Рыба</v>
      </c>
      <c r="J593" s="19">
        <f>AVERAGEIF(Продажи[Категория товара],Продажи[[#This Row],[Категория товара]],Продажи[цена за шт в рублях])</f>
        <v>258.5128205128205</v>
      </c>
      <c r="K593" s="20">
        <f>Продажи[[#This Row],[цена за шт в рублях]]/Продажи[[#This Row],[Средняя цена в категории за шт]]-1</f>
        <v>0.76006744693513206</v>
      </c>
      <c r="L593" t="str">
        <f>VLOOKUP(Продажи[[#This Row],[id товара]],Товары[#All],3,FALSE)</f>
        <v>Балтийский берег</v>
      </c>
      <c r="M5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593" s="23">
        <f>VLOOKUP(Продажи[[#This Row],[id клиента]],Таблица4[#All],5,FALSE)</f>
        <v>44695</v>
      </c>
      <c r="O593">
        <f>Продажи[[#This Row],[дата создания чека]]-Продажи[[#This Row],[Дата регистрации клиентов]]</f>
        <v>447</v>
      </c>
      <c r="P593" t="str">
        <f>VLOOKUP(Продажи[[#This Row],[id клиента]],Таблица4[#All],7,FALSE)</f>
        <v>Узбекистан</v>
      </c>
    </row>
    <row r="594" spans="1:16" x14ac:dyDescent="0.25">
      <c r="A594">
        <v>593</v>
      </c>
      <c r="B594">
        <v>360</v>
      </c>
      <c r="C594">
        <v>137</v>
      </c>
      <c r="D594">
        <v>2</v>
      </c>
      <c r="E594">
        <v>274</v>
      </c>
      <c r="F594" s="23">
        <v>45318</v>
      </c>
      <c r="G594" t="s">
        <v>22</v>
      </c>
      <c r="H594">
        <v>80</v>
      </c>
      <c r="I594" t="str">
        <f>VLOOKUP(Продажи[[#This Row],[id товара]],Товары[#All],2,FALSE)</f>
        <v>Соль</v>
      </c>
      <c r="J594" s="19">
        <f>AVERAGEIF(Продажи[Категория товара],Продажи[[#This Row],[Категория товара]],Продажи[цена за шт в рублях])</f>
        <v>264.8679245283019</v>
      </c>
      <c r="K594" s="20">
        <f>Продажи[[#This Row],[цена за шт в рублях]]/Продажи[[#This Row],[Средняя цена в категории за шт]]-1</f>
        <v>-0.48276107707650662</v>
      </c>
      <c r="L594" t="str">
        <f>VLOOKUP(Продажи[[#This Row],[id товара]],Товары[#All],3,FALSE)</f>
        <v>Славянская</v>
      </c>
      <c r="M5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594" s="23">
        <f>VLOOKUP(Продажи[[#This Row],[id клиента]],Таблица4[#All],5,FALSE)</f>
        <v>44623</v>
      </c>
      <c r="O594">
        <f>Продажи[[#This Row],[дата создания чека]]-Продажи[[#This Row],[Дата регистрации клиентов]]</f>
        <v>695</v>
      </c>
      <c r="P594" t="str">
        <f>VLOOKUP(Продажи[[#This Row],[id клиента]],Таблица4[#All],7,FALSE)</f>
        <v>Беларусь</v>
      </c>
    </row>
    <row r="595" spans="1:16" x14ac:dyDescent="0.25">
      <c r="A595">
        <v>594</v>
      </c>
      <c r="B595">
        <v>182</v>
      </c>
      <c r="C595">
        <v>152</v>
      </c>
      <c r="D595">
        <v>3</v>
      </c>
      <c r="E595">
        <v>456</v>
      </c>
      <c r="F595" s="23">
        <v>45053</v>
      </c>
      <c r="G595" t="s">
        <v>22</v>
      </c>
      <c r="H595">
        <v>466</v>
      </c>
      <c r="I595" t="str">
        <f>VLOOKUP(Продажи[[#This Row],[id товара]],Товары[#All],2,FALSE)</f>
        <v>Соль</v>
      </c>
      <c r="J595" s="19">
        <f>AVERAGEIF(Продажи[Категория товара],Продажи[[#This Row],[Категория товара]],Продажи[цена за шт в рублях])</f>
        <v>264.8679245283019</v>
      </c>
      <c r="K595" s="20">
        <f>Продажи[[#This Row],[цена за шт в рублях]]/Продажи[[#This Row],[Средняя цена в категории за шт]]-1</f>
        <v>-0.42612907821627011</v>
      </c>
      <c r="L595" t="str">
        <f>VLOOKUP(Продажи[[#This Row],[id товара]],Товары[#All],3,FALSE)</f>
        <v>Экстра</v>
      </c>
      <c r="M5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595" s="23">
        <f>VLOOKUP(Продажи[[#This Row],[id клиента]],Таблица4[#All],5,FALSE)</f>
        <v>44772</v>
      </c>
      <c r="O595">
        <f>Продажи[[#This Row],[дата создания чека]]-Продажи[[#This Row],[Дата регистрации клиентов]]</f>
        <v>281</v>
      </c>
      <c r="P595" t="str">
        <f>VLOOKUP(Продажи[[#This Row],[id клиента]],Таблица4[#All],7,FALSE)</f>
        <v>Беларусь</v>
      </c>
    </row>
    <row r="596" spans="1:16" x14ac:dyDescent="0.25">
      <c r="A596">
        <v>595</v>
      </c>
      <c r="B596">
        <v>490</v>
      </c>
      <c r="C596">
        <v>170</v>
      </c>
      <c r="D596">
        <v>5</v>
      </c>
      <c r="E596">
        <v>850</v>
      </c>
      <c r="F596" s="23">
        <v>45058</v>
      </c>
      <c r="G596" t="s">
        <v>17</v>
      </c>
      <c r="H596">
        <v>317</v>
      </c>
      <c r="I596" t="str">
        <f>VLOOKUP(Продажи[[#This Row],[id товара]],Товары[#All],2,FALSE)</f>
        <v>Сыр</v>
      </c>
      <c r="J596" s="19">
        <f>AVERAGEIF(Продажи[Категория товара],Продажи[[#This Row],[Категория товара]],Продажи[цена за шт в рублях])</f>
        <v>262.63492063492066</v>
      </c>
      <c r="K596" s="20">
        <f>Продажи[[#This Row],[цена за шт в рублях]]/Продажи[[#This Row],[Средняя цена в категории за шт]]-1</f>
        <v>-0.35271364680285267</v>
      </c>
      <c r="L596" t="str">
        <f>VLOOKUP(Продажи[[#This Row],[id товара]],Товары[#All],3,FALSE)</f>
        <v>Сырная долина</v>
      </c>
      <c r="M5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596" s="23">
        <f>VLOOKUP(Продажи[[#This Row],[id клиента]],Таблица4[#All],5,FALSE)</f>
        <v>44770</v>
      </c>
      <c r="O596">
        <f>Продажи[[#This Row],[дата создания чека]]-Продажи[[#This Row],[Дата регистрации клиентов]]</f>
        <v>288</v>
      </c>
      <c r="P596" t="str">
        <f>VLOOKUP(Продажи[[#This Row],[id клиента]],Таблица4[#All],7,FALSE)</f>
        <v>Россия</v>
      </c>
    </row>
    <row r="597" spans="1:16" x14ac:dyDescent="0.25">
      <c r="A597">
        <v>596</v>
      </c>
      <c r="B597">
        <v>215</v>
      </c>
      <c r="C597">
        <v>496</v>
      </c>
      <c r="D597">
        <v>2</v>
      </c>
      <c r="E597">
        <v>992</v>
      </c>
      <c r="F597" s="23">
        <v>45404</v>
      </c>
      <c r="G597" t="s">
        <v>12</v>
      </c>
      <c r="H597">
        <v>342</v>
      </c>
      <c r="I597" t="str">
        <f>VLOOKUP(Продажи[[#This Row],[id товара]],Товары[#All],2,FALSE)</f>
        <v>Сок</v>
      </c>
      <c r="J597" s="19">
        <f>AVERAGEIF(Продажи[Категория товара],Продажи[[#This Row],[Категория товара]],Продажи[цена за шт в рублях])</f>
        <v>268.60344827586209</v>
      </c>
      <c r="K597" s="20">
        <f>Продажи[[#This Row],[цена за шт в рублях]]/Продажи[[#This Row],[Средняя цена в категории за шт]]-1</f>
        <v>0.84658835612041838</v>
      </c>
      <c r="L597" t="str">
        <f>VLOOKUP(Продажи[[#This Row],[id товара]],Товары[#All],3,FALSE)</f>
        <v>Фруктовый сад</v>
      </c>
      <c r="M5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597" s="23">
        <f>VLOOKUP(Продажи[[#This Row],[id клиента]],Таблица4[#All],5,FALSE)</f>
        <v>44570</v>
      </c>
      <c r="O597">
        <f>Продажи[[#This Row],[дата создания чека]]-Продажи[[#This Row],[Дата регистрации клиентов]]</f>
        <v>834</v>
      </c>
      <c r="P597" t="str">
        <f>VLOOKUP(Продажи[[#This Row],[id клиента]],Таблица4[#All],7,FALSE)</f>
        <v>Таджикистан</v>
      </c>
    </row>
    <row r="598" spans="1:16" x14ac:dyDescent="0.25">
      <c r="A598">
        <v>597</v>
      </c>
      <c r="B598">
        <v>137</v>
      </c>
      <c r="C598">
        <v>411</v>
      </c>
      <c r="D598">
        <v>1</v>
      </c>
      <c r="E598">
        <v>411</v>
      </c>
      <c r="F598" s="23">
        <v>45192</v>
      </c>
      <c r="G598" t="s">
        <v>27</v>
      </c>
      <c r="H598">
        <v>130</v>
      </c>
      <c r="I598" t="str">
        <f>VLOOKUP(Продажи[[#This Row],[id товара]],Товары[#All],2,FALSE)</f>
        <v>Фрукты</v>
      </c>
      <c r="J598" s="19">
        <f>AVERAGEIF(Продажи[Категория товара],Продажи[[#This Row],[Категория товара]],Продажи[цена за шт в рублях])</f>
        <v>274.16279069767444</v>
      </c>
      <c r="K598" s="20">
        <f>Продажи[[#This Row],[цена за шт в рублях]]/Продажи[[#This Row],[Средняя цена в категории за шт]]-1</f>
        <v>0.49910933921452183</v>
      </c>
      <c r="L598" t="str">
        <f>VLOOKUP(Продажи[[#This Row],[id товара]],Товары[#All],3,FALSE)</f>
        <v>Экзотик</v>
      </c>
      <c r="M5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598" s="23">
        <f>VLOOKUP(Продажи[[#This Row],[id клиента]],Таблица4[#All],5,FALSE)</f>
        <v>44863</v>
      </c>
      <c r="O598">
        <f>Продажи[[#This Row],[дата создания чека]]-Продажи[[#This Row],[Дата регистрации клиентов]]</f>
        <v>329</v>
      </c>
      <c r="P598" t="str">
        <f>VLOOKUP(Продажи[[#This Row],[id клиента]],Таблица4[#All],7,FALSE)</f>
        <v>Таджикистан</v>
      </c>
    </row>
    <row r="599" spans="1:16" x14ac:dyDescent="0.25">
      <c r="A599">
        <v>598</v>
      </c>
      <c r="B599">
        <v>75</v>
      </c>
      <c r="C599">
        <v>240</v>
      </c>
      <c r="D599">
        <v>4</v>
      </c>
      <c r="E599">
        <v>960</v>
      </c>
      <c r="F599" s="23">
        <v>45148</v>
      </c>
      <c r="G599" t="s">
        <v>22</v>
      </c>
      <c r="H599">
        <v>53</v>
      </c>
      <c r="I599" t="str">
        <f>VLOOKUP(Продажи[[#This Row],[id товара]],Товары[#All],2,FALSE)</f>
        <v>Печенье</v>
      </c>
      <c r="J599" s="19">
        <f>AVERAGEIF(Продажи[Категория товара],Продажи[[#This Row],[Категория товара]],Продажи[цена за шт в рублях])</f>
        <v>283.468085106383</v>
      </c>
      <c r="K599" s="20">
        <f>Продажи[[#This Row],[цена за шт в рублях]]/Продажи[[#This Row],[Средняя цена в категории за шт]]-1</f>
        <v>-0.15334384147714486</v>
      </c>
      <c r="L599" t="str">
        <f>VLOOKUP(Продажи[[#This Row],[id товара]],Товары[#All],3,FALSE)</f>
        <v>Белогорье</v>
      </c>
      <c r="M5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599" s="23">
        <f>VLOOKUP(Продажи[[#This Row],[id клиента]],Таблица4[#All],5,FALSE)</f>
        <v>44593</v>
      </c>
      <c r="O599">
        <f>Продажи[[#This Row],[дата создания чека]]-Продажи[[#This Row],[Дата регистрации клиентов]]</f>
        <v>555</v>
      </c>
      <c r="P599" t="str">
        <f>VLOOKUP(Продажи[[#This Row],[id клиента]],Таблица4[#All],7,FALSE)</f>
        <v>Россия</v>
      </c>
    </row>
    <row r="600" spans="1:16" x14ac:dyDescent="0.25">
      <c r="A600">
        <v>599</v>
      </c>
      <c r="B600">
        <v>359</v>
      </c>
      <c r="C600">
        <v>302</v>
      </c>
      <c r="D600">
        <v>4</v>
      </c>
      <c r="E600">
        <v>1208</v>
      </c>
      <c r="F600" s="23">
        <v>45195</v>
      </c>
      <c r="G600" t="s">
        <v>22</v>
      </c>
      <c r="H600">
        <v>122</v>
      </c>
      <c r="I600" t="str">
        <f>VLOOKUP(Продажи[[#This Row],[id товара]],Товары[#All],2,FALSE)</f>
        <v>Мясо</v>
      </c>
      <c r="J600" s="19">
        <f>AVERAGEIF(Продажи[Категория товара],Продажи[[#This Row],[Категория товара]],Продажи[цена за шт в рублях])</f>
        <v>271.74545454545455</v>
      </c>
      <c r="K600" s="20">
        <f>Продажи[[#This Row],[цена за шт в рублях]]/Продажи[[#This Row],[Средняя цена в категории за шт]]-1</f>
        <v>0.11133413622373878</v>
      </c>
      <c r="L600" t="str">
        <f>VLOOKUP(Продажи[[#This Row],[id товара]],Товары[#All],3,FALSE)</f>
        <v>Мираторг</v>
      </c>
      <c r="M6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600" s="23">
        <f>VLOOKUP(Продажи[[#This Row],[id клиента]],Таблица4[#All],5,FALSE)</f>
        <v>44683</v>
      </c>
      <c r="O600">
        <f>Продажи[[#This Row],[дата создания чека]]-Продажи[[#This Row],[Дата регистрации клиентов]]</f>
        <v>512</v>
      </c>
      <c r="P600" t="str">
        <f>VLOOKUP(Продажи[[#This Row],[id клиента]],Таблица4[#All],7,FALSE)</f>
        <v>Беларусь</v>
      </c>
    </row>
    <row r="601" spans="1:16" x14ac:dyDescent="0.25">
      <c r="A601">
        <v>600</v>
      </c>
      <c r="B601">
        <v>364</v>
      </c>
      <c r="C601">
        <v>138</v>
      </c>
      <c r="D601">
        <v>4</v>
      </c>
      <c r="E601">
        <v>552</v>
      </c>
      <c r="F601" s="23">
        <v>45256</v>
      </c>
      <c r="G601" t="s">
        <v>22</v>
      </c>
      <c r="H601">
        <v>199</v>
      </c>
      <c r="I601" t="str">
        <f>VLOOKUP(Продажи[[#This Row],[id товара]],Товары[#All],2,FALSE)</f>
        <v>Сахар</v>
      </c>
      <c r="J601" s="19">
        <f>AVERAGEIF(Продажи[Категория товара],Продажи[[#This Row],[Категория товара]],Продажи[цена за шт в рублях])</f>
        <v>252.76271186440678</v>
      </c>
      <c r="K601" s="20">
        <f>Продажи[[#This Row],[цена за шт в рублях]]/Продажи[[#This Row],[Средняя цена в категории за шт]]-1</f>
        <v>-0.45403339368336348</v>
      </c>
      <c r="L601" t="str">
        <f>VLOOKUP(Продажи[[#This Row],[id товара]],Товары[#All],3,FALSE)</f>
        <v>Русский сахар</v>
      </c>
      <c r="M6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601" s="23">
        <f>VLOOKUP(Продажи[[#This Row],[id клиента]],Таблица4[#All],5,FALSE)</f>
        <v>44715</v>
      </c>
      <c r="O601">
        <f>Продажи[[#This Row],[дата создания чека]]-Продажи[[#This Row],[Дата регистрации клиентов]]</f>
        <v>541</v>
      </c>
      <c r="P601" t="str">
        <f>VLOOKUP(Продажи[[#This Row],[id клиента]],Таблица4[#All],7,FALSE)</f>
        <v>Узбекистан</v>
      </c>
    </row>
    <row r="602" spans="1:16" x14ac:dyDescent="0.25">
      <c r="A602">
        <v>601</v>
      </c>
      <c r="B602">
        <v>197</v>
      </c>
      <c r="C602">
        <v>309</v>
      </c>
      <c r="D602">
        <v>4</v>
      </c>
      <c r="E602">
        <v>1236</v>
      </c>
      <c r="F602" s="23">
        <v>45212</v>
      </c>
      <c r="G602" t="s">
        <v>15</v>
      </c>
      <c r="H602">
        <v>52</v>
      </c>
      <c r="I602" t="str">
        <f>VLOOKUP(Продажи[[#This Row],[id товара]],Товары[#All],2,FALSE)</f>
        <v>Печенье</v>
      </c>
      <c r="J602" s="19">
        <f>AVERAGEIF(Продажи[Категория товара],Продажи[[#This Row],[Категория товара]],Продажи[цена за шт в рублях])</f>
        <v>283.468085106383</v>
      </c>
      <c r="K602" s="20">
        <f>Продажи[[#This Row],[цена за шт в рублях]]/Продажи[[#This Row],[Средняя цена в категории за шт]]-1</f>
        <v>9.0069804098175998E-2</v>
      </c>
      <c r="L602" t="str">
        <f>VLOOKUP(Продажи[[#This Row],[id товара]],Товары[#All],3,FALSE)</f>
        <v>Юбилейное</v>
      </c>
      <c r="M6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232.44444444444446</v>
      </c>
      <c r="N602" s="23">
        <f>VLOOKUP(Продажи[[#This Row],[id клиента]],Таблица4[#All],5,FALSE)</f>
        <v>44917</v>
      </c>
      <c r="O602">
        <f>Продажи[[#This Row],[дата создания чека]]-Продажи[[#This Row],[Дата регистрации клиентов]]</f>
        <v>295</v>
      </c>
      <c r="P602" t="str">
        <f>VLOOKUP(Продажи[[#This Row],[id клиента]],Таблица4[#All],7,FALSE)</f>
        <v>Россия</v>
      </c>
    </row>
    <row r="603" spans="1:16" x14ac:dyDescent="0.25">
      <c r="A603">
        <v>602</v>
      </c>
      <c r="B603">
        <v>157</v>
      </c>
      <c r="C603">
        <v>473</v>
      </c>
      <c r="D603">
        <v>5</v>
      </c>
      <c r="E603">
        <v>2365</v>
      </c>
      <c r="F603" s="23">
        <v>45012</v>
      </c>
      <c r="G603" t="s">
        <v>22</v>
      </c>
      <c r="H603">
        <v>477</v>
      </c>
      <c r="I603" t="str">
        <f>VLOOKUP(Продажи[[#This Row],[id товара]],Товары[#All],2,FALSE)</f>
        <v>Сыр</v>
      </c>
      <c r="J603" s="19">
        <f>AVERAGEIF(Продажи[Категория товара],Продажи[[#This Row],[Категория товара]],Продажи[цена за шт в рублях])</f>
        <v>262.63492063492066</v>
      </c>
      <c r="K603" s="20">
        <f>Продажи[[#This Row],[цена за шт в рублях]]/Продажи[[#This Row],[Средняя цена в категории за шт]]-1</f>
        <v>0.80097908860147449</v>
      </c>
      <c r="L603" t="str">
        <f>VLOOKUP(Продажи[[#This Row],[id товара]],Товары[#All],3,FALSE)</f>
        <v>President</v>
      </c>
      <c r="M6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603" s="23">
        <f>VLOOKUP(Продажи[[#This Row],[id клиента]],Таблица4[#All],5,FALSE)</f>
        <v>44738</v>
      </c>
      <c r="O603">
        <f>Продажи[[#This Row],[дата создания чека]]-Продажи[[#This Row],[Дата регистрации клиентов]]</f>
        <v>274</v>
      </c>
      <c r="P603" t="str">
        <f>VLOOKUP(Продажи[[#This Row],[id клиента]],Таблица4[#All],7,FALSE)</f>
        <v>Узбекистан</v>
      </c>
    </row>
    <row r="604" spans="1:16" x14ac:dyDescent="0.25">
      <c r="A604">
        <v>603</v>
      </c>
      <c r="B604">
        <v>105</v>
      </c>
      <c r="C604">
        <v>187</v>
      </c>
      <c r="D604">
        <v>1</v>
      </c>
      <c r="E604">
        <v>187</v>
      </c>
      <c r="F604" s="23">
        <v>45038</v>
      </c>
      <c r="G604" t="s">
        <v>19</v>
      </c>
      <c r="H604">
        <v>24</v>
      </c>
      <c r="I604" t="str">
        <f>VLOOKUP(Продажи[[#This Row],[id товара]],Товары[#All],2,FALSE)</f>
        <v>Фрукты</v>
      </c>
      <c r="J604" s="19">
        <f>AVERAGEIF(Продажи[Категория товара],Продажи[[#This Row],[Категория товара]],Продажи[цена за шт в рублях])</f>
        <v>274.16279069767444</v>
      </c>
      <c r="K604" s="20">
        <f>Продажи[[#This Row],[цена за шт в рублях]]/Продажи[[#This Row],[Средняя цена в категории за шт]]-1</f>
        <v>-0.31792348799728565</v>
      </c>
      <c r="L604" t="str">
        <f>VLOOKUP(Продажи[[#This Row],[id товара]],Товары[#All],3,FALSE)</f>
        <v>Фрукты-Ягоды</v>
      </c>
      <c r="M6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604" s="23">
        <f>VLOOKUP(Продажи[[#This Row],[id клиента]],Таблица4[#All],5,FALSE)</f>
        <v>44609</v>
      </c>
      <c r="O604">
        <f>Продажи[[#This Row],[дата создания чека]]-Продажи[[#This Row],[Дата регистрации клиентов]]</f>
        <v>429</v>
      </c>
      <c r="P604" t="str">
        <f>VLOOKUP(Продажи[[#This Row],[id клиента]],Таблица4[#All],7,FALSE)</f>
        <v>Узбекистан</v>
      </c>
    </row>
    <row r="605" spans="1:16" x14ac:dyDescent="0.25">
      <c r="A605">
        <v>604</v>
      </c>
      <c r="B605">
        <v>479</v>
      </c>
      <c r="C605">
        <v>314</v>
      </c>
      <c r="D605">
        <v>3</v>
      </c>
      <c r="E605">
        <v>942</v>
      </c>
      <c r="F605" s="23">
        <v>45429</v>
      </c>
      <c r="G605" t="s">
        <v>16</v>
      </c>
      <c r="H605">
        <v>293</v>
      </c>
      <c r="I605" t="str">
        <f>VLOOKUP(Продажи[[#This Row],[id товара]],Товары[#All],2,FALSE)</f>
        <v>Овощи</v>
      </c>
      <c r="J605" s="19">
        <f>AVERAGEIF(Продажи[Категория товара],Продажи[[#This Row],[Категория товара]],Продажи[цена за шт в рублях])</f>
        <v>250.48780487804879</v>
      </c>
      <c r="K605" s="20">
        <f>Продажи[[#This Row],[цена за шт в рублях]]/Продажи[[#This Row],[Средняя цена в категории за шт]]-1</f>
        <v>0.25355404089581302</v>
      </c>
      <c r="L605" t="str">
        <f>VLOOKUP(Продажи[[#This Row],[id товара]],Товары[#All],3,FALSE)</f>
        <v>Гавриш</v>
      </c>
      <c r="M6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605" s="23">
        <f>VLOOKUP(Продажи[[#This Row],[id клиента]],Таблица4[#All],5,FALSE)</f>
        <v>44573</v>
      </c>
      <c r="O605">
        <f>Продажи[[#This Row],[дата создания чека]]-Продажи[[#This Row],[Дата регистрации клиентов]]</f>
        <v>856</v>
      </c>
      <c r="P605" t="str">
        <f>VLOOKUP(Продажи[[#This Row],[id клиента]],Таблица4[#All],7,FALSE)</f>
        <v>Беларусь</v>
      </c>
    </row>
    <row r="606" spans="1:16" x14ac:dyDescent="0.25">
      <c r="A606">
        <v>605</v>
      </c>
      <c r="B606">
        <v>285</v>
      </c>
      <c r="C606">
        <v>122</v>
      </c>
      <c r="D606">
        <v>5</v>
      </c>
      <c r="E606">
        <v>610</v>
      </c>
      <c r="F606" s="23">
        <v>44959</v>
      </c>
      <c r="G606" t="s">
        <v>17</v>
      </c>
      <c r="H606">
        <v>447</v>
      </c>
      <c r="I606" t="str">
        <f>VLOOKUP(Продажи[[#This Row],[id товара]],Товары[#All],2,FALSE)</f>
        <v>Макароны</v>
      </c>
      <c r="J606" s="19">
        <f>AVERAGEIF(Продажи[Категория товара],Продажи[[#This Row],[Категория товара]],Продажи[цена за шт в рублях])</f>
        <v>265.47674418604652</v>
      </c>
      <c r="K606" s="20">
        <f>Продажи[[#This Row],[цена за шт в рублях]]/Продажи[[#This Row],[Средняя цена в категории за шт]]-1</f>
        <v>-0.5404493889886558</v>
      </c>
      <c r="L606" t="str">
        <f>VLOOKUP(Продажи[[#This Row],[id товара]],Товары[#All],3,FALSE)</f>
        <v>Паста Зара</v>
      </c>
      <c r="M6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06" s="23">
        <f>VLOOKUP(Продажи[[#This Row],[id клиента]],Таблица4[#All],5,FALSE)</f>
        <v>44898</v>
      </c>
      <c r="O606">
        <f>Продажи[[#This Row],[дата создания чека]]-Продажи[[#This Row],[Дата регистрации клиентов]]</f>
        <v>61</v>
      </c>
      <c r="P606" t="str">
        <f>VLOOKUP(Продажи[[#This Row],[id клиента]],Таблица4[#All],7,FALSE)</f>
        <v>Таджикистан</v>
      </c>
    </row>
    <row r="607" spans="1:16" x14ac:dyDescent="0.25">
      <c r="A607">
        <v>606</v>
      </c>
      <c r="B607">
        <v>93</v>
      </c>
      <c r="C607">
        <v>184</v>
      </c>
      <c r="D607">
        <v>2</v>
      </c>
      <c r="E607">
        <v>368</v>
      </c>
      <c r="F607" s="23">
        <v>45187</v>
      </c>
      <c r="G607" t="s">
        <v>19</v>
      </c>
      <c r="H607">
        <v>163</v>
      </c>
      <c r="I607" t="str">
        <f>VLOOKUP(Продажи[[#This Row],[id товара]],Товары[#All],2,FALSE)</f>
        <v>Чай</v>
      </c>
      <c r="J607" s="19">
        <f>AVERAGEIF(Продажи[Категория товара],Продажи[[#This Row],[Категория товара]],Продажи[цена за шт в рублях])</f>
        <v>271.18181818181819</v>
      </c>
      <c r="K607" s="20">
        <f>Продажи[[#This Row],[цена за шт в рублях]]/Продажи[[#This Row],[Средняя цена в категории за шт]]-1</f>
        <v>-0.32148843446195108</v>
      </c>
      <c r="L607" t="str">
        <f>VLOOKUP(Продажи[[#This Row],[id товара]],Товары[#All],3,FALSE)</f>
        <v>Greenfield</v>
      </c>
      <c r="M6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607" s="23">
        <f>VLOOKUP(Продажи[[#This Row],[id клиента]],Таблица4[#All],5,FALSE)</f>
        <v>44571</v>
      </c>
      <c r="O607">
        <f>Продажи[[#This Row],[дата создания чека]]-Продажи[[#This Row],[Дата регистрации клиентов]]</f>
        <v>616</v>
      </c>
      <c r="P607" t="str">
        <f>VLOOKUP(Продажи[[#This Row],[id клиента]],Таблица4[#All],7,FALSE)</f>
        <v>Узбекистан</v>
      </c>
    </row>
    <row r="608" spans="1:16" x14ac:dyDescent="0.25">
      <c r="A608">
        <v>607</v>
      </c>
      <c r="B608">
        <v>199</v>
      </c>
      <c r="C608">
        <v>172</v>
      </c>
      <c r="D608">
        <v>3</v>
      </c>
      <c r="E608">
        <v>516</v>
      </c>
      <c r="F608" s="23">
        <v>45223</v>
      </c>
      <c r="G608" t="s">
        <v>22</v>
      </c>
      <c r="H608">
        <v>421</v>
      </c>
      <c r="I608" t="str">
        <f>VLOOKUP(Продажи[[#This Row],[id товара]],Товары[#All],2,FALSE)</f>
        <v>Макароны</v>
      </c>
      <c r="J608" s="19">
        <f>AVERAGEIF(Продажи[Категория товара],Продажи[[#This Row],[Категория товара]],Продажи[цена за шт в рублях])</f>
        <v>265.47674418604652</v>
      </c>
      <c r="K608" s="20">
        <f>Продажи[[#This Row],[цена за шт в рублях]]/Продажи[[#This Row],[Средняя цена в категории за шт]]-1</f>
        <v>-0.35210897463974422</v>
      </c>
      <c r="L608" t="str">
        <f>VLOOKUP(Продажи[[#This Row],[id товара]],Товары[#All],3,FALSE)</f>
        <v>Борилла</v>
      </c>
      <c r="M6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608" s="23">
        <f>VLOOKUP(Продажи[[#This Row],[id клиента]],Таблица4[#All],5,FALSE)</f>
        <v>44620</v>
      </c>
      <c r="O608">
        <f>Продажи[[#This Row],[дата создания чека]]-Продажи[[#This Row],[Дата регистрации клиентов]]</f>
        <v>603</v>
      </c>
      <c r="P608" t="str">
        <f>VLOOKUP(Продажи[[#This Row],[id клиента]],Таблица4[#All],7,FALSE)</f>
        <v>Россия</v>
      </c>
    </row>
    <row r="609" spans="1:16" x14ac:dyDescent="0.25">
      <c r="A609">
        <v>608</v>
      </c>
      <c r="B609">
        <v>122</v>
      </c>
      <c r="C609">
        <v>482</v>
      </c>
      <c r="D609">
        <v>4</v>
      </c>
      <c r="E609">
        <v>1928</v>
      </c>
      <c r="F609" s="23">
        <v>45038</v>
      </c>
      <c r="G609" t="s">
        <v>23</v>
      </c>
      <c r="H609">
        <v>320</v>
      </c>
      <c r="I609" t="str">
        <f>VLOOKUP(Продажи[[#This Row],[id товара]],Товары[#All],2,FALSE)</f>
        <v>Фрукты</v>
      </c>
      <c r="J609" s="19">
        <f>AVERAGEIF(Продажи[Категория товара],Продажи[[#This Row],[Категория товара]],Продажи[цена за шт в рублях])</f>
        <v>274.16279069767444</v>
      </c>
      <c r="K609" s="20">
        <f>Продажи[[#This Row],[цена за шт в рублях]]/Продажи[[#This Row],[Средняя цена в категории за шт]]-1</f>
        <v>0.75807956569683599</v>
      </c>
      <c r="L609" t="str">
        <f>VLOOKUP(Продажи[[#This Row],[id товара]],Товары[#All],3,FALSE)</f>
        <v>Фрукты-Ягоды</v>
      </c>
      <c r="M6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609" s="23">
        <f>VLOOKUP(Продажи[[#This Row],[id клиента]],Таблица4[#All],5,FALSE)</f>
        <v>44869</v>
      </c>
      <c r="O609">
        <f>Продажи[[#This Row],[дата создания чека]]-Продажи[[#This Row],[Дата регистрации клиентов]]</f>
        <v>169</v>
      </c>
      <c r="P609" t="str">
        <f>VLOOKUP(Продажи[[#This Row],[id клиента]],Таблица4[#All],7,FALSE)</f>
        <v>Беларусь</v>
      </c>
    </row>
    <row r="610" spans="1:16" x14ac:dyDescent="0.25">
      <c r="A610">
        <v>609</v>
      </c>
      <c r="B610">
        <v>415</v>
      </c>
      <c r="C610">
        <v>350</v>
      </c>
      <c r="D610">
        <v>1</v>
      </c>
      <c r="E610">
        <v>350</v>
      </c>
      <c r="F610" s="23">
        <v>45358</v>
      </c>
      <c r="G610" t="s">
        <v>8</v>
      </c>
      <c r="H610">
        <v>199</v>
      </c>
      <c r="I610" t="str">
        <f>VLOOKUP(Продажи[[#This Row],[id товара]],Товары[#All],2,FALSE)</f>
        <v>Чипсы</v>
      </c>
      <c r="J610" s="19">
        <f>AVERAGEIF(Продажи[Категория товара],Продажи[[#This Row],[Категория товара]],Продажи[цена за шт в рублях])</f>
        <v>273.72549019607845</v>
      </c>
      <c r="K610" s="20">
        <f>Продажи[[#This Row],[цена за шт в рублях]]/Продажи[[#This Row],[Средняя цена в категории за шт]]-1</f>
        <v>0.27865329512893977</v>
      </c>
      <c r="L610" t="str">
        <f>VLOOKUP(Продажи[[#This Row],[id товара]],Товары[#All],3,FALSE)</f>
        <v>Pringles</v>
      </c>
      <c r="M6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610" s="23">
        <f>VLOOKUP(Продажи[[#This Row],[id клиента]],Таблица4[#All],5,FALSE)</f>
        <v>44715</v>
      </c>
      <c r="O610">
        <f>Продажи[[#This Row],[дата создания чека]]-Продажи[[#This Row],[Дата регистрации клиентов]]</f>
        <v>643</v>
      </c>
      <c r="P610" t="str">
        <f>VLOOKUP(Продажи[[#This Row],[id клиента]],Таблица4[#All],7,FALSE)</f>
        <v>Узбекистан</v>
      </c>
    </row>
    <row r="611" spans="1:16" x14ac:dyDescent="0.25">
      <c r="A611">
        <v>610</v>
      </c>
      <c r="B611">
        <v>315</v>
      </c>
      <c r="C611">
        <v>232</v>
      </c>
      <c r="D611">
        <v>1</v>
      </c>
      <c r="E611">
        <v>232</v>
      </c>
      <c r="F611" s="23">
        <v>44929</v>
      </c>
      <c r="G611" t="s">
        <v>13</v>
      </c>
      <c r="H611">
        <v>247</v>
      </c>
      <c r="I611" t="str">
        <f>VLOOKUP(Продажи[[#This Row],[id товара]],Товары[#All],2,FALSE)</f>
        <v>Йогурт</v>
      </c>
      <c r="J611" s="19">
        <f>AVERAGEIF(Продажи[Категория товара],Продажи[[#This Row],[Категория товара]],Продажи[цена за шт в рублях])</f>
        <v>263.25423728813558</v>
      </c>
      <c r="K611" s="20">
        <f>Продажи[[#This Row],[цена за шт в рублях]]/Продажи[[#This Row],[Средняя цена в категории за шт]]-1</f>
        <v>-0.11872263713623488</v>
      </c>
      <c r="L611" t="str">
        <f>VLOOKUP(Продажи[[#This Row],[id товара]],Товары[#All],3,FALSE)</f>
        <v>Чудо</v>
      </c>
      <c r="M6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611" s="23">
        <f>VLOOKUP(Продажи[[#This Row],[id клиента]],Таблица4[#All],5,FALSE)</f>
        <v>44762</v>
      </c>
      <c r="O611">
        <f>Продажи[[#This Row],[дата создания чека]]-Продажи[[#This Row],[Дата регистрации клиентов]]</f>
        <v>167</v>
      </c>
      <c r="P611" t="str">
        <f>VLOOKUP(Продажи[[#This Row],[id клиента]],Таблица4[#All],7,FALSE)</f>
        <v>Узбекистан</v>
      </c>
    </row>
    <row r="612" spans="1:16" x14ac:dyDescent="0.25">
      <c r="A612">
        <v>611</v>
      </c>
      <c r="B612">
        <v>25</v>
      </c>
      <c r="C612">
        <v>222</v>
      </c>
      <c r="D612">
        <v>1</v>
      </c>
      <c r="E612">
        <v>222</v>
      </c>
      <c r="F612" s="23">
        <v>45245</v>
      </c>
      <c r="G612" t="s">
        <v>11</v>
      </c>
      <c r="H612">
        <v>364</v>
      </c>
      <c r="I612" t="str">
        <f>VLOOKUP(Продажи[[#This Row],[id товара]],Товары[#All],2,FALSE)</f>
        <v>Чипсы</v>
      </c>
      <c r="J612" s="19">
        <f>AVERAGEIF(Продажи[Категория товара],Продажи[[#This Row],[Категория товара]],Продажи[цена за шт в рублях])</f>
        <v>273.72549019607845</v>
      </c>
      <c r="K612" s="20">
        <f>Продажи[[#This Row],[цена за шт в рублях]]/Продажи[[#This Row],[Средняя цена в категории за шт]]-1</f>
        <v>-0.18896848137535827</v>
      </c>
      <c r="L612" t="str">
        <f>VLOOKUP(Продажи[[#This Row],[id товара]],Товары[#All],3,FALSE)</f>
        <v>Русская картошка</v>
      </c>
      <c r="M6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612" s="23">
        <f>VLOOKUP(Продажи[[#This Row],[id клиента]],Таблица4[#All],5,FALSE)</f>
        <v>44883</v>
      </c>
      <c r="O612">
        <f>Продажи[[#This Row],[дата создания чека]]-Продажи[[#This Row],[Дата регистрации клиентов]]</f>
        <v>362</v>
      </c>
      <c r="P612" t="str">
        <f>VLOOKUP(Продажи[[#This Row],[id клиента]],Таблица4[#All],7,FALSE)</f>
        <v>Россия</v>
      </c>
    </row>
    <row r="613" spans="1:16" x14ac:dyDescent="0.25">
      <c r="A613">
        <v>612</v>
      </c>
      <c r="B613">
        <v>207</v>
      </c>
      <c r="C613">
        <v>152</v>
      </c>
      <c r="D613">
        <v>3</v>
      </c>
      <c r="E613">
        <v>456</v>
      </c>
      <c r="F613" s="23">
        <v>45222</v>
      </c>
      <c r="G613" t="s">
        <v>11</v>
      </c>
      <c r="H613">
        <v>173</v>
      </c>
      <c r="I613" t="str">
        <f>VLOOKUP(Продажи[[#This Row],[id товара]],Товары[#All],2,FALSE)</f>
        <v>Сахар</v>
      </c>
      <c r="J613" s="19">
        <f>AVERAGEIF(Продажи[Категория товара],Продажи[[#This Row],[Категория товара]],Продажи[цена за шт в рублях])</f>
        <v>252.76271186440678</v>
      </c>
      <c r="K613" s="20">
        <f>Продажи[[#This Row],[цена за шт в рублях]]/Продажи[[#This Row],[Средняя цена в категории за шт]]-1</f>
        <v>-0.39864547710051634</v>
      </c>
      <c r="L613" t="str">
        <f>VLOOKUP(Продажи[[#This Row],[id товара]],Товары[#All],3,FALSE)</f>
        <v>Агросахар</v>
      </c>
      <c r="M6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613" s="23">
        <f>VLOOKUP(Продажи[[#This Row],[id клиента]],Таблица4[#All],5,FALSE)</f>
        <v>44673</v>
      </c>
      <c r="O613">
        <f>Продажи[[#This Row],[дата создания чека]]-Продажи[[#This Row],[Дата регистрации клиентов]]</f>
        <v>549</v>
      </c>
      <c r="P613" t="str">
        <f>VLOOKUP(Продажи[[#This Row],[id клиента]],Таблица4[#All],7,FALSE)</f>
        <v>Россия</v>
      </c>
    </row>
    <row r="614" spans="1:16" x14ac:dyDescent="0.25">
      <c r="A614">
        <v>613</v>
      </c>
      <c r="B614">
        <v>180</v>
      </c>
      <c r="C614">
        <v>284</v>
      </c>
      <c r="D614">
        <v>1</v>
      </c>
      <c r="E614">
        <v>284</v>
      </c>
      <c r="F614" s="23">
        <v>45267</v>
      </c>
      <c r="G614" t="s">
        <v>9</v>
      </c>
      <c r="H614">
        <v>485</v>
      </c>
      <c r="I614" t="str">
        <f>VLOOKUP(Продажи[[#This Row],[id товара]],Товары[#All],2,FALSE)</f>
        <v>Чипсы</v>
      </c>
      <c r="J614" s="19">
        <f>AVERAGEIF(Продажи[Категория товара],Продажи[[#This Row],[Категория товара]],Продажи[цена за шт в рублях])</f>
        <v>273.72549019607845</v>
      </c>
      <c r="K614" s="20">
        <f>Продажи[[#This Row],[цена за шт в рублях]]/Продажи[[#This Row],[Средняя цена в категории за шт]]-1</f>
        <v>3.7535816618911033E-2</v>
      </c>
      <c r="L614" t="str">
        <f>VLOOKUP(Продажи[[#This Row],[id товара]],Товары[#All],3,FALSE)</f>
        <v>Русская картошка</v>
      </c>
      <c r="M6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614" s="23">
        <f>VLOOKUP(Продажи[[#This Row],[id клиента]],Таблица4[#All],5,FALSE)</f>
        <v>44723</v>
      </c>
      <c r="O614">
        <f>Продажи[[#This Row],[дата создания чека]]-Продажи[[#This Row],[Дата регистрации клиентов]]</f>
        <v>544</v>
      </c>
      <c r="P614" t="str">
        <f>VLOOKUP(Продажи[[#This Row],[id клиента]],Таблица4[#All],7,FALSE)</f>
        <v>Россия</v>
      </c>
    </row>
    <row r="615" spans="1:16" x14ac:dyDescent="0.25">
      <c r="A615">
        <v>614</v>
      </c>
      <c r="B615">
        <v>117</v>
      </c>
      <c r="C615">
        <v>208</v>
      </c>
      <c r="D615">
        <v>3</v>
      </c>
      <c r="E615">
        <v>624</v>
      </c>
      <c r="F615" s="23">
        <v>45397</v>
      </c>
      <c r="G615" t="s">
        <v>8</v>
      </c>
      <c r="H615">
        <v>401</v>
      </c>
      <c r="I615" t="str">
        <f>VLOOKUP(Продажи[[#This Row],[id товара]],Товары[#All],2,FALSE)</f>
        <v>Макароны</v>
      </c>
      <c r="J615" s="19">
        <f>AVERAGEIF(Продажи[Категория товара],Продажи[[#This Row],[Категория товара]],Продажи[цена за шт в рублях])</f>
        <v>265.47674418604652</v>
      </c>
      <c r="K615" s="20">
        <f>Продажи[[#This Row],[цена за шт в рублях]]/Продажи[[#This Row],[Средняя цена в категории за шт]]-1</f>
        <v>-0.21650387630852785</v>
      </c>
      <c r="L615" t="str">
        <f>VLOOKUP(Продажи[[#This Row],[id товара]],Товары[#All],3,FALSE)</f>
        <v>Роллтон</v>
      </c>
      <c r="M6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615" s="23">
        <f>VLOOKUP(Продажи[[#This Row],[id клиента]],Таблица4[#All],5,FALSE)</f>
        <v>44856</v>
      </c>
      <c r="O615">
        <f>Продажи[[#This Row],[дата создания чека]]-Продажи[[#This Row],[Дата регистрации клиентов]]</f>
        <v>541</v>
      </c>
      <c r="P615" t="str">
        <f>VLOOKUP(Продажи[[#This Row],[id клиента]],Таблица4[#All],7,FALSE)</f>
        <v>Россия</v>
      </c>
    </row>
    <row r="616" spans="1:16" x14ac:dyDescent="0.25">
      <c r="A616">
        <v>615</v>
      </c>
      <c r="B616">
        <v>211</v>
      </c>
      <c r="C616">
        <v>338</v>
      </c>
      <c r="D616">
        <v>4</v>
      </c>
      <c r="E616">
        <v>1352</v>
      </c>
      <c r="F616" s="23">
        <v>45227</v>
      </c>
      <c r="G616" t="s">
        <v>11</v>
      </c>
      <c r="H616">
        <v>379</v>
      </c>
      <c r="I616" t="str">
        <f>VLOOKUP(Продажи[[#This Row],[id товара]],Товары[#All],2,FALSE)</f>
        <v>Овощи</v>
      </c>
      <c r="J616" s="19">
        <f>AVERAGEIF(Продажи[Категория товара],Продажи[[#This Row],[Категория товара]],Продажи[цена за шт в рублях])</f>
        <v>250.48780487804879</v>
      </c>
      <c r="K616" s="20">
        <f>Продажи[[#This Row],[цена за шт в рублях]]/Продажи[[#This Row],[Средняя цена в категории за шт]]-1</f>
        <v>0.3493670886075948</v>
      </c>
      <c r="L616" t="str">
        <f>VLOOKUP(Продажи[[#This Row],[id товара]],Товары[#All],3,FALSE)</f>
        <v>Овощной ряд</v>
      </c>
      <c r="M6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616" s="23">
        <f>VLOOKUP(Продажи[[#This Row],[id клиента]],Таблица4[#All],5,FALSE)</f>
        <v>44581</v>
      </c>
      <c r="O616">
        <f>Продажи[[#This Row],[дата создания чека]]-Продажи[[#This Row],[Дата регистрации клиентов]]</f>
        <v>646</v>
      </c>
      <c r="P616" t="str">
        <f>VLOOKUP(Продажи[[#This Row],[id клиента]],Таблица4[#All],7,FALSE)</f>
        <v>Таджикистан</v>
      </c>
    </row>
    <row r="617" spans="1:16" x14ac:dyDescent="0.25">
      <c r="A617">
        <v>616</v>
      </c>
      <c r="B617">
        <v>26</v>
      </c>
      <c r="C617">
        <v>143</v>
      </c>
      <c r="D617">
        <v>2</v>
      </c>
      <c r="E617">
        <v>286</v>
      </c>
      <c r="F617" s="23">
        <v>45397</v>
      </c>
      <c r="G617" t="s">
        <v>22</v>
      </c>
      <c r="H617">
        <v>183</v>
      </c>
      <c r="I617" t="str">
        <f>VLOOKUP(Продажи[[#This Row],[id товара]],Товары[#All],2,FALSE)</f>
        <v>Мясо</v>
      </c>
      <c r="J617" s="19">
        <f>AVERAGEIF(Продажи[Категория товара],Продажи[[#This Row],[Категория товара]],Продажи[цена за шт в рублях])</f>
        <v>271.74545454545455</v>
      </c>
      <c r="K617" s="20">
        <f>Продажи[[#This Row],[цена за шт в рублях]]/Продажи[[#This Row],[Средняя цена в категории за шт]]-1</f>
        <v>-0.47377224675498464</v>
      </c>
      <c r="L617" t="str">
        <f>VLOOKUP(Продажи[[#This Row],[id товара]],Товары[#All],3,FALSE)</f>
        <v>Сава</v>
      </c>
      <c r="M6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617" s="23">
        <f>VLOOKUP(Продажи[[#This Row],[id клиента]],Таблица4[#All],5,FALSE)</f>
        <v>44900</v>
      </c>
      <c r="O617">
        <f>Продажи[[#This Row],[дата создания чека]]-Продажи[[#This Row],[Дата регистрации клиентов]]</f>
        <v>497</v>
      </c>
      <c r="P617" t="str">
        <f>VLOOKUP(Продажи[[#This Row],[id клиента]],Таблица4[#All],7,FALSE)</f>
        <v>Таджикистан</v>
      </c>
    </row>
    <row r="618" spans="1:16" x14ac:dyDescent="0.25">
      <c r="A618">
        <v>617</v>
      </c>
      <c r="B618">
        <v>22</v>
      </c>
      <c r="C618">
        <v>217</v>
      </c>
      <c r="D618">
        <v>3</v>
      </c>
      <c r="E618">
        <v>651</v>
      </c>
      <c r="F618" s="23">
        <v>45094</v>
      </c>
      <c r="G618" t="s">
        <v>20</v>
      </c>
      <c r="H618">
        <v>37</v>
      </c>
      <c r="I618" t="str">
        <f>VLOOKUP(Продажи[[#This Row],[id товара]],Товары[#All],2,FALSE)</f>
        <v>Конфеты</v>
      </c>
      <c r="J618" s="19">
        <f>AVERAGEIF(Продажи[Категория товара],Продажи[[#This Row],[Категория товара]],Продажи[цена за шт в рублях])</f>
        <v>267.85483870967744</v>
      </c>
      <c r="K618" s="20">
        <f>Продажи[[#This Row],[цена за шт в рублях]]/Продажи[[#This Row],[Средняя цена в категории за шт]]-1</f>
        <v>-0.18985969771782985</v>
      </c>
      <c r="L618" t="str">
        <f>VLOOKUP(Продажи[[#This Row],[id товара]],Товары[#All],3,FALSE)</f>
        <v>Бабаевский</v>
      </c>
      <c r="M6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618" s="23">
        <f>VLOOKUP(Продажи[[#This Row],[id клиента]],Таблица4[#All],5,FALSE)</f>
        <v>44728</v>
      </c>
      <c r="O618">
        <f>Продажи[[#This Row],[дата создания чека]]-Продажи[[#This Row],[Дата регистрации клиентов]]</f>
        <v>366</v>
      </c>
      <c r="P618" t="str">
        <f>VLOOKUP(Продажи[[#This Row],[id клиента]],Таблица4[#All],7,FALSE)</f>
        <v>Украина</v>
      </c>
    </row>
    <row r="619" spans="1:16" x14ac:dyDescent="0.25">
      <c r="A619">
        <v>618</v>
      </c>
      <c r="B619">
        <v>150</v>
      </c>
      <c r="C619">
        <v>347</v>
      </c>
      <c r="D619">
        <v>3</v>
      </c>
      <c r="E619">
        <v>1041</v>
      </c>
      <c r="F619" s="23">
        <v>44979</v>
      </c>
      <c r="G619" t="s">
        <v>10</v>
      </c>
      <c r="H619">
        <v>201</v>
      </c>
      <c r="I619" t="str">
        <f>VLOOKUP(Продажи[[#This Row],[id товара]],Товары[#All],2,FALSE)</f>
        <v>Рыба</v>
      </c>
      <c r="J619" s="19">
        <f>AVERAGEIF(Продажи[Категория товара],Продажи[[#This Row],[Категория товара]],Продажи[цена за шт в рублях])</f>
        <v>258.5128205128205</v>
      </c>
      <c r="K619" s="20">
        <f>Продажи[[#This Row],[цена за шт в рублях]]/Продажи[[#This Row],[Средняя цена в категории за шт]]-1</f>
        <v>0.34229319579448525</v>
      </c>
      <c r="L619" t="str">
        <f>VLOOKUP(Продажи[[#This Row],[id товара]],Товары[#All],3,FALSE)</f>
        <v>Меридиан</v>
      </c>
      <c r="M6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619" s="23">
        <f>VLOOKUP(Продажи[[#This Row],[id клиента]],Таблица4[#All],5,FALSE)</f>
        <v>44843</v>
      </c>
      <c r="O619">
        <f>Продажи[[#This Row],[дата создания чека]]-Продажи[[#This Row],[Дата регистрации клиентов]]</f>
        <v>136</v>
      </c>
      <c r="P619" t="str">
        <f>VLOOKUP(Продажи[[#This Row],[id клиента]],Таблица4[#All],7,FALSE)</f>
        <v>Таджикистан</v>
      </c>
    </row>
    <row r="620" spans="1:16" x14ac:dyDescent="0.25">
      <c r="A620">
        <v>619</v>
      </c>
      <c r="B620">
        <v>268</v>
      </c>
      <c r="C620">
        <v>55</v>
      </c>
      <c r="D620">
        <v>2</v>
      </c>
      <c r="E620">
        <v>110</v>
      </c>
      <c r="F620" s="23">
        <v>45213</v>
      </c>
      <c r="G620" t="s">
        <v>19</v>
      </c>
      <c r="H620">
        <v>424</v>
      </c>
      <c r="I620" t="str">
        <f>VLOOKUP(Продажи[[#This Row],[id товара]],Товары[#All],2,FALSE)</f>
        <v>Рис</v>
      </c>
      <c r="J620" s="19">
        <f>AVERAGEIF(Продажи[Категория товара],Продажи[[#This Row],[Категория товара]],Продажи[цена за шт в рублях])</f>
        <v>258.375</v>
      </c>
      <c r="K620" s="20">
        <f>Продажи[[#This Row],[цена за шт в рублях]]/Продажи[[#This Row],[Средняя цена в категории за шт]]-1</f>
        <v>-0.78713110788582485</v>
      </c>
      <c r="L620" t="str">
        <f>VLOOKUP(Продажи[[#This Row],[id товара]],Товары[#All],3,FALSE)</f>
        <v>Мистраль</v>
      </c>
      <c r="M6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620" s="23">
        <f>VLOOKUP(Продажи[[#This Row],[id клиента]],Таблица4[#All],5,FALSE)</f>
        <v>44585</v>
      </c>
      <c r="O620">
        <f>Продажи[[#This Row],[дата создания чека]]-Продажи[[#This Row],[Дата регистрации клиентов]]</f>
        <v>628</v>
      </c>
      <c r="P620" t="str">
        <f>VLOOKUP(Продажи[[#This Row],[id клиента]],Таблица4[#All],7,FALSE)</f>
        <v>Россия</v>
      </c>
    </row>
    <row r="621" spans="1:16" x14ac:dyDescent="0.25">
      <c r="A621">
        <v>620</v>
      </c>
      <c r="B621">
        <v>67</v>
      </c>
      <c r="C621">
        <v>142</v>
      </c>
      <c r="D621">
        <v>4</v>
      </c>
      <c r="E621">
        <v>568</v>
      </c>
      <c r="F621" s="23">
        <v>45256</v>
      </c>
      <c r="G621" t="s">
        <v>8</v>
      </c>
      <c r="H621">
        <v>69</v>
      </c>
      <c r="I621" t="str">
        <f>VLOOKUP(Продажи[[#This Row],[id товара]],Товары[#All],2,FALSE)</f>
        <v>Йогурт</v>
      </c>
      <c r="J621" s="19">
        <f>AVERAGEIF(Продажи[Категория товара],Продажи[[#This Row],[Категория товара]],Продажи[цена за шт в рублях])</f>
        <v>263.25423728813558</v>
      </c>
      <c r="K621" s="20">
        <f>Продажи[[#This Row],[цена за шт в рублях]]/Продажи[[#This Row],[Средняя цена в категории за шт]]-1</f>
        <v>-0.46059747617821267</v>
      </c>
      <c r="L621" t="str">
        <f>VLOOKUP(Продажи[[#This Row],[id товара]],Товары[#All],3,FALSE)</f>
        <v>Чудо</v>
      </c>
      <c r="M6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621" s="23">
        <f>VLOOKUP(Продажи[[#This Row],[id клиента]],Таблица4[#All],5,FALSE)</f>
        <v>44587</v>
      </c>
      <c r="O621">
        <f>Продажи[[#This Row],[дата создания чека]]-Продажи[[#This Row],[Дата регистрации клиентов]]</f>
        <v>669</v>
      </c>
      <c r="P621" t="str">
        <f>VLOOKUP(Продажи[[#This Row],[id клиента]],Таблица4[#All],7,FALSE)</f>
        <v>Таджикистан</v>
      </c>
    </row>
    <row r="622" spans="1:16" x14ac:dyDescent="0.25">
      <c r="A622">
        <v>621</v>
      </c>
      <c r="B622">
        <v>453</v>
      </c>
      <c r="C622">
        <v>459</v>
      </c>
      <c r="D622">
        <v>1</v>
      </c>
      <c r="E622">
        <v>459</v>
      </c>
      <c r="F622" s="23">
        <v>45136</v>
      </c>
      <c r="G622" t="s">
        <v>15</v>
      </c>
      <c r="H622">
        <v>498</v>
      </c>
      <c r="I622" t="str">
        <f>VLOOKUP(Продажи[[#This Row],[id товара]],Товары[#All],2,FALSE)</f>
        <v>Макароны</v>
      </c>
      <c r="J622" s="19">
        <f>AVERAGEIF(Продажи[Категория товара],Продажи[[#This Row],[Категория товара]],Продажи[цена за шт в рублях])</f>
        <v>265.47674418604652</v>
      </c>
      <c r="K622" s="20">
        <f>Продажи[[#This Row],[цена за шт в рублях]]/Продажи[[#This Row],[Средняя цена в категории за шт]]-1</f>
        <v>0.72896500372300821</v>
      </c>
      <c r="L622" t="str">
        <f>VLOOKUP(Продажи[[#This Row],[id товара]],Товары[#All],3,FALSE)</f>
        <v>Макфа</v>
      </c>
      <c r="M6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622" s="23">
        <f>VLOOKUP(Продажи[[#This Row],[id клиента]],Таблица4[#All],5,FALSE)</f>
        <v>44721</v>
      </c>
      <c r="O622">
        <f>Продажи[[#This Row],[дата создания чека]]-Продажи[[#This Row],[Дата регистрации клиентов]]</f>
        <v>415</v>
      </c>
      <c r="P622" t="str">
        <f>VLOOKUP(Продажи[[#This Row],[id клиента]],Таблица4[#All],7,FALSE)</f>
        <v>Украина</v>
      </c>
    </row>
    <row r="623" spans="1:16" x14ac:dyDescent="0.25">
      <c r="A623">
        <v>622</v>
      </c>
      <c r="B623">
        <v>191</v>
      </c>
      <c r="C623">
        <v>58</v>
      </c>
      <c r="D623">
        <v>1</v>
      </c>
      <c r="E623">
        <v>58</v>
      </c>
      <c r="F623" s="23">
        <v>44981</v>
      </c>
      <c r="G623" t="s">
        <v>19</v>
      </c>
      <c r="H623">
        <v>237</v>
      </c>
      <c r="I623" t="str">
        <f>VLOOKUP(Продажи[[#This Row],[id товара]],Товары[#All],2,FALSE)</f>
        <v>Колбаса</v>
      </c>
      <c r="J623" s="19">
        <f>AVERAGEIF(Продажи[Категория товара],Продажи[[#This Row],[Категория товара]],Продажи[цена за шт в рублях])</f>
        <v>286.92307692307691</v>
      </c>
      <c r="K623" s="20">
        <f>Продажи[[#This Row],[цена за шт в рублях]]/Продажи[[#This Row],[Средняя цена в категории за шт]]-1</f>
        <v>-0.79785522788203755</v>
      </c>
      <c r="L623" t="str">
        <f>VLOOKUP(Продажи[[#This Row],[id товара]],Товары[#All],3,FALSE)</f>
        <v>Окраина</v>
      </c>
      <c r="M6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623" s="23">
        <f>VLOOKUP(Продажи[[#This Row],[id клиента]],Таблица4[#All],5,FALSE)</f>
        <v>44886</v>
      </c>
      <c r="O623">
        <f>Продажи[[#This Row],[дата создания чека]]-Продажи[[#This Row],[Дата регистрации клиентов]]</f>
        <v>95</v>
      </c>
      <c r="P623" t="str">
        <f>VLOOKUP(Продажи[[#This Row],[id клиента]],Таблица4[#All],7,FALSE)</f>
        <v>Россия</v>
      </c>
    </row>
    <row r="624" spans="1:16" x14ac:dyDescent="0.25">
      <c r="A624">
        <v>623</v>
      </c>
      <c r="B624">
        <v>49</v>
      </c>
      <c r="C624">
        <v>465</v>
      </c>
      <c r="D624">
        <v>2</v>
      </c>
      <c r="E624">
        <v>930</v>
      </c>
      <c r="F624" s="23">
        <v>45150</v>
      </c>
      <c r="G624" t="s">
        <v>10</v>
      </c>
      <c r="H624">
        <v>365</v>
      </c>
      <c r="I624" t="str">
        <f>VLOOKUP(Продажи[[#This Row],[id товара]],Товары[#All],2,FALSE)</f>
        <v>Рис</v>
      </c>
      <c r="J624" s="19">
        <f>AVERAGEIF(Продажи[Категория товара],Продажи[[#This Row],[Категория товара]],Продажи[цена за шт в рублях])</f>
        <v>258.375</v>
      </c>
      <c r="K624" s="20">
        <f>Продажи[[#This Row],[цена за шт в рублях]]/Продажи[[#This Row],[Средняя цена в категории за шт]]-1</f>
        <v>0.79970972423802622</v>
      </c>
      <c r="L624" t="str">
        <f>VLOOKUP(Продажи[[#This Row],[id товара]],Товары[#All],3,FALSE)</f>
        <v>Агро-Альянс</v>
      </c>
      <c r="M6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317.85714285714283</v>
      </c>
      <c r="N624" s="23">
        <f>VLOOKUP(Продажи[[#This Row],[id клиента]],Таблица4[#All],5,FALSE)</f>
        <v>44841</v>
      </c>
      <c r="O624">
        <f>Продажи[[#This Row],[дата создания чека]]-Продажи[[#This Row],[Дата регистрации клиентов]]</f>
        <v>309</v>
      </c>
      <c r="P624" t="str">
        <f>VLOOKUP(Продажи[[#This Row],[id клиента]],Таблица4[#All],7,FALSE)</f>
        <v>Беларусь</v>
      </c>
    </row>
    <row r="625" spans="1:16" x14ac:dyDescent="0.25">
      <c r="A625">
        <v>624</v>
      </c>
      <c r="B625">
        <v>313</v>
      </c>
      <c r="C625">
        <v>152</v>
      </c>
      <c r="D625">
        <v>1</v>
      </c>
      <c r="E625">
        <v>152</v>
      </c>
      <c r="F625" s="23">
        <v>45014</v>
      </c>
      <c r="G625" t="s">
        <v>16</v>
      </c>
      <c r="H625">
        <v>127</v>
      </c>
      <c r="I625" t="str">
        <f>VLOOKUP(Продажи[[#This Row],[id товара]],Товары[#All],2,FALSE)</f>
        <v>Конфеты</v>
      </c>
      <c r="J625" s="19">
        <f>AVERAGEIF(Продажи[Категория товара],Продажи[[#This Row],[Категория товара]],Продажи[цена за шт в рублях])</f>
        <v>267.85483870967744</v>
      </c>
      <c r="K625" s="20">
        <f>Продажи[[#This Row],[цена за шт в рублях]]/Продажи[[#This Row],[Средняя цена в категории за шт]]-1</f>
        <v>-0.43252845185765043</v>
      </c>
      <c r="L625" t="str">
        <f>VLOOKUP(Продажи[[#This Row],[id товара]],Товары[#All],3,FALSE)</f>
        <v>Бабаевский</v>
      </c>
      <c r="M6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625" s="23">
        <f>VLOOKUP(Продажи[[#This Row],[id клиента]],Таблица4[#All],5,FALSE)</f>
        <v>44914</v>
      </c>
      <c r="O625">
        <f>Продажи[[#This Row],[дата создания чека]]-Продажи[[#This Row],[Дата регистрации клиентов]]</f>
        <v>100</v>
      </c>
      <c r="P625" t="str">
        <f>VLOOKUP(Продажи[[#This Row],[id клиента]],Таблица4[#All],7,FALSE)</f>
        <v>Украина</v>
      </c>
    </row>
    <row r="626" spans="1:16" x14ac:dyDescent="0.25">
      <c r="A626">
        <v>625</v>
      </c>
      <c r="B626">
        <v>245</v>
      </c>
      <c r="C626">
        <v>144</v>
      </c>
      <c r="D626">
        <v>4</v>
      </c>
      <c r="E626">
        <v>576</v>
      </c>
      <c r="F626" s="23">
        <v>45206</v>
      </c>
      <c r="G626" t="s">
        <v>23</v>
      </c>
      <c r="H626">
        <v>314</v>
      </c>
      <c r="I626" t="str">
        <f>VLOOKUP(Продажи[[#This Row],[id товара]],Товары[#All],2,FALSE)</f>
        <v>Сахар</v>
      </c>
      <c r="J626" s="19">
        <f>AVERAGEIF(Продажи[Категория товара],Продажи[[#This Row],[Категория товара]],Продажи[цена за шт в рублях])</f>
        <v>252.76271186440678</v>
      </c>
      <c r="K626" s="20">
        <f>Продажи[[#This Row],[цена за шт в рублях]]/Продажи[[#This Row],[Средняя цена в категории за шт]]-1</f>
        <v>-0.43029571514785758</v>
      </c>
      <c r="L626" t="str">
        <f>VLOOKUP(Продажи[[#This Row],[id товара]],Товары[#All],3,FALSE)</f>
        <v>Продимекс</v>
      </c>
      <c r="M6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626" s="23">
        <f>VLOOKUP(Продажи[[#This Row],[id клиента]],Таблица4[#All],5,FALSE)</f>
        <v>44899</v>
      </c>
      <c r="O626">
        <f>Продажи[[#This Row],[дата создания чека]]-Продажи[[#This Row],[Дата регистрации клиентов]]</f>
        <v>307</v>
      </c>
      <c r="P626" t="str">
        <f>VLOOKUP(Продажи[[#This Row],[id клиента]],Таблица4[#All],7,FALSE)</f>
        <v>Россия</v>
      </c>
    </row>
    <row r="627" spans="1:16" x14ac:dyDescent="0.25">
      <c r="A627">
        <v>626</v>
      </c>
      <c r="B627">
        <v>194</v>
      </c>
      <c r="C627">
        <v>478</v>
      </c>
      <c r="D627">
        <v>3</v>
      </c>
      <c r="E627">
        <v>1434</v>
      </c>
      <c r="F627" s="23">
        <v>44960</v>
      </c>
      <c r="G627" t="s">
        <v>16</v>
      </c>
      <c r="H627">
        <v>403</v>
      </c>
      <c r="I627" t="str">
        <f>VLOOKUP(Продажи[[#This Row],[id товара]],Товары[#All],2,FALSE)</f>
        <v>Соль</v>
      </c>
      <c r="J627" s="19">
        <f>AVERAGEIF(Продажи[Категория товара],Продажи[[#This Row],[Категория товара]],Продажи[цена за шт в рублях])</f>
        <v>264.8679245283019</v>
      </c>
      <c r="K627" s="20">
        <f>Продажи[[#This Row],[цена за шт в рублях]]/Продажи[[#This Row],[Средняя цена в категории за шт]]-1</f>
        <v>0.80467303034620308</v>
      </c>
      <c r="L627" t="str">
        <f>VLOOKUP(Продажи[[#This Row],[id товара]],Товары[#All],3,FALSE)</f>
        <v>Салта</v>
      </c>
      <c r="M6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627" s="23">
        <f>VLOOKUP(Продажи[[#This Row],[id клиента]],Таблица4[#All],5,FALSE)</f>
        <v>44594</v>
      </c>
      <c r="O627">
        <f>Продажи[[#This Row],[дата создания чека]]-Продажи[[#This Row],[Дата регистрации клиентов]]</f>
        <v>366</v>
      </c>
      <c r="P627" t="str">
        <f>VLOOKUP(Продажи[[#This Row],[id клиента]],Таблица4[#All],7,FALSE)</f>
        <v>Россия</v>
      </c>
    </row>
    <row r="628" spans="1:16" x14ac:dyDescent="0.25">
      <c r="A628">
        <v>627</v>
      </c>
      <c r="B628">
        <v>154</v>
      </c>
      <c r="C628">
        <v>75</v>
      </c>
      <c r="D628">
        <v>1</v>
      </c>
      <c r="E628">
        <v>75</v>
      </c>
      <c r="F628" s="23">
        <v>45378</v>
      </c>
      <c r="G628" t="s">
        <v>14</v>
      </c>
      <c r="H628">
        <v>255</v>
      </c>
      <c r="I628" t="str">
        <f>VLOOKUP(Продажи[[#This Row],[id товара]],Товары[#All],2,FALSE)</f>
        <v>Овощи</v>
      </c>
      <c r="J628" s="19">
        <f>AVERAGEIF(Продажи[Категория товара],Продажи[[#This Row],[Категория товара]],Продажи[цена за шт в рублях])</f>
        <v>250.48780487804879</v>
      </c>
      <c r="K628" s="20">
        <f>Продажи[[#This Row],[цена за шт в рублях]]/Продажи[[#This Row],[Средняя цена в категории за шт]]-1</f>
        <v>-0.70058422590068159</v>
      </c>
      <c r="L628" t="str">
        <f>VLOOKUP(Продажи[[#This Row],[id товара]],Товары[#All],3,FALSE)</f>
        <v>Зеленая грядка</v>
      </c>
      <c r="M6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159.19999999999999</v>
      </c>
      <c r="N628" s="23">
        <f>VLOOKUP(Продажи[[#This Row],[id клиента]],Таблица4[#All],5,FALSE)</f>
        <v>44793</v>
      </c>
      <c r="O628">
        <f>Продажи[[#This Row],[дата создания чека]]-Продажи[[#This Row],[Дата регистрации клиентов]]</f>
        <v>585</v>
      </c>
      <c r="P628" t="str">
        <f>VLOOKUP(Продажи[[#This Row],[id клиента]],Таблица4[#All],7,FALSE)</f>
        <v>Украина</v>
      </c>
    </row>
    <row r="629" spans="1:16" x14ac:dyDescent="0.25">
      <c r="A629">
        <v>628</v>
      </c>
      <c r="B629">
        <v>462</v>
      </c>
      <c r="C629">
        <v>147</v>
      </c>
      <c r="D629">
        <v>5</v>
      </c>
      <c r="E629">
        <v>735</v>
      </c>
      <c r="F629" s="23">
        <v>45113</v>
      </c>
      <c r="G629" t="s">
        <v>23</v>
      </c>
      <c r="H629">
        <v>229</v>
      </c>
      <c r="I629" t="str">
        <f>VLOOKUP(Продажи[[#This Row],[id товара]],Товары[#All],2,FALSE)</f>
        <v>Рис</v>
      </c>
      <c r="J629" s="19">
        <f>AVERAGEIF(Продажи[Категория товара],Продажи[[#This Row],[Категория товара]],Продажи[цена за шт в рублях])</f>
        <v>258.375</v>
      </c>
      <c r="K629" s="20">
        <f>Продажи[[#This Row],[цена за шт в рублях]]/Продажи[[#This Row],[Средняя цена в категории за шт]]-1</f>
        <v>-0.43105950653120462</v>
      </c>
      <c r="L629" t="str">
        <f>VLOOKUP(Продажи[[#This Row],[id товара]],Товары[#All],3,FALSE)</f>
        <v>Белый Злат</v>
      </c>
      <c r="M6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629" s="23">
        <f>VLOOKUP(Продажи[[#This Row],[id клиента]],Таблица4[#All],5,FALSE)</f>
        <v>44766</v>
      </c>
      <c r="O629">
        <f>Продажи[[#This Row],[дата создания чека]]-Продажи[[#This Row],[Дата регистрации клиентов]]</f>
        <v>347</v>
      </c>
      <c r="P629" t="str">
        <f>VLOOKUP(Продажи[[#This Row],[id клиента]],Таблица4[#All],7,FALSE)</f>
        <v>Беларусь</v>
      </c>
    </row>
    <row r="630" spans="1:16" x14ac:dyDescent="0.25">
      <c r="A630">
        <v>629</v>
      </c>
      <c r="B630">
        <v>310</v>
      </c>
      <c r="C630">
        <v>404</v>
      </c>
      <c r="D630">
        <v>4</v>
      </c>
      <c r="E630">
        <v>1616</v>
      </c>
      <c r="F630" s="23">
        <v>45031</v>
      </c>
      <c r="G630" t="s">
        <v>11</v>
      </c>
      <c r="H630">
        <v>179</v>
      </c>
      <c r="I630" t="str">
        <f>VLOOKUP(Продажи[[#This Row],[id товара]],Товары[#All],2,FALSE)</f>
        <v>Макароны</v>
      </c>
      <c r="J630" s="19">
        <f>AVERAGEIF(Продажи[Категория товара],Продажи[[#This Row],[Категория товара]],Продажи[цена за шт в рублях])</f>
        <v>265.47674418604652</v>
      </c>
      <c r="K630" s="20">
        <f>Продажи[[#This Row],[цена за шт в рублях]]/Продажи[[#This Row],[Средняя цена в категории за шт]]-1</f>
        <v>0.52179054793920554</v>
      </c>
      <c r="L630" t="str">
        <f>VLOOKUP(Продажи[[#This Row],[id товара]],Товары[#All],3,FALSE)</f>
        <v>Паста Зара</v>
      </c>
      <c r="M6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30" s="23">
        <f>VLOOKUP(Продажи[[#This Row],[id клиента]],Таблица4[#All],5,FALSE)</f>
        <v>44833</v>
      </c>
      <c r="O630">
        <f>Продажи[[#This Row],[дата создания чека]]-Продажи[[#This Row],[Дата регистрации клиентов]]</f>
        <v>198</v>
      </c>
      <c r="P630" t="str">
        <f>VLOOKUP(Продажи[[#This Row],[id клиента]],Таблица4[#All],7,FALSE)</f>
        <v>Россия</v>
      </c>
    </row>
    <row r="631" spans="1:16" x14ac:dyDescent="0.25">
      <c r="A631">
        <v>630</v>
      </c>
      <c r="B631">
        <v>422</v>
      </c>
      <c r="C631">
        <v>361</v>
      </c>
      <c r="D631">
        <v>1</v>
      </c>
      <c r="E631">
        <v>361</v>
      </c>
      <c r="F631" s="23">
        <v>45361</v>
      </c>
      <c r="G631" t="s">
        <v>15</v>
      </c>
      <c r="H631">
        <v>277</v>
      </c>
      <c r="I631" t="str">
        <f>VLOOKUP(Продажи[[#This Row],[id товара]],Товары[#All],2,FALSE)</f>
        <v>Кофе</v>
      </c>
      <c r="J631" s="19">
        <f>AVERAGEIF(Продажи[Категория товара],Продажи[[#This Row],[Категория товара]],Продажи[цена за шт в рублях])</f>
        <v>249.02380952380952</v>
      </c>
      <c r="K631" s="20">
        <f>Продажи[[#This Row],[цена за шт в рублях]]/Продажи[[#This Row],[Средняя цена в категории за шт]]-1</f>
        <v>0.4496605794052968</v>
      </c>
      <c r="L631" t="str">
        <f>VLOOKUP(Продажи[[#This Row],[id товара]],Товары[#All],3,FALSE)</f>
        <v>Nescafe</v>
      </c>
      <c r="M6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631" s="23">
        <f>VLOOKUP(Продажи[[#This Row],[id клиента]],Таблица4[#All],5,FALSE)</f>
        <v>44750</v>
      </c>
      <c r="O631">
        <f>Продажи[[#This Row],[дата создания чека]]-Продажи[[#This Row],[Дата регистрации клиентов]]</f>
        <v>611</v>
      </c>
      <c r="P631" t="str">
        <f>VLOOKUP(Продажи[[#This Row],[id клиента]],Таблица4[#All],7,FALSE)</f>
        <v>Россия</v>
      </c>
    </row>
    <row r="632" spans="1:16" x14ac:dyDescent="0.25">
      <c r="A632">
        <v>631</v>
      </c>
      <c r="B632">
        <v>453</v>
      </c>
      <c r="C632">
        <v>404</v>
      </c>
      <c r="D632">
        <v>5</v>
      </c>
      <c r="E632">
        <v>2020</v>
      </c>
      <c r="F632" s="23">
        <v>45108</v>
      </c>
      <c r="G632" t="s">
        <v>8</v>
      </c>
      <c r="H632">
        <v>460</v>
      </c>
      <c r="I632" t="str">
        <f>VLOOKUP(Продажи[[#This Row],[id товара]],Товары[#All],2,FALSE)</f>
        <v>Макароны</v>
      </c>
      <c r="J632" s="19">
        <f>AVERAGEIF(Продажи[Категория товара],Продажи[[#This Row],[Категория товара]],Продажи[цена за шт в рублях])</f>
        <v>265.47674418604652</v>
      </c>
      <c r="K632" s="20">
        <f>Продажи[[#This Row],[цена за шт в рублях]]/Продажи[[#This Row],[Средняя цена в категории за шт]]-1</f>
        <v>0.52179054793920554</v>
      </c>
      <c r="L632" t="str">
        <f>VLOOKUP(Продажи[[#This Row],[id товара]],Товары[#All],3,FALSE)</f>
        <v>Макфа</v>
      </c>
      <c r="M6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632" s="23">
        <f>VLOOKUP(Продажи[[#This Row],[id клиента]],Таблица4[#All],5,FALSE)</f>
        <v>44821</v>
      </c>
      <c r="O632">
        <f>Продажи[[#This Row],[дата создания чека]]-Продажи[[#This Row],[Дата регистрации клиентов]]</f>
        <v>287</v>
      </c>
      <c r="P632" t="str">
        <f>VLOOKUP(Продажи[[#This Row],[id клиента]],Таблица4[#All],7,FALSE)</f>
        <v>Россия</v>
      </c>
    </row>
    <row r="633" spans="1:16" x14ac:dyDescent="0.25">
      <c r="A633">
        <v>632</v>
      </c>
      <c r="B633">
        <v>337</v>
      </c>
      <c r="C633">
        <v>132</v>
      </c>
      <c r="D633">
        <v>3</v>
      </c>
      <c r="E633">
        <v>396</v>
      </c>
      <c r="F633" s="23">
        <v>45003</v>
      </c>
      <c r="G633" t="s">
        <v>26</v>
      </c>
      <c r="H633">
        <v>434</v>
      </c>
      <c r="I633" t="str">
        <f>VLOOKUP(Продажи[[#This Row],[id товара]],Товары[#All],2,FALSE)</f>
        <v>Макароны</v>
      </c>
      <c r="J633" s="19">
        <f>AVERAGEIF(Продажи[Категория товара],Продажи[[#This Row],[Категория товара]],Продажи[цена за шт в рублях])</f>
        <v>265.47674418604652</v>
      </c>
      <c r="K633" s="20">
        <f>Продажи[[#This Row],[цена за шт в рублях]]/Продажи[[#This Row],[Средняя цена в категории за шт]]-1</f>
        <v>-0.50278130611887351</v>
      </c>
      <c r="L633" t="str">
        <f>VLOOKUP(Продажи[[#This Row],[id товара]],Товары[#All],3,FALSE)</f>
        <v>Паста Зара</v>
      </c>
      <c r="M6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33" s="23">
        <f>VLOOKUP(Продажи[[#This Row],[id клиента]],Таблица4[#All],5,FALSE)</f>
        <v>44730</v>
      </c>
      <c r="O633">
        <f>Продажи[[#This Row],[дата создания чека]]-Продажи[[#This Row],[Дата регистрации клиентов]]</f>
        <v>273</v>
      </c>
      <c r="P633" t="str">
        <f>VLOOKUP(Продажи[[#This Row],[id клиента]],Таблица4[#All],7,FALSE)</f>
        <v>Украина</v>
      </c>
    </row>
    <row r="634" spans="1:16" x14ac:dyDescent="0.25">
      <c r="A634">
        <v>633</v>
      </c>
      <c r="B634">
        <v>258</v>
      </c>
      <c r="C634">
        <v>333</v>
      </c>
      <c r="D634">
        <v>4</v>
      </c>
      <c r="E634">
        <v>1332</v>
      </c>
      <c r="F634" s="23">
        <v>45018</v>
      </c>
      <c r="G634" t="s">
        <v>11</v>
      </c>
      <c r="H634">
        <v>62</v>
      </c>
      <c r="I634" t="str">
        <f>VLOOKUP(Продажи[[#This Row],[id товара]],Товары[#All],2,FALSE)</f>
        <v>Рыба</v>
      </c>
      <c r="J634" s="19">
        <f>AVERAGEIF(Продажи[Категория товара],Продажи[[#This Row],[Категория товара]],Продажи[цена за шт в рублях])</f>
        <v>258.5128205128205</v>
      </c>
      <c r="K634" s="20">
        <f>Продажи[[#This Row],[цена за шт в рублях]]/Продажи[[#This Row],[Средняя цена в категории за шт]]-1</f>
        <v>0.28813727435032743</v>
      </c>
      <c r="L634" t="str">
        <f>VLOOKUP(Продажи[[#This Row],[id товара]],Товары[#All],3,FALSE)</f>
        <v>Санта Бремор</v>
      </c>
      <c r="M6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216.4</v>
      </c>
      <c r="N634" s="23">
        <f>VLOOKUP(Продажи[[#This Row],[id клиента]],Таблица4[#All],5,FALSE)</f>
        <v>44671</v>
      </c>
      <c r="O634">
        <f>Продажи[[#This Row],[дата создания чека]]-Продажи[[#This Row],[Дата регистрации клиентов]]</f>
        <v>347</v>
      </c>
      <c r="P634" t="str">
        <f>VLOOKUP(Продажи[[#This Row],[id клиента]],Таблица4[#All],7,FALSE)</f>
        <v>Россия</v>
      </c>
    </row>
    <row r="635" spans="1:16" x14ac:dyDescent="0.25">
      <c r="A635">
        <v>634</v>
      </c>
      <c r="B635">
        <v>111</v>
      </c>
      <c r="C635">
        <v>420</v>
      </c>
      <c r="D635">
        <v>1</v>
      </c>
      <c r="E635">
        <v>420</v>
      </c>
      <c r="F635" s="23">
        <v>45295</v>
      </c>
      <c r="G635" t="s">
        <v>9</v>
      </c>
      <c r="H635">
        <v>13</v>
      </c>
      <c r="I635" t="str">
        <f>VLOOKUP(Продажи[[#This Row],[id товара]],Товары[#All],2,FALSE)</f>
        <v>Сахар</v>
      </c>
      <c r="J635" s="19">
        <f>AVERAGEIF(Продажи[Категория товара],Продажи[[#This Row],[Категория товара]],Продажи[цена за шт в рублях])</f>
        <v>252.76271186440678</v>
      </c>
      <c r="K635" s="20">
        <f>Продажи[[#This Row],[цена за шт в рублях]]/Продажи[[#This Row],[Средняя цена в категории за шт]]-1</f>
        <v>0.66163749748541534</v>
      </c>
      <c r="L635" t="str">
        <f>VLOOKUP(Продажи[[#This Row],[id товара]],Товары[#All],3,FALSE)</f>
        <v>Сладов</v>
      </c>
      <c r="M6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635" s="23">
        <f>VLOOKUP(Продажи[[#This Row],[id клиента]],Таблица4[#All],5,FALSE)</f>
        <v>44724</v>
      </c>
      <c r="O635">
        <f>Продажи[[#This Row],[дата создания чека]]-Продажи[[#This Row],[Дата регистрации клиентов]]</f>
        <v>571</v>
      </c>
      <c r="P635" t="str">
        <f>VLOOKUP(Продажи[[#This Row],[id клиента]],Таблица4[#All],7,FALSE)</f>
        <v>Россия</v>
      </c>
    </row>
    <row r="636" spans="1:16" x14ac:dyDescent="0.25">
      <c r="A636">
        <v>635</v>
      </c>
      <c r="B636">
        <v>4</v>
      </c>
      <c r="C636">
        <v>151</v>
      </c>
      <c r="D636">
        <v>4</v>
      </c>
      <c r="E636">
        <v>604</v>
      </c>
      <c r="F636" s="23">
        <v>45286</v>
      </c>
      <c r="G636" t="s">
        <v>18</v>
      </c>
      <c r="H636">
        <v>116</v>
      </c>
      <c r="I636" t="str">
        <f>VLOOKUP(Продажи[[#This Row],[id товара]],Товары[#All],2,FALSE)</f>
        <v>Рис</v>
      </c>
      <c r="J636" s="19">
        <f>AVERAGEIF(Продажи[Категория товара],Продажи[[#This Row],[Категория товара]],Продажи[цена за шт в рублях])</f>
        <v>258.375</v>
      </c>
      <c r="K636" s="20">
        <f>Продажи[[#This Row],[цена за шт в рублях]]/Продажи[[#This Row],[Средняя цена в категории за шт]]-1</f>
        <v>-0.41557813255926468</v>
      </c>
      <c r="L636" t="str">
        <f>VLOOKUP(Продажи[[#This Row],[id товара]],Товары[#All],3,FALSE)</f>
        <v>Белый Злат</v>
      </c>
      <c r="M6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636" s="23">
        <f>VLOOKUP(Продажи[[#This Row],[id клиента]],Таблица4[#All],5,FALSE)</f>
        <v>44643</v>
      </c>
      <c r="O636">
        <f>Продажи[[#This Row],[дата создания чека]]-Продажи[[#This Row],[Дата регистрации клиентов]]</f>
        <v>643</v>
      </c>
      <c r="P636" t="str">
        <f>VLOOKUP(Продажи[[#This Row],[id клиента]],Таблица4[#All],7,FALSE)</f>
        <v>Россия</v>
      </c>
    </row>
    <row r="637" spans="1:16" x14ac:dyDescent="0.25">
      <c r="A637">
        <v>636</v>
      </c>
      <c r="B637">
        <v>266</v>
      </c>
      <c r="C637">
        <v>141</v>
      </c>
      <c r="D637">
        <v>5</v>
      </c>
      <c r="E637">
        <v>705</v>
      </c>
      <c r="F637" s="23">
        <v>45174</v>
      </c>
      <c r="G637" t="s">
        <v>11</v>
      </c>
      <c r="H637">
        <v>50</v>
      </c>
      <c r="I637" t="str">
        <f>VLOOKUP(Продажи[[#This Row],[id товара]],Товары[#All],2,FALSE)</f>
        <v>Рыба</v>
      </c>
      <c r="J637" s="19">
        <f>AVERAGEIF(Продажи[Категория товара],Продажи[[#This Row],[Категория товара]],Продажи[цена за шт в рублях])</f>
        <v>258.5128205128205</v>
      </c>
      <c r="K637" s="20">
        <f>Продажи[[#This Row],[цена за шт в рублях]]/Продажи[[#This Row],[Средняя цена в категории за шт]]-1</f>
        <v>-0.45457250545526673</v>
      </c>
      <c r="L637" t="str">
        <f>VLOOKUP(Продажи[[#This Row],[id товара]],Товары[#All],3,FALSE)</f>
        <v>Меридиан</v>
      </c>
      <c r="M6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637" s="23">
        <f>VLOOKUP(Продажи[[#This Row],[id клиента]],Таблица4[#All],5,FALSE)</f>
        <v>44576</v>
      </c>
      <c r="O637">
        <f>Продажи[[#This Row],[дата создания чека]]-Продажи[[#This Row],[Дата регистрации клиентов]]</f>
        <v>598</v>
      </c>
      <c r="P637" t="str">
        <f>VLOOKUP(Продажи[[#This Row],[id клиента]],Таблица4[#All],7,FALSE)</f>
        <v>Узбекистан</v>
      </c>
    </row>
    <row r="638" spans="1:16" x14ac:dyDescent="0.25">
      <c r="A638">
        <v>637</v>
      </c>
      <c r="B638">
        <v>143</v>
      </c>
      <c r="C638">
        <v>339</v>
      </c>
      <c r="D638">
        <v>1</v>
      </c>
      <c r="E638">
        <v>339</v>
      </c>
      <c r="F638" s="23">
        <v>45013</v>
      </c>
      <c r="G638" t="s">
        <v>11</v>
      </c>
      <c r="H638">
        <v>197</v>
      </c>
      <c r="I638" t="str">
        <f>VLOOKUP(Продажи[[#This Row],[id товара]],Товары[#All],2,FALSE)</f>
        <v>Сахар</v>
      </c>
      <c r="J638" s="19">
        <f>AVERAGEIF(Продажи[Категория товара],Продажи[[#This Row],[Категория товара]],Продажи[цена за шт в рублях])</f>
        <v>252.76271186440678</v>
      </c>
      <c r="K638" s="20">
        <f>Продажи[[#This Row],[цена за шт в рублях]]/Продажи[[#This Row],[Средняя цена в категории за шт]]-1</f>
        <v>0.34117883725608533</v>
      </c>
      <c r="L638" t="str">
        <f>VLOOKUP(Продажи[[#This Row],[id товара]],Товары[#All],3,FALSE)</f>
        <v>Агросахар</v>
      </c>
      <c r="M6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638" s="23">
        <f>VLOOKUP(Продажи[[#This Row],[id клиента]],Таблица4[#All],5,FALSE)</f>
        <v>44785</v>
      </c>
      <c r="O638">
        <f>Продажи[[#This Row],[дата создания чека]]-Продажи[[#This Row],[Дата регистрации клиентов]]</f>
        <v>228</v>
      </c>
      <c r="P638" t="str">
        <f>VLOOKUP(Продажи[[#This Row],[id клиента]],Таблица4[#All],7,FALSE)</f>
        <v>Украина</v>
      </c>
    </row>
    <row r="639" spans="1:16" x14ac:dyDescent="0.25">
      <c r="A639">
        <v>638</v>
      </c>
      <c r="B639">
        <v>475</v>
      </c>
      <c r="C639">
        <v>206</v>
      </c>
      <c r="D639">
        <v>3</v>
      </c>
      <c r="E639">
        <v>618</v>
      </c>
      <c r="F639" s="23">
        <v>45424</v>
      </c>
      <c r="G639" t="s">
        <v>19</v>
      </c>
      <c r="H639">
        <v>243</v>
      </c>
      <c r="I639" t="str">
        <f>VLOOKUP(Продажи[[#This Row],[id товара]],Товары[#All],2,FALSE)</f>
        <v>Хлеб</v>
      </c>
      <c r="J639" s="19">
        <f>AVERAGEIF(Продажи[Категория товара],Продажи[[#This Row],[Категория товара]],Продажи[цена за шт в рублях])</f>
        <v>300.31818181818181</v>
      </c>
      <c r="K639" s="20">
        <f>Продажи[[#This Row],[цена за шт в рублях]]/Продажи[[#This Row],[Средняя цена в категории за шт]]-1</f>
        <v>-0.31406084455880123</v>
      </c>
      <c r="L639" t="str">
        <f>VLOOKUP(Продажи[[#This Row],[id товара]],Товары[#All],3,FALSE)</f>
        <v>Русский Хлеб</v>
      </c>
      <c r="M6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639" s="23">
        <f>VLOOKUP(Продажи[[#This Row],[id клиента]],Таблица4[#All],5,FALSE)</f>
        <v>44681</v>
      </c>
      <c r="O639">
        <f>Продажи[[#This Row],[дата создания чека]]-Продажи[[#This Row],[Дата регистрации клиентов]]</f>
        <v>743</v>
      </c>
      <c r="P639" t="str">
        <f>VLOOKUP(Продажи[[#This Row],[id клиента]],Таблица4[#All],7,FALSE)</f>
        <v>Россия</v>
      </c>
    </row>
    <row r="640" spans="1:16" x14ac:dyDescent="0.25">
      <c r="A640">
        <v>639</v>
      </c>
      <c r="B640">
        <v>52</v>
      </c>
      <c r="C640">
        <v>105</v>
      </c>
      <c r="D640">
        <v>2</v>
      </c>
      <c r="E640">
        <v>210</v>
      </c>
      <c r="F640" s="23">
        <v>45232</v>
      </c>
      <c r="G640" t="s">
        <v>8</v>
      </c>
      <c r="H640">
        <v>275</v>
      </c>
      <c r="I640" t="str">
        <f>VLOOKUP(Продажи[[#This Row],[id товара]],Товары[#All],2,FALSE)</f>
        <v>Соль</v>
      </c>
      <c r="J640" s="19">
        <f>AVERAGEIF(Продажи[Категория товара],Продажи[[#This Row],[Категория товара]],Продажи[цена за шт в рублях])</f>
        <v>264.8679245283019</v>
      </c>
      <c r="K640" s="20">
        <f>Продажи[[#This Row],[цена за шт в рублях]]/Продажи[[#This Row],[Средняя цена в категории за шт]]-1</f>
        <v>-0.60357600797834454</v>
      </c>
      <c r="L640" t="str">
        <f>VLOOKUP(Продажи[[#This Row],[id товара]],Товары[#All],3,FALSE)</f>
        <v>Илецкая</v>
      </c>
      <c r="M6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640" s="23">
        <f>VLOOKUP(Продажи[[#This Row],[id клиента]],Таблица4[#All],5,FALSE)</f>
        <v>44651</v>
      </c>
      <c r="O640">
        <f>Продажи[[#This Row],[дата создания чека]]-Продажи[[#This Row],[Дата регистрации клиентов]]</f>
        <v>581</v>
      </c>
      <c r="P640" t="str">
        <f>VLOOKUP(Продажи[[#This Row],[id клиента]],Таблица4[#All],7,FALSE)</f>
        <v>Таджикистан</v>
      </c>
    </row>
    <row r="641" spans="1:16" x14ac:dyDescent="0.25">
      <c r="A641">
        <v>640</v>
      </c>
      <c r="B641">
        <v>47</v>
      </c>
      <c r="C641">
        <v>356</v>
      </c>
      <c r="D641">
        <v>3</v>
      </c>
      <c r="E641">
        <v>1068</v>
      </c>
      <c r="F641" s="23">
        <v>45288</v>
      </c>
      <c r="G641" t="s">
        <v>15</v>
      </c>
      <c r="H641">
        <v>45</v>
      </c>
      <c r="I641" t="str">
        <f>VLOOKUP(Продажи[[#This Row],[id товара]],Товары[#All],2,FALSE)</f>
        <v>Мясо</v>
      </c>
      <c r="J641" s="19">
        <f>AVERAGEIF(Продажи[Категория товара],Продажи[[#This Row],[Категория товара]],Продажи[цена за шт в рублях])</f>
        <v>271.74545454545455</v>
      </c>
      <c r="K641" s="20">
        <f>Продажи[[#This Row],[цена за шт в рублях]]/Продажи[[#This Row],[Средняя цена в категории за шт]]-1</f>
        <v>0.31004951157500327</v>
      </c>
      <c r="L641" t="str">
        <f>VLOOKUP(Продажи[[#This Row],[id товара]],Товары[#All],3,FALSE)</f>
        <v>Снежана</v>
      </c>
      <c r="M6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641" s="23">
        <f>VLOOKUP(Продажи[[#This Row],[id клиента]],Таблица4[#All],5,FALSE)</f>
        <v>44662</v>
      </c>
      <c r="O641">
        <f>Продажи[[#This Row],[дата создания чека]]-Продажи[[#This Row],[Дата регистрации клиентов]]</f>
        <v>626</v>
      </c>
      <c r="P641" t="str">
        <f>VLOOKUP(Продажи[[#This Row],[id клиента]],Таблица4[#All],7,FALSE)</f>
        <v>Узбекистан</v>
      </c>
    </row>
    <row r="642" spans="1:16" x14ac:dyDescent="0.25">
      <c r="A642">
        <v>641</v>
      </c>
      <c r="B642">
        <v>122</v>
      </c>
      <c r="C642">
        <v>240</v>
      </c>
      <c r="D642">
        <v>1</v>
      </c>
      <c r="E642">
        <v>240</v>
      </c>
      <c r="F642" s="23">
        <v>44961</v>
      </c>
      <c r="G642" t="s">
        <v>9</v>
      </c>
      <c r="H642">
        <v>419</v>
      </c>
      <c r="I642" t="str">
        <f>VLOOKUP(Продажи[[#This Row],[id товара]],Товары[#All],2,FALSE)</f>
        <v>Фрукты</v>
      </c>
      <c r="J642" s="19">
        <f>AVERAGEIF(Продажи[Категория товара],Продажи[[#This Row],[Категория товара]],Продажи[цена за шт в рублях])</f>
        <v>274.16279069767444</v>
      </c>
      <c r="K642" s="20">
        <f>Продажи[[#This Row],[цена за шт в рублях]]/Продажи[[#This Row],[Средняя цена в категории за шт]]-1</f>
        <v>-0.12460768513020615</v>
      </c>
      <c r="L642" t="str">
        <f>VLOOKUP(Продажи[[#This Row],[id товара]],Товары[#All],3,FALSE)</f>
        <v>Фрукты-Ягоды</v>
      </c>
      <c r="M6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642" s="23">
        <f>VLOOKUP(Продажи[[#This Row],[id клиента]],Таблица4[#All],5,FALSE)</f>
        <v>44869</v>
      </c>
      <c r="O642">
        <f>Продажи[[#This Row],[дата создания чека]]-Продажи[[#This Row],[Дата регистрации клиентов]]</f>
        <v>92</v>
      </c>
      <c r="P642" t="str">
        <f>VLOOKUP(Продажи[[#This Row],[id клиента]],Таблица4[#All],7,FALSE)</f>
        <v>Таджикистан</v>
      </c>
    </row>
    <row r="643" spans="1:16" x14ac:dyDescent="0.25">
      <c r="A643">
        <v>642</v>
      </c>
      <c r="B643">
        <v>422</v>
      </c>
      <c r="C643">
        <v>290</v>
      </c>
      <c r="D643">
        <v>5</v>
      </c>
      <c r="E643">
        <v>1450</v>
      </c>
      <c r="F643" s="23">
        <v>45292</v>
      </c>
      <c r="G643" t="s">
        <v>12</v>
      </c>
      <c r="H643">
        <v>125</v>
      </c>
      <c r="I643" t="str">
        <f>VLOOKUP(Продажи[[#This Row],[id товара]],Товары[#All],2,FALSE)</f>
        <v>Кофе</v>
      </c>
      <c r="J643" s="19">
        <f>AVERAGEIF(Продажи[Категория товара],Продажи[[#This Row],[Категория товара]],Продажи[цена за шт в рублях])</f>
        <v>249.02380952380952</v>
      </c>
      <c r="K643" s="20">
        <f>Продажи[[#This Row],[цена за шт в рублях]]/Продажи[[#This Row],[Средняя цена в категории за шт]]-1</f>
        <v>0.16454727985467055</v>
      </c>
      <c r="L643" t="str">
        <f>VLOOKUP(Продажи[[#This Row],[id товара]],Товары[#All],3,FALSE)</f>
        <v>Nescafe</v>
      </c>
      <c r="M6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643" s="23">
        <f>VLOOKUP(Продажи[[#This Row],[id клиента]],Таблица4[#All],5,FALSE)</f>
        <v>44701</v>
      </c>
      <c r="O643">
        <f>Продажи[[#This Row],[дата создания чека]]-Продажи[[#This Row],[Дата регистрации клиентов]]</f>
        <v>591</v>
      </c>
      <c r="P643" t="str">
        <f>VLOOKUP(Продажи[[#This Row],[id клиента]],Таблица4[#All],7,FALSE)</f>
        <v>Россия</v>
      </c>
    </row>
    <row r="644" spans="1:16" x14ac:dyDescent="0.25">
      <c r="A644">
        <v>643</v>
      </c>
      <c r="B644">
        <v>479</v>
      </c>
      <c r="C644">
        <v>405</v>
      </c>
      <c r="D644">
        <v>4</v>
      </c>
      <c r="E644">
        <v>1620</v>
      </c>
      <c r="F644" s="23">
        <v>45302</v>
      </c>
      <c r="G644" t="s">
        <v>19</v>
      </c>
      <c r="H644">
        <v>242</v>
      </c>
      <c r="I644" t="str">
        <f>VLOOKUP(Продажи[[#This Row],[id товара]],Товары[#All],2,FALSE)</f>
        <v>Овощи</v>
      </c>
      <c r="J644" s="19">
        <f>AVERAGEIF(Продажи[Категория товара],Продажи[[#This Row],[Категория товара]],Продажи[цена за шт в рублях])</f>
        <v>250.48780487804879</v>
      </c>
      <c r="K644" s="20">
        <f>Продажи[[#This Row],[цена за шт в рублях]]/Продажи[[#This Row],[Средняя цена в категории за шт]]-1</f>
        <v>0.61684518013631928</v>
      </c>
      <c r="L644" t="str">
        <f>VLOOKUP(Продажи[[#This Row],[id товара]],Товары[#All],3,FALSE)</f>
        <v>Гавриш</v>
      </c>
      <c r="M6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247.66666666666666</v>
      </c>
      <c r="N644" s="23">
        <f>VLOOKUP(Продажи[[#This Row],[id клиента]],Таблица4[#All],5,FALSE)</f>
        <v>44747</v>
      </c>
      <c r="O644">
        <f>Продажи[[#This Row],[дата создания чека]]-Продажи[[#This Row],[Дата регистрации клиентов]]</f>
        <v>555</v>
      </c>
      <c r="P644" t="str">
        <f>VLOOKUP(Продажи[[#This Row],[id клиента]],Таблица4[#All],7,FALSE)</f>
        <v>Россия</v>
      </c>
    </row>
    <row r="645" spans="1:16" x14ac:dyDescent="0.25">
      <c r="A645">
        <v>644</v>
      </c>
      <c r="B645">
        <v>99</v>
      </c>
      <c r="C645">
        <v>281</v>
      </c>
      <c r="D645">
        <v>5</v>
      </c>
      <c r="E645">
        <v>1405</v>
      </c>
      <c r="F645" s="23">
        <v>45139</v>
      </c>
      <c r="G645" t="s">
        <v>15</v>
      </c>
      <c r="H645">
        <v>329</v>
      </c>
      <c r="I645" t="str">
        <f>VLOOKUP(Продажи[[#This Row],[id товара]],Товары[#All],2,FALSE)</f>
        <v>Овощи</v>
      </c>
      <c r="J645" s="19">
        <f>AVERAGEIF(Продажи[Категория товара],Продажи[[#This Row],[Категория товара]],Продажи[цена за шт в рублях])</f>
        <v>250.48780487804879</v>
      </c>
      <c r="K645" s="20">
        <f>Продажи[[#This Row],[цена за шт в рублях]]/Продажи[[#This Row],[Средняя цена в категории за шт]]-1</f>
        <v>0.12181110029211295</v>
      </c>
      <c r="L645" t="str">
        <f>VLOOKUP(Продажи[[#This Row],[id товара]],Товары[#All],3,FALSE)</f>
        <v>Семко</v>
      </c>
      <c r="M6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645" s="23">
        <f>VLOOKUP(Продажи[[#This Row],[id клиента]],Таблица4[#All],5,FALSE)</f>
        <v>44653</v>
      </c>
      <c r="O645">
        <f>Продажи[[#This Row],[дата создания чека]]-Продажи[[#This Row],[Дата регистрации клиентов]]</f>
        <v>486</v>
      </c>
      <c r="P645" t="str">
        <f>VLOOKUP(Продажи[[#This Row],[id клиента]],Таблица4[#All],7,FALSE)</f>
        <v>Беларусь</v>
      </c>
    </row>
    <row r="646" spans="1:16" x14ac:dyDescent="0.25">
      <c r="A646">
        <v>645</v>
      </c>
      <c r="B646">
        <v>272</v>
      </c>
      <c r="C646">
        <v>207</v>
      </c>
      <c r="D646">
        <v>5</v>
      </c>
      <c r="E646">
        <v>1035</v>
      </c>
      <c r="F646" s="23">
        <v>45074</v>
      </c>
      <c r="G646" t="s">
        <v>27</v>
      </c>
      <c r="H646">
        <v>42</v>
      </c>
      <c r="I646" t="str">
        <f>VLOOKUP(Продажи[[#This Row],[id товара]],Товары[#All],2,FALSE)</f>
        <v>Крупа</v>
      </c>
      <c r="J646" s="19">
        <f>AVERAGEIF(Продажи[Категория товара],Продажи[[#This Row],[Категория товара]],Продажи[цена за шт в рублях])</f>
        <v>255.11627906976744</v>
      </c>
      <c r="K646" s="20">
        <f>Продажи[[#This Row],[цена за шт в рублях]]/Продажи[[#This Row],[Средняя цена в категории за шт]]-1</f>
        <v>-0.18860528714676394</v>
      </c>
      <c r="L646" t="str">
        <f>VLOOKUP(Продажи[[#This Row],[id товара]],Товары[#All],3,FALSE)</f>
        <v>Ярмарка</v>
      </c>
      <c r="M6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646" s="23">
        <f>VLOOKUP(Продажи[[#This Row],[id клиента]],Таблица4[#All],5,FALSE)</f>
        <v>44783</v>
      </c>
      <c r="O646">
        <f>Продажи[[#This Row],[дата создания чека]]-Продажи[[#This Row],[Дата регистрации клиентов]]</f>
        <v>291</v>
      </c>
      <c r="P646" t="str">
        <f>VLOOKUP(Продажи[[#This Row],[id клиента]],Таблица4[#All],7,FALSE)</f>
        <v>Таджикистан</v>
      </c>
    </row>
    <row r="647" spans="1:16" x14ac:dyDescent="0.25">
      <c r="A647">
        <v>646</v>
      </c>
      <c r="B647">
        <v>493</v>
      </c>
      <c r="C647">
        <v>378</v>
      </c>
      <c r="D647">
        <v>2</v>
      </c>
      <c r="E647">
        <v>756</v>
      </c>
      <c r="F647" s="23">
        <v>45324</v>
      </c>
      <c r="G647" t="s">
        <v>22</v>
      </c>
      <c r="H647">
        <v>229</v>
      </c>
      <c r="I647" t="str">
        <f>VLOOKUP(Продажи[[#This Row],[id товара]],Товары[#All],2,FALSE)</f>
        <v>Овощи</v>
      </c>
      <c r="J647" s="19">
        <f>AVERAGEIF(Продажи[Категория товара],Продажи[[#This Row],[Категория товара]],Продажи[цена за шт в рублях])</f>
        <v>250.48780487804879</v>
      </c>
      <c r="K647" s="20">
        <f>Продажи[[#This Row],[цена за шт в рублях]]/Продажи[[#This Row],[Средняя цена в категории за шт]]-1</f>
        <v>0.50905550146056466</v>
      </c>
      <c r="L647" t="str">
        <f>VLOOKUP(Продажи[[#This Row],[id товара]],Товары[#All],3,FALSE)</f>
        <v>Овощной ряд</v>
      </c>
      <c r="M6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647" s="23">
        <f>VLOOKUP(Продажи[[#This Row],[id клиента]],Таблица4[#All],5,FALSE)</f>
        <v>44766</v>
      </c>
      <c r="O647">
        <f>Продажи[[#This Row],[дата создания чека]]-Продажи[[#This Row],[Дата регистрации клиентов]]</f>
        <v>558</v>
      </c>
      <c r="P647" t="str">
        <f>VLOOKUP(Продажи[[#This Row],[id клиента]],Таблица4[#All],7,FALSE)</f>
        <v>Беларусь</v>
      </c>
    </row>
    <row r="648" spans="1:16" x14ac:dyDescent="0.25">
      <c r="A648">
        <v>647</v>
      </c>
      <c r="B648">
        <v>360</v>
      </c>
      <c r="C648">
        <v>120</v>
      </c>
      <c r="D648">
        <v>2</v>
      </c>
      <c r="E648">
        <v>240</v>
      </c>
      <c r="F648" s="23">
        <v>44960</v>
      </c>
      <c r="G648" t="s">
        <v>27</v>
      </c>
      <c r="H648">
        <v>306</v>
      </c>
      <c r="I648" t="str">
        <f>VLOOKUP(Продажи[[#This Row],[id товара]],Товары[#All],2,FALSE)</f>
        <v>Соль</v>
      </c>
      <c r="J648" s="19">
        <f>AVERAGEIF(Продажи[Категория товара],Продажи[[#This Row],[Категория товара]],Продажи[цена за шт в рублях])</f>
        <v>264.8679245283019</v>
      </c>
      <c r="K648" s="20">
        <f>Продажи[[#This Row],[цена за шт в рублях]]/Продажи[[#This Row],[Средняя цена в категории за шт]]-1</f>
        <v>-0.54694400911810803</v>
      </c>
      <c r="L648" t="str">
        <f>VLOOKUP(Продажи[[#This Row],[id товара]],Товары[#All],3,FALSE)</f>
        <v>Славянская</v>
      </c>
      <c r="M6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648" s="23">
        <f>VLOOKUP(Продажи[[#This Row],[id клиента]],Таблица4[#All],5,FALSE)</f>
        <v>44872</v>
      </c>
      <c r="O648">
        <f>Продажи[[#This Row],[дата создания чека]]-Продажи[[#This Row],[Дата регистрации клиентов]]</f>
        <v>88</v>
      </c>
      <c r="P648" t="str">
        <f>VLOOKUP(Продажи[[#This Row],[id клиента]],Таблица4[#All],7,FALSE)</f>
        <v>Украина</v>
      </c>
    </row>
    <row r="649" spans="1:16" x14ac:dyDescent="0.25">
      <c r="A649">
        <v>648</v>
      </c>
      <c r="B649">
        <v>215</v>
      </c>
      <c r="C649">
        <v>440</v>
      </c>
      <c r="D649">
        <v>2</v>
      </c>
      <c r="E649">
        <v>880</v>
      </c>
      <c r="F649" s="23">
        <v>45381</v>
      </c>
      <c r="G649" t="s">
        <v>18</v>
      </c>
      <c r="H649">
        <v>292</v>
      </c>
      <c r="I649" t="str">
        <f>VLOOKUP(Продажи[[#This Row],[id товара]],Товары[#All],2,FALSE)</f>
        <v>Сок</v>
      </c>
      <c r="J649" s="19">
        <f>AVERAGEIF(Продажи[Категория товара],Продажи[[#This Row],[Категория товара]],Продажи[цена за шт в рублях])</f>
        <v>268.60344827586209</v>
      </c>
      <c r="K649" s="20">
        <f>Продажи[[#This Row],[цена за шт в рублях]]/Продажи[[#This Row],[Средняя цена в категории за шт]]-1</f>
        <v>0.63810257397779058</v>
      </c>
      <c r="L649" t="str">
        <f>VLOOKUP(Продажи[[#This Row],[id товара]],Товары[#All],3,FALSE)</f>
        <v>Фруктовый сад</v>
      </c>
      <c r="M6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649" s="23">
        <f>VLOOKUP(Продажи[[#This Row],[id клиента]],Таблица4[#All],5,FALSE)</f>
        <v>44608</v>
      </c>
      <c r="O649">
        <f>Продажи[[#This Row],[дата создания чека]]-Продажи[[#This Row],[Дата регистрации клиентов]]</f>
        <v>773</v>
      </c>
      <c r="P649" t="str">
        <f>VLOOKUP(Продажи[[#This Row],[id клиента]],Таблица4[#All],7,FALSE)</f>
        <v>Россия</v>
      </c>
    </row>
    <row r="650" spans="1:16" x14ac:dyDescent="0.25">
      <c r="A650">
        <v>649</v>
      </c>
      <c r="B650">
        <v>292</v>
      </c>
      <c r="C650">
        <v>327</v>
      </c>
      <c r="D650">
        <v>5</v>
      </c>
      <c r="E650">
        <v>1635</v>
      </c>
      <c r="F650" s="23">
        <v>45038</v>
      </c>
      <c r="G650" t="s">
        <v>20</v>
      </c>
      <c r="H650">
        <v>275</v>
      </c>
      <c r="I650" t="str">
        <f>VLOOKUP(Продажи[[#This Row],[id товара]],Товары[#All],2,FALSE)</f>
        <v>Колбаса</v>
      </c>
      <c r="J650" s="19">
        <f>AVERAGEIF(Продажи[Категория товара],Продажи[[#This Row],[Категория товара]],Продажи[цена за шт в рублях])</f>
        <v>286.92307692307691</v>
      </c>
      <c r="K650" s="20">
        <f>Продажи[[#This Row],[цена за шт в рублях]]/Продажи[[#This Row],[Средняя цена в категории за шт]]-1</f>
        <v>0.13967828418230566</v>
      </c>
      <c r="L650" t="str">
        <f>VLOOKUP(Продажи[[#This Row],[id товара]],Товары[#All],3,FALSE)</f>
        <v>Дымов</v>
      </c>
      <c r="M6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650" s="23">
        <f>VLOOKUP(Продажи[[#This Row],[id клиента]],Таблица4[#All],5,FALSE)</f>
        <v>44651</v>
      </c>
      <c r="O650">
        <f>Продажи[[#This Row],[дата создания чека]]-Продажи[[#This Row],[Дата регистрации клиентов]]</f>
        <v>387</v>
      </c>
      <c r="P650" t="str">
        <f>VLOOKUP(Продажи[[#This Row],[id клиента]],Таблица4[#All],7,FALSE)</f>
        <v>Таджикистан</v>
      </c>
    </row>
    <row r="651" spans="1:16" x14ac:dyDescent="0.25">
      <c r="A651">
        <v>650</v>
      </c>
      <c r="B651">
        <v>307</v>
      </c>
      <c r="C651">
        <v>407</v>
      </c>
      <c r="D651">
        <v>1</v>
      </c>
      <c r="E651">
        <v>407</v>
      </c>
      <c r="F651" s="23">
        <v>44950</v>
      </c>
      <c r="G651" t="s">
        <v>20</v>
      </c>
      <c r="H651">
        <v>103</v>
      </c>
      <c r="I651" t="str">
        <f>VLOOKUP(Продажи[[#This Row],[id товара]],Товары[#All],2,FALSE)</f>
        <v>Сыр</v>
      </c>
      <c r="J651" s="19">
        <f>AVERAGEIF(Продажи[Категория товара],Продажи[[#This Row],[Категория товара]],Продажи[цена за шт в рублях])</f>
        <v>262.63492063492066</v>
      </c>
      <c r="K651" s="20">
        <f>Продажи[[#This Row],[цена за шт в рублях]]/Продажи[[#This Row],[Средняя цена в категории за шт]]-1</f>
        <v>0.54967968088964092</v>
      </c>
      <c r="L651" t="str">
        <f>VLOOKUP(Продажи[[#This Row],[id товара]],Товары[#All],3,FALSE)</f>
        <v>Карат</v>
      </c>
      <c r="M6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651" s="23">
        <f>VLOOKUP(Продажи[[#This Row],[id клиента]],Таблица4[#All],5,FALSE)</f>
        <v>44787</v>
      </c>
      <c r="O651">
        <f>Продажи[[#This Row],[дата создания чека]]-Продажи[[#This Row],[Дата регистрации клиентов]]</f>
        <v>163</v>
      </c>
      <c r="P651" t="str">
        <f>VLOOKUP(Продажи[[#This Row],[id клиента]],Таблица4[#All],7,FALSE)</f>
        <v>Узбекистан</v>
      </c>
    </row>
    <row r="652" spans="1:16" x14ac:dyDescent="0.25">
      <c r="A652">
        <v>651</v>
      </c>
      <c r="B652">
        <v>473</v>
      </c>
      <c r="C652">
        <v>343</v>
      </c>
      <c r="D652">
        <v>5</v>
      </c>
      <c r="E652">
        <v>1715</v>
      </c>
      <c r="F652" s="23">
        <v>45086</v>
      </c>
      <c r="G652" t="s">
        <v>11</v>
      </c>
      <c r="H652">
        <v>460</v>
      </c>
      <c r="I652" t="str">
        <f>VLOOKUP(Продажи[[#This Row],[id товара]],Товары[#All],2,FALSE)</f>
        <v>Хлеб</v>
      </c>
      <c r="J652" s="19">
        <f>AVERAGEIF(Продажи[Категория товара],Продажи[[#This Row],[Категория товара]],Продажи[цена за шт в рублях])</f>
        <v>300.31818181818181</v>
      </c>
      <c r="K652" s="20">
        <f>Продажи[[#This Row],[цена за шт в рублях]]/Продажи[[#This Row],[Средняя цена в категории за шт]]-1</f>
        <v>0.14212199182685037</v>
      </c>
      <c r="L652" t="str">
        <f>VLOOKUP(Продажи[[#This Row],[id товара]],Товары[#All],3,FALSE)</f>
        <v>Хлебный Дом</v>
      </c>
      <c r="M6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652" s="23">
        <f>VLOOKUP(Продажи[[#This Row],[id клиента]],Таблица4[#All],5,FALSE)</f>
        <v>44821</v>
      </c>
      <c r="O652">
        <f>Продажи[[#This Row],[дата создания чека]]-Продажи[[#This Row],[Дата регистрации клиентов]]</f>
        <v>265</v>
      </c>
      <c r="P652" t="str">
        <f>VLOOKUP(Продажи[[#This Row],[id клиента]],Таблица4[#All],7,FALSE)</f>
        <v>Россия</v>
      </c>
    </row>
    <row r="653" spans="1:16" x14ac:dyDescent="0.25">
      <c r="A653">
        <v>652</v>
      </c>
      <c r="B653">
        <v>112</v>
      </c>
      <c r="C653">
        <v>237</v>
      </c>
      <c r="D653">
        <v>3</v>
      </c>
      <c r="E653">
        <v>711</v>
      </c>
      <c r="F653" s="23">
        <v>45079</v>
      </c>
      <c r="G653" t="s">
        <v>25</v>
      </c>
      <c r="H653">
        <v>342</v>
      </c>
      <c r="I653" t="str">
        <f>VLOOKUP(Продажи[[#This Row],[id товара]],Товары[#All],2,FALSE)</f>
        <v>Молоко</v>
      </c>
      <c r="J653" s="19">
        <f>AVERAGEIF(Продажи[Категория товара],Продажи[[#This Row],[Категория товара]],Продажи[цена за шт в рублях])</f>
        <v>294.95238095238096</v>
      </c>
      <c r="K653" s="20">
        <f>Продажи[[#This Row],[цена за шт в рублях]]/Продажи[[#This Row],[Средняя цена в категории за шт]]-1</f>
        <v>-0.19648046496609628</v>
      </c>
      <c r="L653" t="str">
        <f>VLOOKUP(Продажи[[#This Row],[id товара]],Товары[#All],3,FALSE)</f>
        <v>Беллакт</v>
      </c>
      <c r="M6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653" s="23">
        <f>VLOOKUP(Продажи[[#This Row],[id клиента]],Таблица4[#All],5,FALSE)</f>
        <v>44570</v>
      </c>
      <c r="O653">
        <f>Продажи[[#This Row],[дата создания чека]]-Продажи[[#This Row],[Дата регистрации клиентов]]</f>
        <v>509</v>
      </c>
      <c r="P653" t="str">
        <f>VLOOKUP(Продажи[[#This Row],[id клиента]],Таблица4[#All],7,FALSE)</f>
        <v>Таджикистан</v>
      </c>
    </row>
    <row r="654" spans="1:16" x14ac:dyDescent="0.25">
      <c r="A654">
        <v>653</v>
      </c>
      <c r="B654">
        <v>131</v>
      </c>
      <c r="C654">
        <v>116</v>
      </c>
      <c r="D654">
        <v>5</v>
      </c>
      <c r="E654">
        <v>580</v>
      </c>
      <c r="F654" s="23">
        <v>45184</v>
      </c>
      <c r="G654" t="s">
        <v>9</v>
      </c>
      <c r="H654">
        <v>246</v>
      </c>
      <c r="I654" t="str">
        <f>VLOOKUP(Продажи[[#This Row],[id товара]],Товары[#All],2,FALSE)</f>
        <v>Сок</v>
      </c>
      <c r="J654" s="19">
        <f>AVERAGEIF(Продажи[Категория товара],Продажи[[#This Row],[Категория товара]],Продажи[цена за шт в рублях])</f>
        <v>268.60344827586209</v>
      </c>
      <c r="K654" s="20">
        <f>Продажи[[#This Row],[цена за шт в рублях]]/Продажи[[#This Row],[Средняя цена в категории за шт]]-1</f>
        <v>-0.568136594133128</v>
      </c>
      <c r="L654" t="str">
        <f>VLOOKUP(Продажи[[#This Row],[id товара]],Товары[#All],3,FALSE)</f>
        <v>Сады Придонья</v>
      </c>
      <c r="M6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654" s="23">
        <f>VLOOKUP(Продажи[[#This Row],[id клиента]],Таблица4[#All],5,FALSE)</f>
        <v>44805</v>
      </c>
      <c r="O654">
        <f>Продажи[[#This Row],[дата создания чека]]-Продажи[[#This Row],[Дата регистрации клиентов]]</f>
        <v>379</v>
      </c>
      <c r="P654" t="str">
        <f>VLOOKUP(Продажи[[#This Row],[id клиента]],Таблица4[#All],7,FALSE)</f>
        <v>Узбекистан</v>
      </c>
    </row>
    <row r="655" spans="1:16" x14ac:dyDescent="0.25">
      <c r="A655">
        <v>654</v>
      </c>
      <c r="B655">
        <v>230</v>
      </c>
      <c r="C655">
        <v>453</v>
      </c>
      <c r="D655">
        <v>3</v>
      </c>
      <c r="E655">
        <v>1359</v>
      </c>
      <c r="F655" s="23">
        <v>45324</v>
      </c>
      <c r="G655" t="s">
        <v>27</v>
      </c>
      <c r="H655">
        <v>175</v>
      </c>
      <c r="I655" t="str">
        <f>VLOOKUP(Продажи[[#This Row],[id товара]],Товары[#All],2,FALSE)</f>
        <v>Сок</v>
      </c>
      <c r="J655" s="19">
        <f>AVERAGEIF(Продажи[Категория товара],Продажи[[#This Row],[Категория товара]],Продажи[цена за шт в рублях])</f>
        <v>268.60344827586209</v>
      </c>
      <c r="K655" s="20">
        <f>Продажи[[#This Row],[цена за шт в рублях]]/Продажи[[#This Row],[Средняя цена в категории за шт]]-1</f>
        <v>0.68650105911804338</v>
      </c>
      <c r="L655" t="str">
        <f>VLOOKUP(Продажи[[#This Row],[id товара]],Товары[#All],3,FALSE)</f>
        <v>Фруктовый сад</v>
      </c>
      <c r="M6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655" s="23">
        <f>VLOOKUP(Продажи[[#This Row],[id клиента]],Таблица4[#All],5,FALSE)</f>
        <v>44565</v>
      </c>
      <c r="O655">
        <f>Продажи[[#This Row],[дата создания чека]]-Продажи[[#This Row],[Дата регистрации клиентов]]</f>
        <v>759</v>
      </c>
      <c r="P655" t="str">
        <f>VLOOKUP(Продажи[[#This Row],[id клиента]],Таблица4[#All],7,FALSE)</f>
        <v>Россия</v>
      </c>
    </row>
    <row r="656" spans="1:16" x14ac:dyDescent="0.25">
      <c r="A656">
        <v>655</v>
      </c>
      <c r="B656">
        <v>39</v>
      </c>
      <c r="C656">
        <v>375</v>
      </c>
      <c r="D656">
        <v>2</v>
      </c>
      <c r="E656">
        <v>750</v>
      </c>
      <c r="F656" s="23">
        <v>45289</v>
      </c>
      <c r="G656" t="s">
        <v>22</v>
      </c>
      <c r="H656">
        <v>366</v>
      </c>
      <c r="I656" t="str">
        <f>VLOOKUP(Продажи[[#This Row],[id товара]],Товары[#All],2,FALSE)</f>
        <v>Сыр</v>
      </c>
      <c r="J656" s="19">
        <f>AVERAGEIF(Продажи[Категория товара],Продажи[[#This Row],[Категория товара]],Продажи[цена за шт в рублях])</f>
        <v>262.63492063492066</v>
      </c>
      <c r="K656" s="20">
        <f>Продажи[[#This Row],[цена за шт в рублях]]/Продажи[[#This Row],[Средняя цена в категории за шт]]-1</f>
        <v>0.4278375438172366</v>
      </c>
      <c r="L656" t="str">
        <f>VLOOKUP(Продажи[[#This Row],[id товара]],Товары[#All],3,FALSE)</f>
        <v>Сырная долина</v>
      </c>
      <c r="M6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656" s="23">
        <f>VLOOKUP(Продажи[[#This Row],[id клиента]],Таблица4[#All],5,FALSE)</f>
        <v>44827</v>
      </c>
      <c r="O656">
        <f>Продажи[[#This Row],[дата создания чека]]-Продажи[[#This Row],[Дата регистрации клиентов]]</f>
        <v>462</v>
      </c>
      <c r="P656" t="str">
        <f>VLOOKUP(Продажи[[#This Row],[id клиента]],Таблица4[#All],7,FALSE)</f>
        <v>Узбекистан</v>
      </c>
    </row>
    <row r="657" spans="1:16" x14ac:dyDescent="0.25">
      <c r="A657">
        <v>656</v>
      </c>
      <c r="B657">
        <v>481</v>
      </c>
      <c r="C657">
        <v>374</v>
      </c>
      <c r="D657">
        <v>5</v>
      </c>
      <c r="E657">
        <v>1870</v>
      </c>
      <c r="F657" s="23">
        <v>45099</v>
      </c>
      <c r="G657" t="s">
        <v>22</v>
      </c>
      <c r="H657">
        <v>254</v>
      </c>
      <c r="I657" t="str">
        <f>VLOOKUP(Продажи[[#This Row],[id товара]],Товары[#All],2,FALSE)</f>
        <v>Чипсы</v>
      </c>
      <c r="J657" s="19">
        <f>AVERAGEIF(Продажи[Категория товара],Продажи[[#This Row],[Категория товара]],Продажи[цена за шт в рублях])</f>
        <v>273.72549019607845</v>
      </c>
      <c r="K657" s="20">
        <f>Продажи[[#This Row],[цена за шт в рублях]]/Продажи[[#This Row],[Средняя цена в категории за шт]]-1</f>
        <v>0.36633237822349551</v>
      </c>
      <c r="L657" t="str">
        <f>VLOOKUP(Продажи[[#This Row],[id товара]],Товары[#All],3,FALSE)</f>
        <v>Pringles</v>
      </c>
      <c r="M6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657" s="23">
        <f>VLOOKUP(Продажи[[#This Row],[id клиента]],Таблица4[#All],5,FALSE)</f>
        <v>44862</v>
      </c>
      <c r="O657">
        <f>Продажи[[#This Row],[дата создания чека]]-Продажи[[#This Row],[Дата регистрации клиентов]]</f>
        <v>237</v>
      </c>
      <c r="P657" t="str">
        <f>VLOOKUP(Продажи[[#This Row],[id клиента]],Таблица4[#All],7,FALSE)</f>
        <v>Беларусь</v>
      </c>
    </row>
    <row r="658" spans="1:16" x14ac:dyDescent="0.25">
      <c r="A658">
        <v>657</v>
      </c>
      <c r="B658">
        <v>438</v>
      </c>
      <c r="C658">
        <v>81</v>
      </c>
      <c r="D658">
        <v>4</v>
      </c>
      <c r="E658">
        <v>324</v>
      </c>
      <c r="F658" s="23">
        <v>45272</v>
      </c>
      <c r="G658" t="s">
        <v>24</v>
      </c>
      <c r="H658">
        <v>79</v>
      </c>
      <c r="I658" t="str">
        <f>VLOOKUP(Продажи[[#This Row],[id товара]],Товары[#All],2,FALSE)</f>
        <v>Кофе</v>
      </c>
      <c r="J658" s="19">
        <f>AVERAGEIF(Продажи[Категория товара],Продажи[[#This Row],[Категория товара]],Продажи[цена за шт в рублях])</f>
        <v>249.02380952380952</v>
      </c>
      <c r="K658" s="20">
        <f>Продажи[[#This Row],[цена за шт в рублях]]/Продажи[[#This Row],[Средняя цена в категории за шт]]-1</f>
        <v>-0.67472989769576441</v>
      </c>
      <c r="L658" t="str">
        <f>VLOOKUP(Продажи[[#This Row],[id товара]],Товары[#All],3,FALSE)</f>
        <v>Nescafe</v>
      </c>
      <c r="M6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658" s="23">
        <f>VLOOKUP(Продажи[[#This Row],[id клиента]],Таблица4[#All],5,FALSE)</f>
        <v>44716</v>
      </c>
      <c r="O658">
        <f>Продажи[[#This Row],[дата создания чека]]-Продажи[[#This Row],[Дата регистрации клиентов]]</f>
        <v>556</v>
      </c>
      <c r="P658" t="str">
        <f>VLOOKUP(Продажи[[#This Row],[id клиента]],Таблица4[#All],7,FALSE)</f>
        <v>Таджикистан</v>
      </c>
    </row>
    <row r="659" spans="1:16" x14ac:dyDescent="0.25">
      <c r="A659">
        <v>658</v>
      </c>
      <c r="B659">
        <v>316</v>
      </c>
      <c r="C659">
        <v>428</v>
      </c>
      <c r="D659">
        <v>3</v>
      </c>
      <c r="E659">
        <v>1284</v>
      </c>
      <c r="F659" s="23">
        <v>45387</v>
      </c>
      <c r="G659" t="s">
        <v>12</v>
      </c>
      <c r="H659">
        <v>70</v>
      </c>
      <c r="I659" t="str">
        <f>VLOOKUP(Продажи[[#This Row],[id товара]],Товары[#All],2,FALSE)</f>
        <v>Макароны</v>
      </c>
      <c r="J659" s="19">
        <f>AVERAGEIF(Продажи[Категория товара],Продажи[[#This Row],[Категория товара]],Продажи[цена за шт в рублях])</f>
        <v>265.47674418604652</v>
      </c>
      <c r="K659" s="20">
        <f>Продажи[[#This Row],[цена за шт в рублях]]/Продажи[[#This Row],[Средняя цена в категории за шт]]-1</f>
        <v>0.61219394682668304</v>
      </c>
      <c r="L659" t="str">
        <f>VLOOKUP(Продажи[[#This Row],[id товара]],Товары[#All],3,FALSE)</f>
        <v>Борилла</v>
      </c>
      <c r="M6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659" s="23">
        <f>VLOOKUP(Продажи[[#This Row],[id клиента]],Таблица4[#All],5,FALSE)</f>
        <v>44591</v>
      </c>
      <c r="O659">
        <f>Продажи[[#This Row],[дата создания чека]]-Продажи[[#This Row],[Дата регистрации клиентов]]</f>
        <v>796</v>
      </c>
      <c r="P659" t="str">
        <f>VLOOKUP(Продажи[[#This Row],[id клиента]],Таблица4[#All],7,FALSE)</f>
        <v>Украина</v>
      </c>
    </row>
    <row r="660" spans="1:16" x14ac:dyDescent="0.25">
      <c r="A660">
        <v>659</v>
      </c>
      <c r="B660">
        <v>174</v>
      </c>
      <c r="C660">
        <v>456</v>
      </c>
      <c r="D660">
        <v>3</v>
      </c>
      <c r="E660">
        <v>1368</v>
      </c>
      <c r="F660" s="23">
        <v>45282</v>
      </c>
      <c r="G660" t="s">
        <v>23</v>
      </c>
      <c r="H660">
        <v>76</v>
      </c>
      <c r="I660" t="str">
        <f>VLOOKUP(Продажи[[#This Row],[id товара]],Товары[#All],2,FALSE)</f>
        <v>Чай</v>
      </c>
      <c r="J660" s="19">
        <f>AVERAGEIF(Продажи[Категория товара],Продажи[[#This Row],[Категория товара]],Продажи[цена за шт в рублях])</f>
        <v>271.18181818181819</v>
      </c>
      <c r="K660" s="20">
        <f>Продажи[[#This Row],[цена за шт в рублях]]/Продажи[[#This Row],[Средняя цена в категории за шт]]-1</f>
        <v>0.68152866242038224</v>
      </c>
      <c r="L660" t="str">
        <f>VLOOKUP(Продажи[[#This Row],[id товара]],Товары[#All],3,FALSE)</f>
        <v>Ахмад</v>
      </c>
      <c r="M6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660" s="23">
        <f>VLOOKUP(Продажи[[#This Row],[id клиента]],Таблица4[#All],5,FALSE)</f>
        <v>44575</v>
      </c>
      <c r="O660">
        <f>Продажи[[#This Row],[дата создания чека]]-Продажи[[#This Row],[Дата регистрации клиентов]]</f>
        <v>707</v>
      </c>
      <c r="P660" t="str">
        <f>VLOOKUP(Продажи[[#This Row],[id клиента]],Таблица4[#All],7,FALSE)</f>
        <v>Беларусь</v>
      </c>
    </row>
    <row r="661" spans="1:16" x14ac:dyDescent="0.25">
      <c r="A661">
        <v>660</v>
      </c>
      <c r="B661">
        <v>228</v>
      </c>
      <c r="C661">
        <v>247</v>
      </c>
      <c r="D661">
        <v>4</v>
      </c>
      <c r="E661">
        <v>988</v>
      </c>
      <c r="F661" s="23">
        <v>45415</v>
      </c>
      <c r="G661" t="s">
        <v>19</v>
      </c>
      <c r="H661">
        <v>147</v>
      </c>
      <c r="I661" t="str">
        <f>VLOOKUP(Продажи[[#This Row],[id товара]],Товары[#All],2,FALSE)</f>
        <v>Рис</v>
      </c>
      <c r="J661" s="19">
        <f>AVERAGEIF(Продажи[Категория товара],Продажи[[#This Row],[Категория товара]],Продажи[цена за шт в рублях])</f>
        <v>258.375</v>
      </c>
      <c r="K661" s="20">
        <f>Продажи[[#This Row],[цена за шт в рублях]]/Продажи[[#This Row],[Средняя цена в категории за шт]]-1</f>
        <v>-4.4025157232704393E-2</v>
      </c>
      <c r="L661" t="str">
        <f>VLOOKUP(Продажи[[#This Row],[id товара]],Товары[#All],3,FALSE)</f>
        <v>Мистраль</v>
      </c>
      <c r="M6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661" s="23">
        <f>VLOOKUP(Продажи[[#This Row],[id клиента]],Таблица4[#All],5,FALSE)</f>
        <v>44827</v>
      </c>
      <c r="O661">
        <f>Продажи[[#This Row],[дата создания чека]]-Продажи[[#This Row],[Дата регистрации клиентов]]</f>
        <v>588</v>
      </c>
      <c r="P661" t="str">
        <f>VLOOKUP(Продажи[[#This Row],[id клиента]],Таблица4[#All],7,FALSE)</f>
        <v>Россия</v>
      </c>
    </row>
    <row r="662" spans="1:16" x14ac:dyDescent="0.25">
      <c r="A662">
        <v>661</v>
      </c>
      <c r="B662">
        <v>269</v>
      </c>
      <c r="C662">
        <v>455</v>
      </c>
      <c r="D662">
        <v>5</v>
      </c>
      <c r="E662">
        <v>2275</v>
      </c>
      <c r="F662" s="23">
        <v>45104</v>
      </c>
      <c r="G662" t="s">
        <v>11</v>
      </c>
      <c r="H662">
        <v>345</v>
      </c>
      <c r="I662" t="str">
        <f>VLOOKUP(Продажи[[#This Row],[id товара]],Товары[#All],2,FALSE)</f>
        <v>Сахар</v>
      </c>
      <c r="J662" s="19">
        <f>AVERAGEIF(Продажи[Категория товара],Продажи[[#This Row],[Категория товара]],Продажи[цена за шт в рублях])</f>
        <v>252.76271186440678</v>
      </c>
      <c r="K662" s="20">
        <f>Продажи[[#This Row],[цена за шт в рублях]]/Продажи[[#This Row],[Средняя цена в категории за шт]]-1</f>
        <v>0.80010728894253336</v>
      </c>
      <c r="L662" t="str">
        <f>VLOOKUP(Продажи[[#This Row],[id товара]],Товары[#All],3,FALSE)</f>
        <v>Русский сахар</v>
      </c>
      <c r="M6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662" s="23">
        <f>VLOOKUP(Продажи[[#This Row],[id клиента]],Таблица4[#All],5,FALSE)</f>
        <v>44705</v>
      </c>
      <c r="O662">
        <f>Продажи[[#This Row],[дата создания чека]]-Продажи[[#This Row],[Дата регистрации клиентов]]</f>
        <v>399</v>
      </c>
      <c r="P662" t="str">
        <f>VLOOKUP(Продажи[[#This Row],[id клиента]],Таблица4[#All],7,FALSE)</f>
        <v>Беларусь</v>
      </c>
    </row>
    <row r="663" spans="1:16" x14ac:dyDescent="0.25">
      <c r="A663">
        <v>662</v>
      </c>
      <c r="B663">
        <v>461</v>
      </c>
      <c r="C663">
        <v>388</v>
      </c>
      <c r="D663">
        <v>4</v>
      </c>
      <c r="E663">
        <v>1552</v>
      </c>
      <c r="F663" s="23">
        <v>45293</v>
      </c>
      <c r="G663" t="s">
        <v>21</v>
      </c>
      <c r="H663">
        <v>303</v>
      </c>
      <c r="I663" t="str">
        <f>VLOOKUP(Продажи[[#This Row],[id товара]],Товары[#All],2,FALSE)</f>
        <v>Фрукты</v>
      </c>
      <c r="J663" s="19">
        <f>AVERAGEIF(Продажи[Категория товара],Продажи[[#This Row],[Категория товара]],Продажи[цена за шт в рублях])</f>
        <v>274.16279069767444</v>
      </c>
      <c r="K663" s="20">
        <f>Продажи[[#This Row],[цена за шт в рублях]]/Продажи[[#This Row],[Средняя цена в категории за шт]]-1</f>
        <v>0.41521757570616669</v>
      </c>
      <c r="L663" t="str">
        <f>VLOOKUP(Продажи[[#This Row],[id товара]],Товары[#All],3,FALSE)</f>
        <v>Green Garden</v>
      </c>
      <c r="M6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369.2</v>
      </c>
      <c r="N663" s="23">
        <f>VLOOKUP(Продажи[[#This Row],[id клиента]],Таблица4[#All],5,FALSE)</f>
        <v>44689</v>
      </c>
      <c r="O663">
        <f>Продажи[[#This Row],[дата создания чека]]-Продажи[[#This Row],[Дата регистрации клиентов]]</f>
        <v>604</v>
      </c>
      <c r="P663" t="str">
        <f>VLOOKUP(Продажи[[#This Row],[id клиента]],Таблица4[#All],7,FALSE)</f>
        <v>Узбекистан</v>
      </c>
    </row>
    <row r="664" spans="1:16" x14ac:dyDescent="0.25">
      <c r="A664">
        <v>663</v>
      </c>
      <c r="B664">
        <v>151</v>
      </c>
      <c r="C664">
        <v>496</v>
      </c>
      <c r="D664">
        <v>3</v>
      </c>
      <c r="E664">
        <v>1488</v>
      </c>
      <c r="F664" s="23">
        <v>45181</v>
      </c>
      <c r="G664" t="s">
        <v>22</v>
      </c>
      <c r="H664">
        <v>436</v>
      </c>
      <c r="I664" t="str">
        <f>VLOOKUP(Продажи[[#This Row],[id товара]],Товары[#All],2,FALSE)</f>
        <v>Молоко</v>
      </c>
      <c r="J664" s="19">
        <f>AVERAGEIF(Продажи[Категория товара],Продажи[[#This Row],[Категория товара]],Продажи[цена за шт в рублях])</f>
        <v>294.95238095238096</v>
      </c>
      <c r="K664" s="20">
        <f>Продажи[[#This Row],[цена за шт в рублях]]/Продажи[[#This Row],[Средняя цена в категории за шт]]-1</f>
        <v>0.68162738133677747</v>
      </c>
      <c r="L664" t="str">
        <f>VLOOKUP(Продажи[[#This Row],[id товара]],Товары[#All],3,FALSE)</f>
        <v>Беллакт</v>
      </c>
      <c r="M6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664" s="23">
        <f>VLOOKUP(Продажи[[#This Row],[id клиента]],Таблица4[#All],5,FALSE)</f>
        <v>44683</v>
      </c>
      <c r="O664">
        <f>Продажи[[#This Row],[дата создания чека]]-Продажи[[#This Row],[Дата регистрации клиентов]]</f>
        <v>498</v>
      </c>
      <c r="P664" t="str">
        <f>VLOOKUP(Продажи[[#This Row],[id клиента]],Таблица4[#All],7,FALSE)</f>
        <v>Россия</v>
      </c>
    </row>
    <row r="665" spans="1:16" x14ac:dyDescent="0.25">
      <c r="A665">
        <v>664</v>
      </c>
      <c r="B665">
        <v>386</v>
      </c>
      <c r="C665">
        <v>295</v>
      </c>
      <c r="D665">
        <v>3</v>
      </c>
      <c r="E665">
        <v>885</v>
      </c>
      <c r="F665" s="23">
        <v>45194</v>
      </c>
      <c r="G665" t="s">
        <v>19</v>
      </c>
      <c r="H665">
        <v>25</v>
      </c>
      <c r="I665" t="str">
        <f>VLOOKUP(Продажи[[#This Row],[id товара]],Товары[#All],2,FALSE)</f>
        <v>Крупа</v>
      </c>
      <c r="J665" s="19">
        <f>AVERAGEIF(Продажи[Категория товара],Продажи[[#This Row],[Категория товара]],Продажи[цена за шт в рублях])</f>
        <v>255.11627906976744</v>
      </c>
      <c r="K665" s="20">
        <f>Продажи[[#This Row],[цена за шт в рублях]]/Продажи[[#This Row],[Средняя цена в категории за шт]]-1</f>
        <v>0.15633546034639934</v>
      </c>
      <c r="L665" t="str">
        <f>VLOOKUP(Продажи[[#This Row],[id товара]],Товары[#All],3,FALSE)</f>
        <v>Увелка</v>
      </c>
      <c r="M6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665" s="23">
        <f>VLOOKUP(Продажи[[#This Row],[id клиента]],Таблица4[#All],5,FALSE)</f>
        <v>44582</v>
      </c>
      <c r="O665">
        <f>Продажи[[#This Row],[дата создания чека]]-Продажи[[#This Row],[Дата регистрации клиентов]]</f>
        <v>612</v>
      </c>
      <c r="P665" t="str">
        <f>VLOOKUP(Продажи[[#This Row],[id клиента]],Таблица4[#All],7,FALSE)</f>
        <v>Таджикистан</v>
      </c>
    </row>
    <row r="666" spans="1:16" x14ac:dyDescent="0.25">
      <c r="A666">
        <v>665</v>
      </c>
      <c r="B666">
        <v>452</v>
      </c>
      <c r="C666">
        <v>226</v>
      </c>
      <c r="D666">
        <v>4</v>
      </c>
      <c r="E666">
        <v>904</v>
      </c>
      <c r="F666" s="23">
        <v>45153</v>
      </c>
      <c r="G666" t="s">
        <v>27</v>
      </c>
      <c r="H666">
        <v>33</v>
      </c>
      <c r="I666" t="str">
        <f>VLOOKUP(Продажи[[#This Row],[id товара]],Товары[#All],2,FALSE)</f>
        <v>Фрукты</v>
      </c>
      <c r="J666" s="19">
        <f>AVERAGEIF(Продажи[Категория товара],Продажи[[#This Row],[Категория товара]],Продажи[цена за шт в рублях])</f>
        <v>274.16279069767444</v>
      </c>
      <c r="K666" s="20">
        <f>Продажи[[#This Row],[цена за шт в рублях]]/Продажи[[#This Row],[Средняя цена в категории за шт]]-1</f>
        <v>-0.17567223683094413</v>
      </c>
      <c r="L666" t="str">
        <f>VLOOKUP(Продажи[[#This Row],[id товара]],Товары[#All],3,FALSE)</f>
        <v>Экзотик</v>
      </c>
      <c r="M6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666" s="23">
        <f>VLOOKUP(Продажи[[#This Row],[id клиента]],Таблица4[#All],5,FALSE)</f>
        <v>44730</v>
      </c>
      <c r="O666">
        <f>Продажи[[#This Row],[дата создания чека]]-Продажи[[#This Row],[Дата регистрации клиентов]]</f>
        <v>423</v>
      </c>
      <c r="P666" t="str">
        <f>VLOOKUP(Продажи[[#This Row],[id клиента]],Таблица4[#All],7,FALSE)</f>
        <v>Россия</v>
      </c>
    </row>
    <row r="667" spans="1:16" x14ac:dyDescent="0.25">
      <c r="A667">
        <v>666</v>
      </c>
      <c r="B667">
        <v>37</v>
      </c>
      <c r="C667">
        <v>411</v>
      </c>
      <c r="D667">
        <v>5</v>
      </c>
      <c r="E667">
        <v>2055</v>
      </c>
      <c r="F667" s="23">
        <v>45140</v>
      </c>
      <c r="G667" t="s">
        <v>21</v>
      </c>
      <c r="H667">
        <v>7</v>
      </c>
      <c r="I667" t="str">
        <f>VLOOKUP(Продажи[[#This Row],[id товара]],Товары[#All],2,FALSE)</f>
        <v>Соль</v>
      </c>
      <c r="J667" s="19">
        <f>AVERAGEIF(Продажи[Категория товара],Продажи[[#This Row],[Категория товара]],Продажи[цена за шт в рублях])</f>
        <v>264.8679245283019</v>
      </c>
      <c r="K667" s="20">
        <f>Продажи[[#This Row],[цена за шт в рублях]]/Продажи[[#This Row],[Средняя цена в категории за шт]]-1</f>
        <v>0.55171676877048004</v>
      </c>
      <c r="L667" t="str">
        <f>VLOOKUP(Продажи[[#This Row],[id товара]],Товары[#All],3,FALSE)</f>
        <v>Илецкая</v>
      </c>
      <c r="M6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667" s="23">
        <f>VLOOKUP(Продажи[[#This Row],[id клиента]],Таблица4[#All],5,FALSE)</f>
        <v>44893</v>
      </c>
      <c r="O667">
        <f>Продажи[[#This Row],[дата создания чека]]-Продажи[[#This Row],[Дата регистрации клиентов]]</f>
        <v>247</v>
      </c>
      <c r="P667" t="str">
        <f>VLOOKUP(Продажи[[#This Row],[id клиента]],Таблица4[#All],7,FALSE)</f>
        <v>Россия</v>
      </c>
    </row>
    <row r="668" spans="1:16" x14ac:dyDescent="0.25">
      <c r="A668">
        <v>667</v>
      </c>
      <c r="B668">
        <v>27</v>
      </c>
      <c r="C668">
        <v>301</v>
      </c>
      <c r="D668">
        <v>1</v>
      </c>
      <c r="E668">
        <v>301</v>
      </c>
      <c r="F668" s="23">
        <v>44931</v>
      </c>
      <c r="G668" t="s">
        <v>22</v>
      </c>
      <c r="H668">
        <v>494</v>
      </c>
      <c r="I668" t="str">
        <f>VLOOKUP(Продажи[[#This Row],[id товара]],Товары[#All],2,FALSE)</f>
        <v>Макароны</v>
      </c>
      <c r="J668" s="19">
        <f>AVERAGEIF(Продажи[Категория товара],Продажи[[#This Row],[Категория товара]],Продажи[цена за шт в рублях])</f>
        <v>265.47674418604652</v>
      </c>
      <c r="K668" s="20">
        <f>Продажи[[#This Row],[цена за шт в рублях]]/Продажи[[#This Row],[Средняя цена в категории за шт]]-1</f>
        <v>0.13380929438044764</v>
      </c>
      <c r="L668" t="str">
        <f>VLOOKUP(Продажи[[#This Row],[id товара]],Товары[#All],3,FALSE)</f>
        <v>Паста Зара</v>
      </c>
      <c r="M6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68" s="23">
        <f>VLOOKUP(Продажи[[#This Row],[id клиента]],Таблица4[#All],5,FALSE)</f>
        <v>44738</v>
      </c>
      <c r="O668">
        <f>Продажи[[#This Row],[дата создания чека]]-Продажи[[#This Row],[Дата регистрации клиентов]]</f>
        <v>193</v>
      </c>
      <c r="P668" t="str">
        <f>VLOOKUP(Продажи[[#This Row],[id клиента]],Таблица4[#All],7,FALSE)</f>
        <v>Беларусь</v>
      </c>
    </row>
    <row r="669" spans="1:16" x14ac:dyDescent="0.25">
      <c r="A669">
        <v>668</v>
      </c>
      <c r="B669">
        <v>435</v>
      </c>
      <c r="C669">
        <v>452</v>
      </c>
      <c r="D669">
        <v>4</v>
      </c>
      <c r="E669">
        <v>1808</v>
      </c>
      <c r="F669" s="23">
        <v>44927</v>
      </c>
      <c r="G669" t="s">
        <v>13</v>
      </c>
      <c r="H669">
        <v>420</v>
      </c>
      <c r="I669" t="str">
        <f>VLOOKUP(Продажи[[#This Row],[id товара]],Товары[#All],2,FALSE)</f>
        <v>Мясо</v>
      </c>
      <c r="J669" s="19">
        <f>AVERAGEIF(Продажи[Категория товара],Продажи[[#This Row],[Категория товара]],Продажи[цена за шт в рублях])</f>
        <v>271.74545454545455</v>
      </c>
      <c r="K669" s="20">
        <f>Продажи[[#This Row],[цена за шт в рублях]]/Продажи[[#This Row],[Средняя цена в категории за шт]]-1</f>
        <v>0.66332128997725137</v>
      </c>
      <c r="L669" t="str">
        <f>VLOOKUP(Продажи[[#This Row],[id товара]],Товары[#All],3,FALSE)</f>
        <v>Снежана</v>
      </c>
      <c r="M6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669" s="23">
        <f>VLOOKUP(Продажи[[#This Row],[id клиента]],Таблица4[#All],5,FALSE)</f>
        <v>44698</v>
      </c>
      <c r="O669">
        <f>Продажи[[#This Row],[дата создания чека]]-Продажи[[#This Row],[Дата регистрации клиентов]]</f>
        <v>229</v>
      </c>
      <c r="P669" t="str">
        <f>VLOOKUP(Продажи[[#This Row],[id клиента]],Таблица4[#All],7,FALSE)</f>
        <v>Украина</v>
      </c>
    </row>
    <row r="670" spans="1:16" x14ac:dyDescent="0.25">
      <c r="A670">
        <v>669</v>
      </c>
      <c r="B670">
        <v>101</v>
      </c>
      <c r="C670">
        <v>293</v>
      </c>
      <c r="D670">
        <v>1</v>
      </c>
      <c r="E670">
        <v>293</v>
      </c>
      <c r="F670" s="23">
        <v>45165</v>
      </c>
      <c r="G670" t="s">
        <v>22</v>
      </c>
      <c r="H670">
        <v>75</v>
      </c>
      <c r="I670" t="str">
        <f>VLOOKUP(Продажи[[#This Row],[id товара]],Товары[#All],2,FALSE)</f>
        <v>Чай</v>
      </c>
      <c r="J670" s="19">
        <f>AVERAGEIF(Продажи[Категория товара],Продажи[[#This Row],[Категория товара]],Продажи[цена за шт в рублях])</f>
        <v>271.18181818181819</v>
      </c>
      <c r="K670" s="20">
        <f>Продажи[[#This Row],[цена за шт в рублях]]/Продажи[[#This Row],[Средняя цена в категории за шт]]-1</f>
        <v>8.0455916862219201E-2</v>
      </c>
      <c r="L670" t="str">
        <f>VLOOKUP(Продажи[[#This Row],[id товара]],Товары[#All],3,FALSE)</f>
        <v>Ахмад</v>
      </c>
      <c r="M6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670" s="23">
        <f>VLOOKUP(Продажи[[#This Row],[id клиента]],Таблица4[#All],5,FALSE)</f>
        <v>44796</v>
      </c>
      <c r="O670">
        <f>Продажи[[#This Row],[дата создания чека]]-Продажи[[#This Row],[Дата регистрации клиентов]]</f>
        <v>369</v>
      </c>
      <c r="P670" t="str">
        <f>VLOOKUP(Продажи[[#This Row],[id клиента]],Таблица4[#All],7,FALSE)</f>
        <v>Украина</v>
      </c>
    </row>
    <row r="671" spans="1:16" x14ac:dyDescent="0.25">
      <c r="A671">
        <v>670</v>
      </c>
      <c r="B671">
        <v>423</v>
      </c>
      <c r="C671">
        <v>382</v>
      </c>
      <c r="D671">
        <v>2</v>
      </c>
      <c r="E671">
        <v>764</v>
      </c>
      <c r="F671" s="23">
        <v>45283</v>
      </c>
      <c r="G671" t="s">
        <v>16</v>
      </c>
      <c r="H671">
        <v>83</v>
      </c>
      <c r="I671" t="str">
        <f>VLOOKUP(Продажи[[#This Row],[id товара]],Товары[#All],2,FALSE)</f>
        <v>Чипсы</v>
      </c>
      <c r="J671" s="19">
        <f>AVERAGEIF(Продажи[Категория товара],Продажи[[#This Row],[Категория товара]],Продажи[цена за шт в рублях])</f>
        <v>273.72549019607845</v>
      </c>
      <c r="K671" s="20">
        <f>Продажи[[#This Row],[цена за шт в рублях]]/Продажи[[#This Row],[Средняя цена в категории за шт]]-1</f>
        <v>0.39555873925501417</v>
      </c>
      <c r="L671" t="str">
        <f>VLOOKUP(Продажи[[#This Row],[id товара]],Товары[#All],3,FALSE)</f>
        <v>Pringles</v>
      </c>
      <c r="M6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671" s="23">
        <f>VLOOKUP(Продажи[[#This Row],[id клиента]],Таблица4[#All],5,FALSE)</f>
        <v>44739</v>
      </c>
      <c r="O671">
        <f>Продажи[[#This Row],[дата создания чека]]-Продажи[[#This Row],[Дата регистрации клиентов]]</f>
        <v>544</v>
      </c>
      <c r="P671" t="str">
        <f>VLOOKUP(Продажи[[#This Row],[id клиента]],Таблица4[#All],7,FALSE)</f>
        <v>Таджикистан</v>
      </c>
    </row>
    <row r="672" spans="1:16" x14ac:dyDescent="0.25">
      <c r="A672">
        <v>671</v>
      </c>
      <c r="B672">
        <v>411</v>
      </c>
      <c r="C672">
        <v>158</v>
      </c>
      <c r="D672">
        <v>3</v>
      </c>
      <c r="E672">
        <v>474</v>
      </c>
      <c r="F672" s="23">
        <v>45070</v>
      </c>
      <c r="G672" t="s">
        <v>16</v>
      </c>
      <c r="H672">
        <v>109</v>
      </c>
      <c r="I672" t="str">
        <f>VLOOKUP(Продажи[[#This Row],[id товара]],Товары[#All],2,FALSE)</f>
        <v>Хлеб</v>
      </c>
      <c r="J672" s="19">
        <f>AVERAGEIF(Продажи[Категория товара],Продажи[[#This Row],[Категория товара]],Продажи[цена за шт в рублях])</f>
        <v>300.31818181818181</v>
      </c>
      <c r="K672" s="20">
        <f>Продажи[[#This Row],[цена за шт в рублях]]/Продажи[[#This Row],[Средняя цена в категории за шт]]-1</f>
        <v>-0.47389132738005146</v>
      </c>
      <c r="L672" t="str">
        <f>VLOOKUP(Продажи[[#This Row],[id товара]],Товары[#All],3,FALSE)</f>
        <v>Хлебный Дом</v>
      </c>
      <c r="M6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672" s="23">
        <f>VLOOKUP(Продажи[[#This Row],[id клиента]],Таблица4[#All],5,FALSE)</f>
        <v>44732</v>
      </c>
      <c r="O672">
        <f>Продажи[[#This Row],[дата создания чека]]-Продажи[[#This Row],[Дата регистрации клиентов]]</f>
        <v>338</v>
      </c>
      <c r="P672" t="str">
        <f>VLOOKUP(Продажи[[#This Row],[id клиента]],Таблица4[#All],7,FALSE)</f>
        <v>Украина</v>
      </c>
    </row>
    <row r="673" spans="1:16" x14ac:dyDescent="0.25">
      <c r="A673">
        <v>672</v>
      </c>
      <c r="B673">
        <v>381</v>
      </c>
      <c r="C673">
        <v>296</v>
      </c>
      <c r="D673">
        <v>4</v>
      </c>
      <c r="E673">
        <v>1184</v>
      </c>
      <c r="F673" s="23">
        <v>45106</v>
      </c>
      <c r="G673" t="s">
        <v>20</v>
      </c>
      <c r="H673">
        <v>465</v>
      </c>
      <c r="I673" t="str">
        <f>VLOOKUP(Продажи[[#This Row],[id товара]],Товары[#All],2,FALSE)</f>
        <v>Рыба</v>
      </c>
      <c r="J673" s="19">
        <f>AVERAGEIF(Продажи[Категория товара],Продажи[[#This Row],[Категория товара]],Продажи[цена за шт в рублях])</f>
        <v>258.5128205128205</v>
      </c>
      <c r="K673" s="20">
        <f>Продажи[[#This Row],[цена за шт в рублях]]/Продажи[[#This Row],[Средняя цена в категории за шт]]-1</f>
        <v>0.14501091053362436</v>
      </c>
      <c r="L673" t="str">
        <f>VLOOKUP(Продажи[[#This Row],[id товара]],Товары[#All],3,FALSE)</f>
        <v>Русское море</v>
      </c>
      <c r="M6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292.66666666666669</v>
      </c>
      <c r="N673" s="23">
        <f>VLOOKUP(Продажи[[#This Row],[id клиента]],Таблица4[#All],5,FALSE)</f>
        <v>44671</v>
      </c>
      <c r="O673">
        <f>Продажи[[#This Row],[дата создания чека]]-Продажи[[#This Row],[Дата регистрации клиентов]]</f>
        <v>435</v>
      </c>
      <c r="P673" t="str">
        <f>VLOOKUP(Продажи[[#This Row],[id клиента]],Таблица4[#All],7,FALSE)</f>
        <v>Узбекистан</v>
      </c>
    </row>
    <row r="674" spans="1:16" x14ac:dyDescent="0.25">
      <c r="A674">
        <v>673</v>
      </c>
      <c r="B674">
        <v>400</v>
      </c>
      <c r="C674">
        <v>345</v>
      </c>
      <c r="D674">
        <v>2</v>
      </c>
      <c r="E674">
        <v>690</v>
      </c>
      <c r="F674" s="23">
        <v>45143</v>
      </c>
      <c r="G674" t="s">
        <v>22</v>
      </c>
      <c r="H674">
        <v>18</v>
      </c>
      <c r="I674" t="str">
        <f>VLOOKUP(Продажи[[#This Row],[id товара]],Товары[#All],2,FALSE)</f>
        <v>Молоко</v>
      </c>
      <c r="J674" s="19">
        <f>AVERAGEIF(Продажи[Категория товара],Продажи[[#This Row],[Категория товара]],Продажи[цена за шт в рублях])</f>
        <v>294.95238095238096</v>
      </c>
      <c r="K674" s="20">
        <f>Продажи[[#This Row],[цена за шт в рублях]]/Продажи[[#This Row],[Средняя цена в категории за шт]]-1</f>
        <v>0.16968033580884723</v>
      </c>
      <c r="L674" t="str">
        <f>VLOOKUP(Продажи[[#This Row],[id товара]],Товары[#All],3,FALSE)</f>
        <v>Беллакт</v>
      </c>
      <c r="M6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674" s="23">
        <f>VLOOKUP(Продажи[[#This Row],[id клиента]],Таблица4[#All],5,FALSE)</f>
        <v>44578</v>
      </c>
      <c r="O674">
        <f>Продажи[[#This Row],[дата создания чека]]-Продажи[[#This Row],[Дата регистрации клиентов]]</f>
        <v>565</v>
      </c>
      <c r="P674" t="str">
        <f>VLOOKUP(Продажи[[#This Row],[id клиента]],Таблица4[#All],7,FALSE)</f>
        <v>Украина</v>
      </c>
    </row>
    <row r="675" spans="1:16" x14ac:dyDescent="0.25">
      <c r="A675">
        <v>674</v>
      </c>
      <c r="B675">
        <v>389</v>
      </c>
      <c r="C675">
        <v>155</v>
      </c>
      <c r="D675">
        <v>4</v>
      </c>
      <c r="E675">
        <v>620</v>
      </c>
      <c r="F675" s="23">
        <v>45412</v>
      </c>
      <c r="G675" t="s">
        <v>27</v>
      </c>
      <c r="H675">
        <v>376</v>
      </c>
      <c r="I675" t="str">
        <f>VLOOKUP(Продажи[[#This Row],[id товара]],Товары[#All],2,FALSE)</f>
        <v>Чай</v>
      </c>
      <c r="J675" s="19">
        <f>AVERAGEIF(Продажи[Категория товара],Продажи[[#This Row],[Категория товара]],Продажи[цена за шт в рублях])</f>
        <v>271.18181818181819</v>
      </c>
      <c r="K675" s="20">
        <f>Продажи[[#This Row],[цена за шт в рублях]]/Продажи[[#This Row],[Средняя цена в категории за шт]]-1</f>
        <v>-0.42842775729131743</v>
      </c>
      <c r="L675" t="str">
        <f>VLOOKUP(Продажи[[#This Row],[id товара]],Товары[#All],3,FALSE)</f>
        <v>Ахмад</v>
      </c>
      <c r="M6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243.3</v>
      </c>
      <c r="N675" s="23">
        <f>VLOOKUP(Продажи[[#This Row],[id клиента]],Таблица4[#All],5,FALSE)</f>
        <v>44730</v>
      </c>
      <c r="O675">
        <f>Продажи[[#This Row],[дата создания чека]]-Продажи[[#This Row],[Дата регистрации клиентов]]</f>
        <v>682</v>
      </c>
      <c r="P675" t="str">
        <f>VLOOKUP(Продажи[[#This Row],[id клиента]],Таблица4[#All],7,FALSE)</f>
        <v>Беларусь</v>
      </c>
    </row>
    <row r="676" spans="1:16" x14ac:dyDescent="0.25">
      <c r="A676">
        <v>675</v>
      </c>
      <c r="B676">
        <v>227</v>
      </c>
      <c r="C676">
        <v>300</v>
      </c>
      <c r="D676">
        <v>4</v>
      </c>
      <c r="E676">
        <v>1200</v>
      </c>
      <c r="F676" s="23">
        <v>44991</v>
      </c>
      <c r="G676" t="s">
        <v>16</v>
      </c>
      <c r="H676">
        <v>88</v>
      </c>
      <c r="I676" t="str">
        <f>VLOOKUP(Продажи[[#This Row],[id товара]],Товары[#All],2,FALSE)</f>
        <v>Макароны</v>
      </c>
      <c r="J676" s="19">
        <f>AVERAGEIF(Продажи[Категория товара],Продажи[[#This Row],[Категория товара]],Продажи[цена за шт в рублях])</f>
        <v>265.47674418604652</v>
      </c>
      <c r="K676" s="20">
        <f>Продажи[[#This Row],[цена за шт в рублях]]/Продажи[[#This Row],[Средняя цена в категории за шт]]-1</f>
        <v>0.13004248609346947</v>
      </c>
      <c r="L676" t="str">
        <f>VLOOKUP(Продажи[[#This Row],[id товара]],Товары[#All],3,FALSE)</f>
        <v>Макфа</v>
      </c>
      <c r="M6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676" s="23">
        <f>VLOOKUP(Продажи[[#This Row],[id клиента]],Таблица4[#All],5,FALSE)</f>
        <v>44630</v>
      </c>
      <c r="O676">
        <f>Продажи[[#This Row],[дата создания чека]]-Продажи[[#This Row],[Дата регистрации клиентов]]</f>
        <v>361</v>
      </c>
      <c r="P676" t="str">
        <f>VLOOKUP(Продажи[[#This Row],[id клиента]],Таблица4[#All],7,FALSE)</f>
        <v>Украина</v>
      </c>
    </row>
    <row r="677" spans="1:16" x14ac:dyDescent="0.25">
      <c r="A677">
        <v>676</v>
      </c>
      <c r="B677">
        <v>243</v>
      </c>
      <c r="C677">
        <v>371</v>
      </c>
      <c r="D677">
        <v>3</v>
      </c>
      <c r="E677">
        <v>1113</v>
      </c>
      <c r="F677" s="23">
        <v>45081</v>
      </c>
      <c r="G677" t="s">
        <v>9</v>
      </c>
      <c r="H677">
        <v>352</v>
      </c>
      <c r="I677" t="str">
        <f>VLOOKUP(Продажи[[#This Row],[id товара]],Товары[#All],2,FALSE)</f>
        <v>Рис</v>
      </c>
      <c r="J677" s="19">
        <f>AVERAGEIF(Продажи[Категория товара],Продажи[[#This Row],[Категория товара]],Продажи[цена за шт в рублях])</f>
        <v>258.375</v>
      </c>
      <c r="K677" s="20">
        <f>Продажи[[#This Row],[цена за шт в рублях]]/Продажи[[#This Row],[Средняя цена в категории за шт]]-1</f>
        <v>0.4358974358974359</v>
      </c>
      <c r="L677" t="str">
        <f>VLOOKUP(Продажи[[#This Row],[id товара]],Товары[#All],3,FALSE)</f>
        <v>Белый Злат</v>
      </c>
      <c r="M6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677" s="23">
        <f>VLOOKUP(Продажи[[#This Row],[id клиента]],Таблица4[#All],5,FALSE)</f>
        <v>44573</v>
      </c>
      <c r="O677">
        <f>Продажи[[#This Row],[дата создания чека]]-Продажи[[#This Row],[Дата регистрации клиентов]]</f>
        <v>508</v>
      </c>
      <c r="P677" t="str">
        <f>VLOOKUP(Продажи[[#This Row],[id клиента]],Таблица4[#All],7,FALSE)</f>
        <v>Россия</v>
      </c>
    </row>
    <row r="678" spans="1:16" x14ac:dyDescent="0.25">
      <c r="A678">
        <v>677</v>
      </c>
      <c r="B678">
        <v>187</v>
      </c>
      <c r="C678">
        <v>273</v>
      </c>
      <c r="D678">
        <v>3</v>
      </c>
      <c r="E678">
        <v>819</v>
      </c>
      <c r="F678" s="23">
        <v>44980</v>
      </c>
      <c r="G678" t="s">
        <v>24</v>
      </c>
      <c r="H678">
        <v>452</v>
      </c>
      <c r="I678" t="str">
        <f>VLOOKUP(Продажи[[#This Row],[id товара]],Товары[#All],2,FALSE)</f>
        <v>Макароны</v>
      </c>
      <c r="J678" s="19">
        <f>AVERAGEIF(Продажи[Категория товара],Продажи[[#This Row],[Категория товара]],Продажи[цена за шт в рублях])</f>
        <v>265.47674418604652</v>
      </c>
      <c r="K678" s="20">
        <f>Продажи[[#This Row],[цена за шт в рублях]]/Продажи[[#This Row],[Средняя цена в категории за шт]]-1</f>
        <v>2.8338662345057219E-2</v>
      </c>
      <c r="L678" t="str">
        <f>VLOOKUP(Продажи[[#This Row],[id товара]],Товары[#All],3,FALSE)</f>
        <v>Паста Зара</v>
      </c>
      <c r="M6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78" s="23">
        <f>VLOOKUP(Продажи[[#This Row],[id клиента]],Таблица4[#All],5,FALSE)</f>
        <v>44769</v>
      </c>
      <c r="O678">
        <f>Продажи[[#This Row],[дата создания чека]]-Продажи[[#This Row],[Дата регистрации клиентов]]</f>
        <v>211</v>
      </c>
      <c r="P678" t="str">
        <f>VLOOKUP(Продажи[[#This Row],[id клиента]],Таблица4[#All],7,FALSE)</f>
        <v>Россия</v>
      </c>
    </row>
    <row r="679" spans="1:16" x14ac:dyDescent="0.25">
      <c r="A679">
        <v>678</v>
      </c>
      <c r="B679">
        <v>441</v>
      </c>
      <c r="C679">
        <v>147</v>
      </c>
      <c r="D679">
        <v>3</v>
      </c>
      <c r="E679">
        <v>441</v>
      </c>
      <c r="F679" s="23">
        <v>45117</v>
      </c>
      <c r="G679" t="s">
        <v>17</v>
      </c>
      <c r="H679">
        <v>449</v>
      </c>
      <c r="I679" t="str">
        <f>VLOOKUP(Продажи[[#This Row],[id товара]],Товары[#All],2,FALSE)</f>
        <v>Чай</v>
      </c>
      <c r="J679" s="19">
        <f>AVERAGEIF(Продажи[Категория товара],Продажи[[#This Row],[Категория товара]],Продажи[цена за шт в рублях])</f>
        <v>271.18181818181819</v>
      </c>
      <c r="K679" s="20">
        <f>Продажи[[#This Row],[цена за шт в рублях]]/Продажи[[#This Row],[Средняя цена в категории за шт]]-1</f>
        <v>-0.4579282601407979</v>
      </c>
      <c r="L679" t="str">
        <f>VLOOKUP(Продажи[[#This Row],[id товара]],Товары[#All],3,FALSE)</f>
        <v>Lipton</v>
      </c>
      <c r="M6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679" s="23">
        <f>VLOOKUP(Продажи[[#This Row],[id клиента]],Таблица4[#All],5,FALSE)</f>
        <v>44645</v>
      </c>
      <c r="O679">
        <f>Продажи[[#This Row],[дата создания чека]]-Продажи[[#This Row],[Дата регистрации клиентов]]</f>
        <v>472</v>
      </c>
      <c r="P679" t="str">
        <f>VLOOKUP(Продажи[[#This Row],[id клиента]],Таблица4[#All],7,FALSE)</f>
        <v>Таджикистан</v>
      </c>
    </row>
    <row r="680" spans="1:16" x14ac:dyDescent="0.25">
      <c r="A680">
        <v>679</v>
      </c>
      <c r="B680">
        <v>446</v>
      </c>
      <c r="C680">
        <v>440</v>
      </c>
      <c r="D680">
        <v>5</v>
      </c>
      <c r="E680">
        <v>2200</v>
      </c>
      <c r="F680" s="23">
        <v>45394</v>
      </c>
      <c r="G680" t="s">
        <v>24</v>
      </c>
      <c r="H680">
        <v>197</v>
      </c>
      <c r="I680" t="str">
        <f>VLOOKUP(Продажи[[#This Row],[id товара]],Товары[#All],2,FALSE)</f>
        <v>Чипсы</v>
      </c>
      <c r="J680" s="19">
        <f>AVERAGEIF(Продажи[Категория товара],Продажи[[#This Row],[Категория товара]],Продажи[цена за шт в рублях])</f>
        <v>273.72549019607845</v>
      </c>
      <c r="K680" s="20">
        <f>Продажи[[#This Row],[цена за шт в рублях]]/Продажи[[#This Row],[Средняя цена в категории за шт]]-1</f>
        <v>0.60744985673352425</v>
      </c>
      <c r="L680" t="str">
        <f>VLOOKUP(Продажи[[#This Row],[id товара]],Товары[#All],3,FALSE)</f>
        <v>Lay's</v>
      </c>
      <c r="M6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680" s="23">
        <f>VLOOKUP(Продажи[[#This Row],[id клиента]],Таблица4[#All],5,FALSE)</f>
        <v>44785</v>
      </c>
      <c r="O680">
        <f>Продажи[[#This Row],[дата создания чека]]-Продажи[[#This Row],[Дата регистрации клиентов]]</f>
        <v>609</v>
      </c>
      <c r="P680" t="str">
        <f>VLOOKUP(Продажи[[#This Row],[id клиента]],Таблица4[#All],7,FALSE)</f>
        <v>Украина</v>
      </c>
    </row>
    <row r="681" spans="1:16" x14ac:dyDescent="0.25">
      <c r="A681">
        <v>680</v>
      </c>
      <c r="B681">
        <v>55</v>
      </c>
      <c r="C681">
        <v>227</v>
      </c>
      <c r="D681">
        <v>4</v>
      </c>
      <c r="E681">
        <v>908</v>
      </c>
      <c r="F681" s="23">
        <v>45338</v>
      </c>
      <c r="G681" t="s">
        <v>8</v>
      </c>
      <c r="H681">
        <v>70</v>
      </c>
      <c r="I681" t="str">
        <f>VLOOKUP(Продажи[[#This Row],[id товара]],Товары[#All],2,FALSE)</f>
        <v>Крупа</v>
      </c>
      <c r="J681" s="19">
        <f>AVERAGEIF(Продажи[Категория товара],Продажи[[#This Row],[Категория товара]],Продажи[цена за шт в рублях])</f>
        <v>255.11627906976744</v>
      </c>
      <c r="K681" s="20">
        <f>Продажи[[#This Row],[цена за шт в рублях]]/Продажи[[#This Row],[Средняя цена в категории за шт]]-1</f>
        <v>-0.11020966271649957</v>
      </c>
      <c r="L681" t="str">
        <f>VLOOKUP(Продажи[[#This Row],[id товара]],Товары[#All],3,FALSE)</f>
        <v>Националь</v>
      </c>
      <c r="M6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681" s="23">
        <f>VLOOKUP(Продажи[[#This Row],[id клиента]],Таблица4[#All],5,FALSE)</f>
        <v>44591</v>
      </c>
      <c r="O681">
        <f>Продажи[[#This Row],[дата создания чека]]-Продажи[[#This Row],[Дата регистрации клиентов]]</f>
        <v>747</v>
      </c>
      <c r="P681" t="str">
        <f>VLOOKUP(Продажи[[#This Row],[id клиента]],Таблица4[#All],7,FALSE)</f>
        <v>Украина</v>
      </c>
    </row>
    <row r="682" spans="1:16" x14ac:dyDescent="0.25">
      <c r="A682">
        <v>681</v>
      </c>
      <c r="B682">
        <v>27</v>
      </c>
      <c r="C682">
        <v>415</v>
      </c>
      <c r="D682">
        <v>4</v>
      </c>
      <c r="E682">
        <v>1660</v>
      </c>
      <c r="F682" s="23">
        <v>45229</v>
      </c>
      <c r="G682" t="s">
        <v>25</v>
      </c>
      <c r="H682">
        <v>345</v>
      </c>
      <c r="I682" t="str">
        <f>VLOOKUP(Продажи[[#This Row],[id товара]],Товары[#All],2,FALSE)</f>
        <v>Макароны</v>
      </c>
      <c r="J682" s="19">
        <f>AVERAGEIF(Продажи[Категория товара],Продажи[[#This Row],[Категория товара]],Продажи[цена за шт в рублях])</f>
        <v>265.47674418604652</v>
      </c>
      <c r="K682" s="20">
        <f>Продажи[[#This Row],[цена за шт в рублях]]/Продажи[[#This Row],[Средняя цена в категории за шт]]-1</f>
        <v>0.5632254390959659</v>
      </c>
      <c r="L682" t="str">
        <f>VLOOKUP(Продажи[[#This Row],[id товара]],Товары[#All],3,FALSE)</f>
        <v>Паста Зара</v>
      </c>
      <c r="M6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82" s="23">
        <f>VLOOKUP(Продажи[[#This Row],[id клиента]],Таблица4[#All],5,FALSE)</f>
        <v>44705</v>
      </c>
      <c r="O682">
        <f>Продажи[[#This Row],[дата создания чека]]-Продажи[[#This Row],[Дата регистрации клиентов]]</f>
        <v>524</v>
      </c>
      <c r="P682" t="str">
        <f>VLOOKUP(Продажи[[#This Row],[id клиента]],Таблица4[#All],7,FALSE)</f>
        <v>Беларусь</v>
      </c>
    </row>
    <row r="683" spans="1:16" x14ac:dyDescent="0.25">
      <c r="A683">
        <v>682</v>
      </c>
      <c r="B683">
        <v>110</v>
      </c>
      <c r="C683">
        <v>84</v>
      </c>
      <c r="D683">
        <v>5</v>
      </c>
      <c r="E683">
        <v>420</v>
      </c>
      <c r="F683" s="23">
        <v>45029</v>
      </c>
      <c r="G683" t="s">
        <v>13</v>
      </c>
      <c r="H683">
        <v>225</v>
      </c>
      <c r="I683" t="str">
        <f>VLOOKUP(Продажи[[#This Row],[id товара]],Товары[#All],2,FALSE)</f>
        <v>Макароны</v>
      </c>
      <c r="J683" s="19">
        <f>AVERAGEIF(Продажи[Категория товара],Продажи[[#This Row],[Категория товара]],Продажи[цена за шт в рублях])</f>
        <v>265.47674418604652</v>
      </c>
      <c r="K683" s="20">
        <f>Продажи[[#This Row],[цена за шт в рублях]]/Продажи[[#This Row],[Средняя цена в категории за шт]]-1</f>
        <v>-0.68358810389382851</v>
      </c>
      <c r="L683" t="str">
        <f>VLOOKUP(Продажи[[#This Row],[id товара]],Товары[#All],3,FALSE)</f>
        <v>Паста Зара</v>
      </c>
      <c r="M6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83" s="23">
        <f>VLOOKUP(Продажи[[#This Row],[id клиента]],Таблица4[#All],5,FALSE)</f>
        <v>44827</v>
      </c>
      <c r="O683">
        <f>Продажи[[#This Row],[дата создания чека]]-Продажи[[#This Row],[Дата регистрации клиентов]]</f>
        <v>202</v>
      </c>
      <c r="P683" t="str">
        <f>VLOOKUP(Продажи[[#This Row],[id клиента]],Таблица4[#All],7,FALSE)</f>
        <v>Беларусь</v>
      </c>
    </row>
    <row r="684" spans="1:16" x14ac:dyDescent="0.25">
      <c r="A684">
        <v>683</v>
      </c>
      <c r="B684">
        <v>196</v>
      </c>
      <c r="C684">
        <v>196</v>
      </c>
      <c r="D684">
        <v>4</v>
      </c>
      <c r="E684">
        <v>784</v>
      </c>
      <c r="F684" s="23">
        <v>44944</v>
      </c>
      <c r="G684" t="s">
        <v>21</v>
      </c>
      <c r="H684">
        <v>8</v>
      </c>
      <c r="I684" t="str">
        <f>VLOOKUP(Продажи[[#This Row],[id товара]],Товары[#All],2,FALSE)</f>
        <v>Конфеты</v>
      </c>
      <c r="J684" s="19">
        <f>AVERAGEIF(Продажи[Категория товара],Продажи[[#This Row],[Категория товара]],Продажи[цена за шт в рублях])</f>
        <v>267.85483870967744</v>
      </c>
      <c r="K684" s="20">
        <f>Продажи[[#This Row],[цена за шт в рублях]]/Продажи[[#This Row],[Средняя цена в категории за шт]]-1</f>
        <v>-0.26826037213223342</v>
      </c>
      <c r="L684" t="str">
        <f>VLOOKUP(Продажи[[#This Row],[id товара]],Товары[#All],3,FALSE)</f>
        <v>Рот Фронт</v>
      </c>
      <c r="M6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684" s="23">
        <f>VLOOKUP(Продажи[[#This Row],[id клиента]],Таблица4[#All],5,FALSE)</f>
        <v>44883</v>
      </c>
      <c r="O684">
        <f>Продажи[[#This Row],[дата создания чека]]-Продажи[[#This Row],[Дата регистрации клиентов]]</f>
        <v>61</v>
      </c>
      <c r="P684" t="str">
        <f>VLOOKUP(Продажи[[#This Row],[id клиента]],Таблица4[#All],7,FALSE)</f>
        <v>Беларусь</v>
      </c>
    </row>
    <row r="685" spans="1:16" x14ac:dyDescent="0.25">
      <c r="A685">
        <v>684</v>
      </c>
      <c r="B685">
        <v>271</v>
      </c>
      <c r="C685">
        <v>123</v>
      </c>
      <c r="D685">
        <v>2</v>
      </c>
      <c r="E685">
        <v>246</v>
      </c>
      <c r="F685" s="23">
        <v>45350</v>
      </c>
      <c r="G685" t="s">
        <v>11</v>
      </c>
      <c r="H685">
        <v>11</v>
      </c>
      <c r="I685" t="str">
        <f>VLOOKUP(Продажи[[#This Row],[id товара]],Товары[#All],2,FALSE)</f>
        <v>Сыр</v>
      </c>
      <c r="J685" s="19">
        <f>AVERAGEIF(Продажи[Категория товара],Продажи[[#This Row],[Категория товара]],Продажи[цена за шт в рублях])</f>
        <v>262.63492063492066</v>
      </c>
      <c r="K685" s="20">
        <f>Продажи[[#This Row],[цена за шт в рублях]]/Продажи[[#This Row],[Средняя цена в категории за шт]]-1</f>
        <v>-0.53166928562794635</v>
      </c>
      <c r="L685" t="str">
        <f>VLOOKUP(Продажи[[#This Row],[id товара]],Товары[#All],3,FALSE)</f>
        <v>Сырная долина</v>
      </c>
      <c r="M6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685" s="23">
        <f>VLOOKUP(Продажи[[#This Row],[id клиента]],Таблица4[#All],5,FALSE)</f>
        <v>44690</v>
      </c>
      <c r="O685">
        <f>Продажи[[#This Row],[дата создания чека]]-Продажи[[#This Row],[Дата регистрации клиентов]]</f>
        <v>660</v>
      </c>
      <c r="P685" t="str">
        <f>VLOOKUP(Продажи[[#This Row],[id клиента]],Таблица4[#All],7,FALSE)</f>
        <v>Таджикистан</v>
      </c>
    </row>
    <row r="686" spans="1:16" x14ac:dyDescent="0.25">
      <c r="A686">
        <v>685</v>
      </c>
      <c r="B686">
        <v>189</v>
      </c>
      <c r="C686">
        <v>356</v>
      </c>
      <c r="D686">
        <v>1</v>
      </c>
      <c r="E686">
        <v>356</v>
      </c>
      <c r="F686" s="23">
        <v>45051</v>
      </c>
      <c r="G686" t="s">
        <v>24</v>
      </c>
      <c r="H686">
        <v>388</v>
      </c>
      <c r="I686" t="str">
        <f>VLOOKUP(Продажи[[#This Row],[id товара]],Товары[#All],2,FALSE)</f>
        <v>Хлеб</v>
      </c>
      <c r="J686" s="19">
        <f>AVERAGEIF(Продажи[Категория товара],Продажи[[#This Row],[Категория товара]],Продажи[цена за шт в рублях])</f>
        <v>300.31818181818181</v>
      </c>
      <c r="K686" s="20">
        <f>Продажи[[#This Row],[цена за шт в рублях]]/Продажи[[#This Row],[Средняя цена в категории за шт]]-1</f>
        <v>0.18540941425760549</v>
      </c>
      <c r="L686" t="str">
        <f>VLOOKUP(Продажи[[#This Row],[id товара]],Товары[#All],3,FALSE)</f>
        <v>Дарница</v>
      </c>
      <c r="M6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686" s="23">
        <f>VLOOKUP(Продажи[[#This Row],[id клиента]],Таблица4[#All],5,FALSE)</f>
        <v>44581</v>
      </c>
      <c r="O686">
        <f>Продажи[[#This Row],[дата создания чека]]-Продажи[[#This Row],[Дата регистрации клиентов]]</f>
        <v>470</v>
      </c>
      <c r="P686" t="str">
        <f>VLOOKUP(Продажи[[#This Row],[id клиента]],Таблица4[#All],7,FALSE)</f>
        <v>Россия</v>
      </c>
    </row>
    <row r="687" spans="1:16" x14ac:dyDescent="0.25">
      <c r="A687">
        <v>686</v>
      </c>
      <c r="B687">
        <v>372</v>
      </c>
      <c r="C687">
        <v>166</v>
      </c>
      <c r="D687">
        <v>5</v>
      </c>
      <c r="E687">
        <v>830</v>
      </c>
      <c r="F687" s="23">
        <v>45431</v>
      </c>
      <c r="G687" t="s">
        <v>23</v>
      </c>
      <c r="H687">
        <v>40</v>
      </c>
      <c r="I687" t="str">
        <f>VLOOKUP(Продажи[[#This Row],[id товара]],Товары[#All],2,FALSE)</f>
        <v>Кофе</v>
      </c>
      <c r="J687" s="19">
        <f>AVERAGEIF(Продажи[Категория товара],Продажи[[#This Row],[Категория товара]],Продажи[цена за шт в рублях])</f>
        <v>249.02380952380952</v>
      </c>
      <c r="K687" s="20">
        <f>Продажи[[#This Row],[цена за шт в рублях]]/Продажи[[#This Row],[Средняя цена в категории за шт]]-1</f>
        <v>-0.33339707429008503</v>
      </c>
      <c r="L687" t="str">
        <f>VLOOKUP(Продажи[[#This Row],[id товара]],Товары[#All],3,FALSE)</f>
        <v>Черная Карта</v>
      </c>
      <c r="M6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687" s="23">
        <f>VLOOKUP(Продажи[[#This Row],[id клиента]],Таблица4[#All],5,FALSE)</f>
        <v>44855</v>
      </c>
      <c r="O687">
        <f>Продажи[[#This Row],[дата создания чека]]-Продажи[[#This Row],[Дата регистрации клиентов]]</f>
        <v>576</v>
      </c>
      <c r="P687" t="str">
        <f>VLOOKUP(Продажи[[#This Row],[id клиента]],Таблица4[#All],7,FALSE)</f>
        <v>Россия</v>
      </c>
    </row>
    <row r="688" spans="1:16" x14ac:dyDescent="0.25">
      <c r="A688">
        <v>687</v>
      </c>
      <c r="B688">
        <v>205</v>
      </c>
      <c r="C688">
        <v>156</v>
      </c>
      <c r="D688">
        <v>4</v>
      </c>
      <c r="E688">
        <v>624</v>
      </c>
      <c r="F688" s="23">
        <v>45429</v>
      </c>
      <c r="G688" t="s">
        <v>12</v>
      </c>
      <c r="H688">
        <v>286</v>
      </c>
      <c r="I688" t="str">
        <f>VLOOKUP(Продажи[[#This Row],[id товара]],Товары[#All],2,FALSE)</f>
        <v>Макароны</v>
      </c>
      <c r="J688" s="19">
        <f>AVERAGEIF(Продажи[Категория товара],Продажи[[#This Row],[Категория товара]],Продажи[цена за шт в рублях])</f>
        <v>265.47674418604652</v>
      </c>
      <c r="K688" s="20">
        <f>Продажи[[#This Row],[цена за шт в рублях]]/Продажи[[#This Row],[Средняя цена в категории за шт]]-1</f>
        <v>-0.41237790723139589</v>
      </c>
      <c r="L688" t="str">
        <f>VLOOKUP(Продажи[[#This Row],[id товара]],Товары[#All],3,FALSE)</f>
        <v>Борилла</v>
      </c>
      <c r="M6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688" s="23">
        <f>VLOOKUP(Продажи[[#This Row],[id клиента]],Таблица4[#All],5,FALSE)</f>
        <v>44563</v>
      </c>
      <c r="O688">
        <f>Продажи[[#This Row],[дата создания чека]]-Продажи[[#This Row],[Дата регистрации клиентов]]</f>
        <v>866</v>
      </c>
      <c r="P688" t="str">
        <f>VLOOKUP(Продажи[[#This Row],[id клиента]],Таблица4[#All],7,FALSE)</f>
        <v>Таджикистан</v>
      </c>
    </row>
    <row r="689" spans="1:16" x14ac:dyDescent="0.25">
      <c r="A689">
        <v>688</v>
      </c>
      <c r="B689">
        <v>187</v>
      </c>
      <c r="C689">
        <v>496</v>
      </c>
      <c r="D689">
        <v>4</v>
      </c>
      <c r="E689">
        <v>1984</v>
      </c>
      <c r="F689" s="23">
        <v>45315</v>
      </c>
      <c r="G689" t="s">
        <v>10</v>
      </c>
      <c r="H689">
        <v>448</v>
      </c>
      <c r="I689" t="str">
        <f>VLOOKUP(Продажи[[#This Row],[id товара]],Товары[#All],2,FALSE)</f>
        <v>Макароны</v>
      </c>
      <c r="J689" s="19">
        <f>AVERAGEIF(Продажи[Категория товара],Продажи[[#This Row],[Категория товара]],Продажи[цена за шт в рублях])</f>
        <v>265.47674418604652</v>
      </c>
      <c r="K689" s="20">
        <f>Продажи[[#This Row],[цена за шт в рублях]]/Продажи[[#This Row],[Средняя цена в категории за шт]]-1</f>
        <v>0.86833691034120264</v>
      </c>
      <c r="L689" t="str">
        <f>VLOOKUP(Продажи[[#This Row],[id товара]],Товары[#All],3,FALSE)</f>
        <v>Паста Зара</v>
      </c>
      <c r="M6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689" s="23">
        <f>VLOOKUP(Продажи[[#This Row],[id клиента]],Таблица4[#All],5,FALSE)</f>
        <v>44770</v>
      </c>
      <c r="O689">
        <f>Продажи[[#This Row],[дата создания чека]]-Продажи[[#This Row],[Дата регистрации клиентов]]</f>
        <v>545</v>
      </c>
      <c r="P689" t="str">
        <f>VLOOKUP(Продажи[[#This Row],[id клиента]],Таблица4[#All],7,FALSE)</f>
        <v>Россия</v>
      </c>
    </row>
    <row r="690" spans="1:16" x14ac:dyDescent="0.25">
      <c r="A690">
        <v>689</v>
      </c>
      <c r="B690">
        <v>194</v>
      </c>
      <c r="C690">
        <v>257</v>
      </c>
      <c r="D690">
        <v>5</v>
      </c>
      <c r="E690">
        <v>1285</v>
      </c>
      <c r="F690" s="23">
        <v>45122</v>
      </c>
      <c r="G690" t="s">
        <v>9</v>
      </c>
      <c r="H690">
        <v>291</v>
      </c>
      <c r="I690" t="str">
        <f>VLOOKUP(Продажи[[#This Row],[id товара]],Товары[#All],2,FALSE)</f>
        <v>Соль</v>
      </c>
      <c r="J690" s="19">
        <f>AVERAGEIF(Продажи[Категория товара],Продажи[[#This Row],[Категория товара]],Продажи[цена за шт в рублях])</f>
        <v>264.8679245283019</v>
      </c>
      <c r="K690" s="20">
        <f>Продажи[[#This Row],[цена за шт в рублях]]/Продажи[[#This Row],[Средняя цена в категории за шт]]-1</f>
        <v>-2.9705086194614649E-2</v>
      </c>
      <c r="L690" t="str">
        <f>VLOOKUP(Продажи[[#This Row],[id товара]],Товары[#All],3,FALSE)</f>
        <v>Салта</v>
      </c>
      <c r="M6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690" s="23">
        <f>VLOOKUP(Продажи[[#This Row],[id клиента]],Таблица4[#All],5,FALSE)</f>
        <v>44710</v>
      </c>
      <c r="O690">
        <f>Продажи[[#This Row],[дата создания чека]]-Продажи[[#This Row],[Дата регистрации клиентов]]</f>
        <v>412</v>
      </c>
      <c r="P690" t="str">
        <f>VLOOKUP(Продажи[[#This Row],[id клиента]],Таблица4[#All],7,FALSE)</f>
        <v>Таджикистан</v>
      </c>
    </row>
    <row r="691" spans="1:16" x14ac:dyDescent="0.25">
      <c r="A691">
        <v>690</v>
      </c>
      <c r="B691">
        <v>51</v>
      </c>
      <c r="C691">
        <v>476</v>
      </c>
      <c r="D691">
        <v>2</v>
      </c>
      <c r="E691">
        <v>952</v>
      </c>
      <c r="F691" s="23">
        <v>45020</v>
      </c>
      <c r="G691" t="s">
        <v>26</v>
      </c>
      <c r="H691">
        <v>480</v>
      </c>
      <c r="I691" t="str">
        <f>VLOOKUP(Продажи[[#This Row],[id товара]],Товары[#All],2,FALSE)</f>
        <v>Колбаса</v>
      </c>
      <c r="J691" s="19">
        <f>AVERAGEIF(Продажи[Категория товара],Продажи[[#This Row],[Категория товара]],Продажи[цена за шт в рублях])</f>
        <v>286.92307692307691</v>
      </c>
      <c r="K691" s="20">
        <f>Продажи[[#This Row],[цена за шт в рублях]]/Продажи[[#This Row],[Средняя цена в категории за шт]]-1</f>
        <v>0.65898123324396796</v>
      </c>
      <c r="L691" t="str">
        <f>VLOOKUP(Продажи[[#This Row],[id товара]],Товары[#All],3,FALSE)</f>
        <v>Дымов</v>
      </c>
      <c r="M6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691" s="23">
        <f>VLOOKUP(Продажи[[#This Row],[id клиента]],Таблица4[#All],5,FALSE)</f>
        <v>44568</v>
      </c>
      <c r="O691">
        <f>Продажи[[#This Row],[дата создания чека]]-Продажи[[#This Row],[Дата регистрации клиентов]]</f>
        <v>452</v>
      </c>
      <c r="P691" t="str">
        <f>VLOOKUP(Продажи[[#This Row],[id клиента]],Таблица4[#All],7,FALSE)</f>
        <v>Узбекистан</v>
      </c>
    </row>
    <row r="692" spans="1:16" x14ac:dyDescent="0.25">
      <c r="A692">
        <v>691</v>
      </c>
      <c r="B692">
        <v>80</v>
      </c>
      <c r="C692">
        <v>232</v>
      </c>
      <c r="D692">
        <v>2</v>
      </c>
      <c r="E692">
        <v>464</v>
      </c>
      <c r="F692" s="23">
        <v>45116</v>
      </c>
      <c r="G692" t="s">
        <v>16</v>
      </c>
      <c r="H692">
        <v>418</v>
      </c>
      <c r="I692" t="str">
        <f>VLOOKUP(Продажи[[#This Row],[id товара]],Товары[#All],2,FALSE)</f>
        <v>Конфеты</v>
      </c>
      <c r="J692" s="19">
        <f>AVERAGEIF(Продажи[Категория товара],Продажи[[#This Row],[Категория товара]],Продажи[цена за шт в рублях])</f>
        <v>267.85483870967744</v>
      </c>
      <c r="K692" s="20">
        <f>Продажи[[#This Row],[цена за шт в рублях]]/Продажи[[#This Row],[Средняя цена в категории за шт]]-1</f>
        <v>-0.1338592159932559</v>
      </c>
      <c r="L692" t="str">
        <f>VLOOKUP(Продажи[[#This Row],[id товара]],Товары[#All],3,FALSE)</f>
        <v>Красный Октябрь</v>
      </c>
      <c r="M6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692" s="23">
        <f>VLOOKUP(Продажи[[#This Row],[id клиента]],Таблица4[#All],5,FALSE)</f>
        <v>44700</v>
      </c>
      <c r="O692">
        <f>Продажи[[#This Row],[дата создания чека]]-Продажи[[#This Row],[Дата регистрации клиентов]]</f>
        <v>416</v>
      </c>
      <c r="P692" t="str">
        <f>VLOOKUP(Продажи[[#This Row],[id клиента]],Таблица4[#All],7,FALSE)</f>
        <v>Беларусь</v>
      </c>
    </row>
    <row r="693" spans="1:16" x14ac:dyDescent="0.25">
      <c r="A693">
        <v>692</v>
      </c>
      <c r="B693">
        <v>474</v>
      </c>
      <c r="C693">
        <v>252</v>
      </c>
      <c r="D693">
        <v>3</v>
      </c>
      <c r="E693">
        <v>756</v>
      </c>
      <c r="F693" s="23">
        <v>45425</v>
      </c>
      <c r="G693" t="s">
        <v>13</v>
      </c>
      <c r="H693">
        <v>470</v>
      </c>
      <c r="I693" t="str">
        <f>VLOOKUP(Продажи[[#This Row],[id товара]],Товары[#All],2,FALSE)</f>
        <v>Молоко</v>
      </c>
      <c r="J693" s="19">
        <f>AVERAGEIF(Продажи[Категория товара],Продажи[[#This Row],[Категория товара]],Продажи[цена за шт в рублях])</f>
        <v>294.95238095238096</v>
      </c>
      <c r="K693" s="20">
        <f>Продажи[[#This Row],[цена за шт в рублях]]/Продажи[[#This Row],[Средняя цена в категории за шт]]-1</f>
        <v>-0.14562479819179852</v>
      </c>
      <c r="L693" t="str">
        <f>VLOOKUP(Продажи[[#This Row],[id товара]],Товары[#All],3,FALSE)</f>
        <v>Простоквашино</v>
      </c>
      <c r="M6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693" s="23">
        <f>VLOOKUP(Продажи[[#This Row],[id клиента]],Таблица4[#All],5,FALSE)</f>
        <v>44690</v>
      </c>
      <c r="O693">
        <f>Продажи[[#This Row],[дата создания чека]]-Продажи[[#This Row],[Дата регистрации клиентов]]</f>
        <v>735</v>
      </c>
      <c r="P693" t="str">
        <f>VLOOKUP(Продажи[[#This Row],[id клиента]],Таблица4[#All],7,FALSE)</f>
        <v>Таджикистан</v>
      </c>
    </row>
    <row r="694" spans="1:16" x14ac:dyDescent="0.25">
      <c r="A694">
        <v>693</v>
      </c>
      <c r="B694">
        <v>215</v>
      </c>
      <c r="C694">
        <v>485</v>
      </c>
      <c r="D694">
        <v>4</v>
      </c>
      <c r="E694">
        <v>1940</v>
      </c>
      <c r="F694" s="23">
        <v>44959</v>
      </c>
      <c r="G694" t="s">
        <v>9</v>
      </c>
      <c r="H694">
        <v>318</v>
      </c>
      <c r="I694" t="str">
        <f>VLOOKUP(Продажи[[#This Row],[id товара]],Товары[#All],2,FALSE)</f>
        <v>Сок</v>
      </c>
      <c r="J694" s="19">
        <f>AVERAGEIF(Продажи[Категория товара],Продажи[[#This Row],[Категория товара]],Продажи[цена за шт в рублях])</f>
        <v>268.60344827586209</v>
      </c>
      <c r="K694" s="20">
        <f>Продажи[[#This Row],[цена за шт в рублях]]/Продажи[[#This Row],[Средняя цена в категории за шт]]-1</f>
        <v>0.80563579177097355</v>
      </c>
      <c r="L694" t="str">
        <f>VLOOKUP(Продажи[[#This Row],[id товара]],Товары[#All],3,FALSE)</f>
        <v>Фруктовый сад</v>
      </c>
      <c r="M6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694" s="23">
        <f>VLOOKUP(Продажи[[#This Row],[id клиента]],Таблица4[#All],5,FALSE)</f>
        <v>44892</v>
      </c>
      <c r="O694">
        <f>Продажи[[#This Row],[дата создания чека]]-Продажи[[#This Row],[Дата регистрации клиентов]]</f>
        <v>67</v>
      </c>
      <c r="P694" t="str">
        <f>VLOOKUP(Продажи[[#This Row],[id клиента]],Таблица4[#All],7,FALSE)</f>
        <v>Узбекистан</v>
      </c>
    </row>
    <row r="695" spans="1:16" x14ac:dyDescent="0.25">
      <c r="A695">
        <v>694</v>
      </c>
      <c r="B695">
        <v>36</v>
      </c>
      <c r="C695">
        <v>150</v>
      </c>
      <c r="D695">
        <v>2</v>
      </c>
      <c r="E695">
        <v>300</v>
      </c>
      <c r="F695" s="23">
        <v>45157</v>
      </c>
      <c r="G695" t="s">
        <v>20</v>
      </c>
      <c r="H695">
        <v>283</v>
      </c>
      <c r="I695" t="str">
        <f>VLOOKUP(Продажи[[#This Row],[id товара]],Товары[#All],2,FALSE)</f>
        <v>Макароны</v>
      </c>
      <c r="J695" s="19">
        <f>AVERAGEIF(Продажи[Категория товара],Продажи[[#This Row],[Категория товара]],Продажи[цена за шт в рублях])</f>
        <v>265.47674418604652</v>
      </c>
      <c r="K695" s="20">
        <f>Продажи[[#This Row],[цена за шт в рублях]]/Продажи[[#This Row],[Средняя цена в категории за шт]]-1</f>
        <v>-0.43497875695326527</v>
      </c>
      <c r="L695" t="str">
        <f>VLOOKUP(Продажи[[#This Row],[id товара]],Товары[#All],3,FALSE)</f>
        <v>Роллтон</v>
      </c>
      <c r="M6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695" s="23">
        <f>VLOOKUP(Продажи[[#This Row],[id клиента]],Таблица4[#All],5,FALSE)</f>
        <v>44889</v>
      </c>
      <c r="O695">
        <f>Продажи[[#This Row],[дата создания чека]]-Продажи[[#This Row],[Дата регистрации клиентов]]</f>
        <v>268</v>
      </c>
      <c r="P695" t="str">
        <f>VLOOKUP(Продажи[[#This Row],[id клиента]],Таблица4[#All],7,FALSE)</f>
        <v>Таджикистан</v>
      </c>
    </row>
    <row r="696" spans="1:16" x14ac:dyDescent="0.25">
      <c r="A696">
        <v>695</v>
      </c>
      <c r="B696">
        <v>400</v>
      </c>
      <c r="C696">
        <v>474</v>
      </c>
      <c r="D696">
        <v>4</v>
      </c>
      <c r="E696">
        <v>1896</v>
      </c>
      <c r="F696" s="23">
        <v>44992</v>
      </c>
      <c r="G696" t="s">
        <v>17</v>
      </c>
      <c r="H696">
        <v>191</v>
      </c>
      <c r="I696" t="str">
        <f>VLOOKUP(Продажи[[#This Row],[id товара]],Товары[#All],2,FALSE)</f>
        <v>Молоко</v>
      </c>
      <c r="J696" s="19">
        <f>AVERAGEIF(Продажи[Категория товара],Продажи[[#This Row],[Категория товара]],Продажи[цена за шт в рублях])</f>
        <v>294.95238095238096</v>
      </c>
      <c r="K696" s="20">
        <f>Продажи[[#This Row],[цена за шт в рублях]]/Продажи[[#This Row],[Средняя цена в категории за шт]]-1</f>
        <v>0.60703907006780744</v>
      </c>
      <c r="L696" t="str">
        <f>VLOOKUP(Продажи[[#This Row],[id товара]],Товары[#All],3,FALSE)</f>
        <v>Беллакт</v>
      </c>
      <c r="M6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696" s="23">
        <f>VLOOKUP(Продажи[[#This Row],[id клиента]],Таблица4[#All],5,FALSE)</f>
        <v>44866</v>
      </c>
      <c r="O696">
        <f>Продажи[[#This Row],[дата создания чека]]-Продажи[[#This Row],[Дата регистрации клиентов]]</f>
        <v>126</v>
      </c>
      <c r="P696" t="str">
        <f>VLOOKUP(Продажи[[#This Row],[id клиента]],Таблица4[#All],7,FALSE)</f>
        <v>Украина</v>
      </c>
    </row>
    <row r="697" spans="1:16" x14ac:dyDescent="0.25">
      <c r="A697">
        <v>696</v>
      </c>
      <c r="B697">
        <v>80</v>
      </c>
      <c r="C697">
        <v>135</v>
      </c>
      <c r="D697">
        <v>2</v>
      </c>
      <c r="E697">
        <v>270</v>
      </c>
      <c r="F697" s="23">
        <v>45296</v>
      </c>
      <c r="G697" t="s">
        <v>17</v>
      </c>
      <c r="H697">
        <v>123</v>
      </c>
      <c r="I697" t="str">
        <f>VLOOKUP(Продажи[[#This Row],[id товара]],Товары[#All],2,FALSE)</f>
        <v>Конфеты</v>
      </c>
      <c r="J697" s="19">
        <f>AVERAGEIF(Продажи[Категория товара],Продажи[[#This Row],[Категория товара]],Продажи[цена за шт в рублях])</f>
        <v>267.85483870967744</v>
      </c>
      <c r="K697" s="20">
        <f>Продажи[[#This Row],[цена за шт в рублях]]/Продажи[[#This Row],[Средняя цена в категории за шт]]-1</f>
        <v>-0.49599566447883425</v>
      </c>
      <c r="L697" t="str">
        <f>VLOOKUP(Продажи[[#This Row],[id товара]],Товары[#All],3,FALSE)</f>
        <v>Красный Октябрь</v>
      </c>
      <c r="M6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697" s="23">
        <f>VLOOKUP(Продажи[[#This Row],[id клиента]],Таблица4[#All],5,FALSE)</f>
        <v>44600</v>
      </c>
      <c r="O697">
        <f>Продажи[[#This Row],[дата создания чека]]-Продажи[[#This Row],[Дата регистрации клиентов]]</f>
        <v>696</v>
      </c>
      <c r="P697" t="str">
        <f>VLOOKUP(Продажи[[#This Row],[id клиента]],Таблица4[#All],7,FALSE)</f>
        <v>Россия</v>
      </c>
    </row>
    <row r="698" spans="1:16" x14ac:dyDescent="0.25">
      <c r="A698">
        <v>697</v>
      </c>
      <c r="B698">
        <v>413</v>
      </c>
      <c r="C698">
        <v>178</v>
      </c>
      <c r="D698">
        <v>5</v>
      </c>
      <c r="E698">
        <v>890</v>
      </c>
      <c r="F698" s="23">
        <v>45095</v>
      </c>
      <c r="G698" t="s">
        <v>10</v>
      </c>
      <c r="H698">
        <v>380</v>
      </c>
      <c r="I698" t="str">
        <f>VLOOKUP(Продажи[[#This Row],[id товара]],Товары[#All],2,FALSE)</f>
        <v>Кофе</v>
      </c>
      <c r="J698" s="19">
        <f>AVERAGEIF(Продажи[Категория товара],Продажи[[#This Row],[Категория товара]],Продажи[цена за шт в рублях])</f>
        <v>249.02380952380952</v>
      </c>
      <c r="K698" s="20">
        <f>Продажи[[#This Row],[цена за шт в рублях]]/Продажи[[#This Row],[Средняя цена в категории за шт]]-1</f>
        <v>-0.28520891098575385</v>
      </c>
      <c r="L698" t="str">
        <f>VLOOKUP(Продажи[[#This Row],[id товара]],Товары[#All],3,FALSE)</f>
        <v>Jacobs</v>
      </c>
      <c r="M6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698" s="23">
        <f>VLOOKUP(Продажи[[#This Row],[id клиента]],Таблица4[#All],5,FALSE)</f>
        <v>44563</v>
      </c>
      <c r="O698">
        <f>Продажи[[#This Row],[дата создания чека]]-Продажи[[#This Row],[Дата регистрации клиентов]]</f>
        <v>532</v>
      </c>
      <c r="P698" t="str">
        <f>VLOOKUP(Продажи[[#This Row],[id клиента]],Таблица4[#All],7,FALSE)</f>
        <v>Россия</v>
      </c>
    </row>
    <row r="699" spans="1:16" x14ac:dyDescent="0.25">
      <c r="A699">
        <v>698</v>
      </c>
      <c r="B699">
        <v>10</v>
      </c>
      <c r="C699">
        <v>112</v>
      </c>
      <c r="D699">
        <v>3</v>
      </c>
      <c r="E699">
        <v>336</v>
      </c>
      <c r="F699" s="23">
        <v>45350</v>
      </c>
      <c r="G699" t="s">
        <v>10</v>
      </c>
      <c r="H699">
        <v>442</v>
      </c>
      <c r="I699" t="str">
        <f>VLOOKUP(Продажи[[#This Row],[id товара]],Товары[#All],2,FALSE)</f>
        <v>Сок</v>
      </c>
      <c r="J699" s="19">
        <f>AVERAGEIF(Продажи[Категория товара],Продажи[[#This Row],[Категория товара]],Продажи[цена за шт в рублях])</f>
        <v>268.60344827586209</v>
      </c>
      <c r="K699" s="20">
        <f>Продажи[[#This Row],[цена за шт в рублях]]/Продажи[[#This Row],[Средняя цена в категории за шт]]-1</f>
        <v>-0.58302843571474416</v>
      </c>
      <c r="L699" t="str">
        <f>VLOOKUP(Продажи[[#This Row],[id товара]],Товары[#All],3,FALSE)</f>
        <v>Фруктовый сад</v>
      </c>
      <c r="M6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699" s="23">
        <f>VLOOKUP(Продажи[[#This Row],[id клиента]],Таблица4[#All],5,FALSE)</f>
        <v>44746</v>
      </c>
      <c r="O699">
        <f>Продажи[[#This Row],[дата создания чека]]-Продажи[[#This Row],[Дата регистрации клиентов]]</f>
        <v>604</v>
      </c>
      <c r="P699" t="str">
        <f>VLOOKUP(Продажи[[#This Row],[id клиента]],Таблица4[#All],7,FALSE)</f>
        <v>Таджикистан</v>
      </c>
    </row>
    <row r="700" spans="1:16" x14ac:dyDescent="0.25">
      <c r="A700">
        <v>699</v>
      </c>
      <c r="B700">
        <v>14</v>
      </c>
      <c r="C700">
        <v>338</v>
      </c>
      <c r="D700">
        <v>4</v>
      </c>
      <c r="E700">
        <v>1352</v>
      </c>
      <c r="F700" s="23">
        <v>44964</v>
      </c>
      <c r="G700" t="s">
        <v>13</v>
      </c>
      <c r="H700">
        <v>218</v>
      </c>
      <c r="I700" t="str">
        <f>VLOOKUP(Продажи[[#This Row],[id товара]],Товары[#All],2,FALSE)</f>
        <v>Сок</v>
      </c>
      <c r="J700" s="19">
        <f>AVERAGEIF(Продажи[Категория товара],Продажи[[#This Row],[Категория товара]],Продажи[цена за шт в рублях])</f>
        <v>268.60344827586209</v>
      </c>
      <c r="K700" s="20">
        <f>Продажи[[#This Row],[цена за шт в рублях]]/Продажи[[#This Row],[Средняя цена в категории за шт]]-1</f>
        <v>0.25836061364657548</v>
      </c>
      <c r="L700" t="str">
        <f>VLOOKUP(Продажи[[#This Row],[id товара]],Товары[#All],3,FALSE)</f>
        <v>Rich</v>
      </c>
      <c r="M7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272.25</v>
      </c>
      <c r="N700" s="23">
        <f>VLOOKUP(Продажи[[#This Row],[id клиента]],Таблица4[#All],5,FALSE)</f>
        <v>44721</v>
      </c>
      <c r="O700">
        <f>Продажи[[#This Row],[дата создания чека]]-Продажи[[#This Row],[Дата регистрации клиентов]]</f>
        <v>243</v>
      </c>
      <c r="P700" t="str">
        <f>VLOOKUP(Продажи[[#This Row],[id клиента]],Таблица4[#All],7,FALSE)</f>
        <v>Узбекистан</v>
      </c>
    </row>
    <row r="701" spans="1:16" x14ac:dyDescent="0.25">
      <c r="A701">
        <v>700</v>
      </c>
      <c r="B701">
        <v>423</v>
      </c>
      <c r="C701">
        <v>277</v>
      </c>
      <c r="D701">
        <v>5</v>
      </c>
      <c r="E701">
        <v>1385</v>
      </c>
      <c r="F701" s="23">
        <v>45143</v>
      </c>
      <c r="G701" t="s">
        <v>12</v>
      </c>
      <c r="H701">
        <v>331</v>
      </c>
      <c r="I701" t="str">
        <f>VLOOKUP(Продажи[[#This Row],[id товара]],Товары[#All],2,FALSE)</f>
        <v>Чипсы</v>
      </c>
      <c r="J701" s="19">
        <f>AVERAGEIF(Продажи[Категория товара],Продажи[[#This Row],[Категория товара]],Продажи[цена за шт в рублях])</f>
        <v>273.72549019607845</v>
      </c>
      <c r="K701" s="20">
        <f>Продажи[[#This Row],[цена за шт в рублях]]/Продажи[[#This Row],[Средняя цена в категории за шт]]-1</f>
        <v>1.1962750716332238E-2</v>
      </c>
      <c r="L701" t="str">
        <f>VLOOKUP(Продажи[[#This Row],[id товара]],Товары[#All],3,FALSE)</f>
        <v>Pringles</v>
      </c>
      <c r="M7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701" s="23">
        <f>VLOOKUP(Продажи[[#This Row],[id клиента]],Таблица4[#All],5,FALSE)</f>
        <v>44813</v>
      </c>
      <c r="O701">
        <f>Продажи[[#This Row],[дата создания чека]]-Продажи[[#This Row],[Дата регистрации клиентов]]</f>
        <v>330</v>
      </c>
      <c r="P701" t="str">
        <f>VLOOKUP(Продажи[[#This Row],[id клиента]],Таблица4[#All],7,FALSE)</f>
        <v>Узбекистан</v>
      </c>
    </row>
    <row r="702" spans="1:16" x14ac:dyDescent="0.25">
      <c r="A702">
        <v>701</v>
      </c>
      <c r="B702">
        <v>138</v>
      </c>
      <c r="C702">
        <v>427</v>
      </c>
      <c r="D702">
        <v>5</v>
      </c>
      <c r="E702">
        <v>2135</v>
      </c>
      <c r="F702" s="23">
        <v>45145</v>
      </c>
      <c r="G702" t="s">
        <v>12</v>
      </c>
      <c r="H702">
        <v>196</v>
      </c>
      <c r="I702" t="str">
        <f>VLOOKUP(Продажи[[#This Row],[id товара]],Товары[#All],2,FALSE)</f>
        <v>Сыр</v>
      </c>
      <c r="J702" s="19">
        <f>AVERAGEIF(Продажи[Категория товара],Продажи[[#This Row],[Категория товара]],Продажи[цена за шт в рублях])</f>
        <v>262.63492063492066</v>
      </c>
      <c r="K702" s="20">
        <f>Продажи[[#This Row],[цена за шт в рублях]]/Продажи[[#This Row],[Средняя цена в категории за шт]]-1</f>
        <v>0.62583101655989348</v>
      </c>
      <c r="L702" t="str">
        <f>VLOOKUP(Продажи[[#This Row],[id товара]],Товары[#All],3,FALSE)</f>
        <v>Сырная долина</v>
      </c>
      <c r="M7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702" s="23">
        <f>VLOOKUP(Продажи[[#This Row],[id клиента]],Таблица4[#All],5,FALSE)</f>
        <v>44835</v>
      </c>
      <c r="O702">
        <f>Продажи[[#This Row],[дата создания чека]]-Продажи[[#This Row],[Дата регистрации клиентов]]</f>
        <v>310</v>
      </c>
      <c r="P702" t="str">
        <f>VLOOKUP(Продажи[[#This Row],[id клиента]],Таблица4[#All],7,FALSE)</f>
        <v>Россия</v>
      </c>
    </row>
    <row r="703" spans="1:16" x14ac:dyDescent="0.25">
      <c r="A703">
        <v>702</v>
      </c>
      <c r="B703">
        <v>498</v>
      </c>
      <c r="C703">
        <v>169</v>
      </c>
      <c r="D703">
        <v>4</v>
      </c>
      <c r="E703">
        <v>676</v>
      </c>
      <c r="F703" s="23">
        <v>45129</v>
      </c>
      <c r="G703" t="s">
        <v>25</v>
      </c>
      <c r="H703">
        <v>36</v>
      </c>
      <c r="I703" t="str">
        <f>VLOOKUP(Продажи[[#This Row],[id товара]],Товары[#All],2,FALSE)</f>
        <v>Молоко</v>
      </c>
      <c r="J703" s="19">
        <f>AVERAGEIF(Продажи[Категория товара],Продажи[[#This Row],[Категория товара]],Продажи[цена за шт в рублях])</f>
        <v>294.95238095238096</v>
      </c>
      <c r="K703" s="20">
        <f>Продажи[[#This Row],[цена за шт в рублях]]/Продажи[[#This Row],[Средняя цена в категории за шт]]-1</f>
        <v>-0.42702615434291247</v>
      </c>
      <c r="L703" t="str">
        <f>VLOOKUP(Продажи[[#This Row],[id товара]],Товары[#All],3,FALSE)</f>
        <v>Домик в деревне</v>
      </c>
      <c r="M7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703" s="23">
        <f>VLOOKUP(Продажи[[#This Row],[id клиента]],Таблица4[#All],5,FALSE)</f>
        <v>44700</v>
      </c>
      <c r="O703">
        <f>Продажи[[#This Row],[дата создания чека]]-Продажи[[#This Row],[Дата регистрации клиентов]]</f>
        <v>429</v>
      </c>
      <c r="P703" t="str">
        <f>VLOOKUP(Продажи[[#This Row],[id клиента]],Таблица4[#All],7,FALSE)</f>
        <v>Россия</v>
      </c>
    </row>
    <row r="704" spans="1:16" x14ac:dyDescent="0.25">
      <c r="A704">
        <v>703</v>
      </c>
      <c r="B704">
        <v>46</v>
      </c>
      <c r="C704">
        <v>228</v>
      </c>
      <c r="D704">
        <v>5</v>
      </c>
      <c r="E704">
        <v>1140</v>
      </c>
      <c r="F704" s="23">
        <v>45017</v>
      </c>
      <c r="G704" t="s">
        <v>11</v>
      </c>
      <c r="H704">
        <v>272</v>
      </c>
      <c r="I704" t="str">
        <f>VLOOKUP(Продажи[[#This Row],[id товара]],Товары[#All],2,FALSE)</f>
        <v>Йогурт</v>
      </c>
      <c r="J704" s="19">
        <f>AVERAGEIF(Продажи[Категория товара],Продажи[[#This Row],[Категория товара]],Продажи[цена за шт в рублях])</f>
        <v>263.25423728813558</v>
      </c>
      <c r="K704" s="20">
        <f>Продажи[[#This Row],[цена за шт в рублях]]/Продажи[[#This Row],[Средняя цена в категории за шт]]-1</f>
        <v>-0.13391707442698941</v>
      </c>
      <c r="L704" t="str">
        <f>VLOOKUP(Продажи[[#This Row],[id товара]],Товары[#All],3,FALSE)</f>
        <v>Активиа</v>
      </c>
      <c r="M7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704" s="23">
        <f>VLOOKUP(Продажи[[#This Row],[id клиента]],Таблица4[#All],5,FALSE)</f>
        <v>44668</v>
      </c>
      <c r="O704">
        <f>Продажи[[#This Row],[дата создания чека]]-Продажи[[#This Row],[Дата регистрации клиентов]]</f>
        <v>349</v>
      </c>
      <c r="P704" t="str">
        <f>VLOOKUP(Продажи[[#This Row],[id клиента]],Таблица4[#All],7,FALSE)</f>
        <v>Таджикистан</v>
      </c>
    </row>
    <row r="705" spans="1:16" x14ac:dyDescent="0.25">
      <c r="A705">
        <v>704</v>
      </c>
      <c r="B705">
        <v>1</v>
      </c>
      <c r="C705">
        <v>322</v>
      </c>
      <c r="D705">
        <v>2</v>
      </c>
      <c r="E705">
        <v>644</v>
      </c>
      <c r="F705" s="23">
        <v>45422</v>
      </c>
      <c r="G705" t="s">
        <v>23</v>
      </c>
      <c r="H705">
        <v>22</v>
      </c>
      <c r="I705" t="str">
        <f>VLOOKUP(Продажи[[#This Row],[id товара]],Товары[#All],2,FALSE)</f>
        <v>Крупа</v>
      </c>
      <c r="J705" s="19">
        <f>AVERAGEIF(Продажи[Категория товара],Продажи[[#This Row],[Категория товара]],Продажи[цена за шт в рублях])</f>
        <v>255.11627906976744</v>
      </c>
      <c r="K705" s="20">
        <f>Продажи[[#This Row],[цена за шт в рублях]]/Продажи[[#This Row],[Средняя цена в категории за шт]]-1</f>
        <v>0.26216955332725611</v>
      </c>
      <c r="L705" t="str">
        <f>VLOOKUP(Продажи[[#This Row],[id товара]],Товары[#All],3,FALSE)</f>
        <v>Ярмарка</v>
      </c>
      <c r="M7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705" s="23">
        <f>VLOOKUP(Продажи[[#This Row],[id клиента]],Таблица4[#All],5,FALSE)</f>
        <v>44870</v>
      </c>
      <c r="O705">
        <f>Продажи[[#This Row],[дата создания чека]]-Продажи[[#This Row],[Дата регистрации клиентов]]</f>
        <v>552</v>
      </c>
      <c r="P705" t="str">
        <f>VLOOKUP(Продажи[[#This Row],[id клиента]],Таблица4[#All],7,FALSE)</f>
        <v>Беларусь</v>
      </c>
    </row>
    <row r="706" spans="1:16" x14ac:dyDescent="0.25">
      <c r="A706">
        <v>705</v>
      </c>
      <c r="B706">
        <v>478</v>
      </c>
      <c r="C706">
        <v>342</v>
      </c>
      <c r="D706">
        <v>3</v>
      </c>
      <c r="E706">
        <v>1026</v>
      </c>
      <c r="F706" s="23">
        <v>45037</v>
      </c>
      <c r="G706" t="s">
        <v>14</v>
      </c>
      <c r="H706">
        <v>360</v>
      </c>
      <c r="I706" t="str">
        <f>VLOOKUP(Продажи[[#This Row],[id товара]],Товары[#All],2,FALSE)</f>
        <v>Конфеты</v>
      </c>
      <c r="J706" s="19">
        <f>AVERAGEIF(Продажи[Категория товара],Продажи[[#This Row],[Категория товара]],Продажи[цена за шт в рублях])</f>
        <v>267.85483870967744</v>
      </c>
      <c r="K706" s="20">
        <f>Продажи[[#This Row],[цена за шт в рублях]]/Продажи[[#This Row],[Средняя цена в категории за шт]]-1</f>
        <v>0.27681098332028653</v>
      </c>
      <c r="L706" t="str">
        <f>VLOOKUP(Продажи[[#This Row],[id товара]],Товары[#All],3,FALSE)</f>
        <v>Рот Фронт</v>
      </c>
      <c r="M7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706" s="23">
        <f>VLOOKUP(Продажи[[#This Row],[id клиента]],Таблица4[#All],5,FALSE)</f>
        <v>44728</v>
      </c>
      <c r="O706">
        <f>Продажи[[#This Row],[дата создания чека]]-Продажи[[#This Row],[Дата регистрации клиентов]]</f>
        <v>309</v>
      </c>
      <c r="P706" t="str">
        <f>VLOOKUP(Продажи[[#This Row],[id клиента]],Таблица4[#All],7,FALSE)</f>
        <v>Беларусь</v>
      </c>
    </row>
    <row r="707" spans="1:16" x14ac:dyDescent="0.25">
      <c r="A707">
        <v>706</v>
      </c>
      <c r="B707">
        <v>444</v>
      </c>
      <c r="C707">
        <v>315</v>
      </c>
      <c r="D707">
        <v>4</v>
      </c>
      <c r="E707">
        <v>1260</v>
      </c>
      <c r="F707" s="23">
        <v>45041</v>
      </c>
      <c r="G707" t="s">
        <v>12</v>
      </c>
      <c r="H707">
        <v>414</v>
      </c>
      <c r="I707" t="str">
        <f>VLOOKUP(Продажи[[#This Row],[id товара]],Товары[#All],2,FALSE)</f>
        <v>Йогурт</v>
      </c>
      <c r="J707" s="19">
        <f>AVERAGEIF(Продажи[Категория товара],Продажи[[#This Row],[Категория товара]],Продажи[цена за шт в рублях])</f>
        <v>263.25423728813558</v>
      </c>
      <c r="K707" s="20">
        <f>Продажи[[#This Row],[цена за шт в рублях]]/Продажи[[#This Row],[Средняя цена в категории за шт]]-1</f>
        <v>0.19656193664692245</v>
      </c>
      <c r="L707" t="str">
        <f>VLOOKUP(Продажи[[#This Row],[id товара]],Товары[#All],3,FALSE)</f>
        <v>Эрманн</v>
      </c>
      <c r="M7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707" s="23">
        <f>VLOOKUP(Продажи[[#This Row],[id клиента]],Таблица4[#All],5,FALSE)</f>
        <v>44794</v>
      </c>
      <c r="O707">
        <f>Продажи[[#This Row],[дата создания чека]]-Продажи[[#This Row],[Дата регистрации клиентов]]</f>
        <v>247</v>
      </c>
      <c r="P707" t="str">
        <f>VLOOKUP(Продажи[[#This Row],[id клиента]],Таблица4[#All],7,FALSE)</f>
        <v>Беларусь</v>
      </c>
    </row>
    <row r="708" spans="1:16" x14ac:dyDescent="0.25">
      <c r="A708">
        <v>707</v>
      </c>
      <c r="B708">
        <v>110</v>
      </c>
      <c r="C708">
        <v>473</v>
      </c>
      <c r="D708">
        <v>2</v>
      </c>
      <c r="E708">
        <v>946</v>
      </c>
      <c r="F708" s="23">
        <v>45373</v>
      </c>
      <c r="G708" t="s">
        <v>25</v>
      </c>
      <c r="H708">
        <v>152</v>
      </c>
      <c r="I708" t="str">
        <f>VLOOKUP(Продажи[[#This Row],[id товара]],Товары[#All],2,FALSE)</f>
        <v>Макароны</v>
      </c>
      <c r="J708" s="19">
        <f>AVERAGEIF(Продажи[Категория товара],Продажи[[#This Row],[Категория товара]],Продажи[цена за шт в рублях])</f>
        <v>265.47674418604652</v>
      </c>
      <c r="K708" s="20">
        <f>Продажи[[#This Row],[цена за шт в рублях]]/Продажи[[#This Row],[Средняя цена в категории за шт]]-1</f>
        <v>0.78170031974070331</v>
      </c>
      <c r="L708" t="str">
        <f>VLOOKUP(Продажи[[#This Row],[id товара]],Товары[#All],3,FALSE)</f>
        <v>Паста Зара</v>
      </c>
      <c r="M7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08" s="23">
        <f>VLOOKUP(Продажи[[#This Row],[id клиента]],Таблица4[#All],5,FALSE)</f>
        <v>44791</v>
      </c>
      <c r="O708">
        <f>Продажи[[#This Row],[дата создания чека]]-Продажи[[#This Row],[Дата регистрации клиентов]]</f>
        <v>582</v>
      </c>
      <c r="P708" t="str">
        <f>VLOOKUP(Продажи[[#This Row],[id клиента]],Таблица4[#All],7,FALSE)</f>
        <v>Беларусь</v>
      </c>
    </row>
    <row r="709" spans="1:16" x14ac:dyDescent="0.25">
      <c r="A709">
        <v>708</v>
      </c>
      <c r="B709">
        <v>191</v>
      </c>
      <c r="C709">
        <v>248</v>
      </c>
      <c r="D709">
        <v>2</v>
      </c>
      <c r="E709">
        <v>496</v>
      </c>
      <c r="F709" s="23">
        <v>45148</v>
      </c>
      <c r="G709" t="s">
        <v>19</v>
      </c>
      <c r="H709">
        <v>177</v>
      </c>
      <c r="I709" t="str">
        <f>VLOOKUP(Продажи[[#This Row],[id товара]],Товары[#All],2,FALSE)</f>
        <v>Колбаса</v>
      </c>
      <c r="J709" s="19">
        <f>AVERAGEIF(Продажи[Категория товара],Продажи[[#This Row],[Категория товара]],Продажи[цена за шт в рублях])</f>
        <v>286.92307692307691</v>
      </c>
      <c r="K709" s="20">
        <f>Продажи[[#This Row],[цена за шт в рублях]]/Продажи[[#This Row],[Средняя цена в категории за шт]]-1</f>
        <v>-0.13565683646112592</v>
      </c>
      <c r="L709" t="str">
        <f>VLOOKUP(Продажи[[#This Row],[id товара]],Товары[#All],3,FALSE)</f>
        <v>Окраина</v>
      </c>
      <c r="M7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709" s="23">
        <f>VLOOKUP(Продажи[[#This Row],[id клиента]],Таблица4[#All],5,FALSE)</f>
        <v>44857</v>
      </c>
      <c r="O709">
        <f>Продажи[[#This Row],[дата создания чека]]-Продажи[[#This Row],[Дата регистрации клиентов]]</f>
        <v>291</v>
      </c>
      <c r="P709" t="str">
        <f>VLOOKUP(Продажи[[#This Row],[id клиента]],Таблица4[#All],7,FALSE)</f>
        <v>Таджикистан</v>
      </c>
    </row>
    <row r="710" spans="1:16" x14ac:dyDescent="0.25">
      <c r="A710">
        <v>709</v>
      </c>
      <c r="B710">
        <v>198</v>
      </c>
      <c r="C710">
        <v>335</v>
      </c>
      <c r="D710">
        <v>3</v>
      </c>
      <c r="E710">
        <v>1005</v>
      </c>
      <c r="F710" s="23">
        <v>45164</v>
      </c>
      <c r="G710" t="s">
        <v>18</v>
      </c>
      <c r="H710">
        <v>111</v>
      </c>
      <c r="I710" t="str">
        <f>VLOOKUP(Продажи[[#This Row],[id товара]],Товары[#All],2,FALSE)</f>
        <v>Мясо</v>
      </c>
      <c r="J710" s="19">
        <f>AVERAGEIF(Продажи[Категория товара],Продажи[[#This Row],[Категория товара]],Продажи[цена за шт в рублях])</f>
        <v>271.74545454545455</v>
      </c>
      <c r="K710" s="20">
        <f>Продажи[[#This Row],[цена за шт в рублях]]/Продажи[[#This Row],[Средняя цена в категории за шт]]-1</f>
        <v>0.23277131004951146</v>
      </c>
      <c r="L710" t="str">
        <f>VLOOKUP(Продажи[[#This Row],[id товара]],Товары[#All],3,FALSE)</f>
        <v>Мираторг</v>
      </c>
      <c r="M7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710" s="23">
        <f>VLOOKUP(Продажи[[#This Row],[id клиента]],Таблица4[#All],5,FALSE)</f>
        <v>44804</v>
      </c>
      <c r="O710">
        <f>Продажи[[#This Row],[дата создания чека]]-Продажи[[#This Row],[Дата регистрации клиентов]]</f>
        <v>360</v>
      </c>
      <c r="P710" t="str">
        <f>VLOOKUP(Продажи[[#This Row],[id клиента]],Таблица4[#All],7,FALSE)</f>
        <v>Узбекистан</v>
      </c>
    </row>
    <row r="711" spans="1:16" x14ac:dyDescent="0.25">
      <c r="A711">
        <v>710</v>
      </c>
      <c r="B711">
        <v>93</v>
      </c>
      <c r="C711">
        <v>343</v>
      </c>
      <c r="D711">
        <v>3</v>
      </c>
      <c r="E711">
        <v>1029</v>
      </c>
      <c r="F711" s="23">
        <v>44930</v>
      </c>
      <c r="G711" t="s">
        <v>26</v>
      </c>
      <c r="H711">
        <v>281</v>
      </c>
      <c r="I711" t="str">
        <f>VLOOKUP(Продажи[[#This Row],[id товара]],Товары[#All],2,FALSE)</f>
        <v>Чай</v>
      </c>
      <c r="J711" s="19">
        <f>AVERAGEIF(Продажи[Категория товара],Продажи[[#This Row],[Категория товара]],Продажи[цена за шт в рублях])</f>
        <v>271.18181818181819</v>
      </c>
      <c r="K711" s="20">
        <f>Продажи[[#This Row],[цена за шт в рублях]]/Продажи[[#This Row],[Средняя цена в категории за шт]]-1</f>
        <v>0.26483405967147156</v>
      </c>
      <c r="L711" t="str">
        <f>VLOOKUP(Продажи[[#This Row],[id товара]],Товары[#All],3,FALSE)</f>
        <v>Greenfield</v>
      </c>
      <c r="M7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711" s="23">
        <f>VLOOKUP(Продажи[[#This Row],[id клиента]],Таблица4[#All],5,FALSE)</f>
        <v>44711</v>
      </c>
      <c r="O711">
        <f>Продажи[[#This Row],[дата создания чека]]-Продажи[[#This Row],[Дата регистрации клиентов]]</f>
        <v>219</v>
      </c>
      <c r="P711" t="str">
        <f>VLOOKUP(Продажи[[#This Row],[id клиента]],Таблица4[#All],7,FALSE)</f>
        <v>Узбекистан</v>
      </c>
    </row>
    <row r="712" spans="1:16" x14ac:dyDescent="0.25">
      <c r="A712">
        <v>711</v>
      </c>
      <c r="B712">
        <v>385</v>
      </c>
      <c r="C712">
        <v>309</v>
      </c>
      <c r="D712">
        <v>1</v>
      </c>
      <c r="E712">
        <v>309</v>
      </c>
      <c r="F712" s="23">
        <v>45100</v>
      </c>
      <c r="G712" t="s">
        <v>14</v>
      </c>
      <c r="H712">
        <v>177</v>
      </c>
      <c r="I712" t="str">
        <f>VLOOKUP(Продажи[[#This Row],[id товара]],Товары[#All],2,FALSE)</f>
        <v>Макароны</v>
      </c>
      <c r="J712" s="19">
        <f>AVERAGEIF(Продажи[Категория товара],Продажи[[#This Row],[Категория товара]],Продажи[цена за шт в рублях])</f>
        <v>265.47674418604652</v>
      </c>
      <c r="K712" s="20">
        <f>Продажи[[#This Row],[цена за шт в рублях]]/Продажи[[#This Row],[Средняя цена в категории за шт]]-1</f>
        <v>0.16394376067627348</v>
      </c>
      <c r="L712" t="str">
        <f>VLOOKUP(Продажи[[#This Row],[id товара]],Товары[#All],3,FALSE)</f>
        <v>Макфа</v>
      </c>
      <c r="M7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712" s="23">
        <f>VLOOKUP(Продажи[[#This Row],[id клиента]],Таблица4[#All],5,FALSE)</f>
        <v>44857</v>
      </c>
      <c r="O712">
        <f>Продажи[[#This Row],[дата создания чека]]-Продажи[[#This Row],[Дата регистрации клиентов]]</f>
        <v>243</v>
      </c>
      <c r="P712" t="str">
        <f>VLOOKUP(Продажи[[#This Row],[id клиента]],Таблица4[#All],7,FALSE)</f>
        <v>Таджикистан</v>
      </c>
    </row>
    <row r="713" spans="1:16" x14ac:dyDescent="0.25">
      <c r="A713">
        <v>712</v>
      </c>
      <c r="B713">
        <v>456</v>
      </c>
      <c r="C713">
        <v>196</v>
      </c>
      <c r="D713">
        <v>4</v>
      </c>
      <c r="E713">
        <v>784</v>
      </c>
      <c r="F713" s="23">
        <v>45006</v>
      </c>
      <c r="G713" t="s">
        <v>12</v>
      </c>
      <c r="H713">
        <v>446</v>
      </c>
      <c r="I713" t="str">
        <f>VLOOKUP(Продажи[[#This Row],[id товара]],Товары[#All],2,FALSE)</f>
        <v>Колбаса</v>
      </c>
      <c r="J713" s="19">
        <f>AVERAGEIF(Продажи[Категория товара],Продажи[[#This Row],[Категория товара]],Продажи[цена за шт в рублях])</f>
        <v>286.92307692307691</v>
      </c>
      <c r="K713" s="20">
        <f>Продажи[[#This Row],[цена за шт в рублях]]/Продажи[[#This Row],[Средняя цена в категории за шт]]-1</f>
        <v>-0.31689008042895439</v>
      </c>
      <c r="L713" t="str">
        <f>VLOOKUP(Продажи[[#This Row],[id товара]],Товары[#All],3,FALSE)</f>
        <v>Окраина</v>
      </c>
      <c r="M7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713" s="23">
        <f>VLOOKUP(Продажи[[#This Row],[id клиента]],Таблица4[#All],5,FALSE)</f>
        <v>44671</v>
      </c>
      <c r="O713">
        <f>Продажи[[#This Row],[дата создания чека]]-Продажи[[#This Row],[Дата регистрации клиентов]]</f>
        <v>335</v>
      </c>
      <c r="P713" t="str">
        <f>VLOOKUP(Продажи[[#This Row],[id клиента]],Таблица4[#All],7,FALSE)</f>
        <v>Таджикистан</v>
      </c>
    </row>
    <row r="714" spans="1:16" x14ac:dyDescent="0.25">
      <c r="A714">
        <v>713</v>
      </c>
      <c r="B714">
        <v>147</v>
      </c>
      <c r="C714">
        <v>258</v>
      </c>
      <c r="D714">
        <v>5</v>
      </c>
      <c r="E714">
        <v>1290</v>
      </c>
      <c r="F714" s="23">
        <v>45356</v>
      </c>
      <c r="G714" t="s">
        <v>11</v>
      </c>
      <c r="H714">
        <v>202</v>
      </c>
      <c r="I714" t="str">
        <f>VLOOKUP(Продажи[[#This Row],[id товара]],Товары[#All],2,FALSE)</f>
        <v>Конфеты</v>
      </c>
      <c r="J714" s="19">
        <f>AVERAGEIF(Продажи[Категория товара],Продажи[[#This Row],[Категория товара]],Продажи[цена за шт в рублях])</f>
        <v>267.85483870967744</v>
      </c>
      <c r="K714" s="20">
        <f>Продажи[[#This Row],[цена за шт в рублях]]/Продажи[[#This Row],[Средняя цена в категории за шт]]-1</f>
        <v>-3.6791714337327752E-2</v>
      </c>
      <c r="L714" t="str">
        <f>VLOOKUP(Продажи[[#This Row],[id товара]],Товары[#All],3,FALSE)</f>
        <v>Бабаевский</v>
      </c>
      <c r="M7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714" s="23">
        <f>VLOOKUP(Продажи[[#This Row],[id клиента]],Таблица4[#All],5,FALSE)</f>
        <v>44766</v>
      </c>
      <c r="O714">
        <f>Продажи[[#This Row],[дата создания чека]]-Продажи[[#This Row],[Дата регистрации клиентов]]</f>
        <v>590</v>
      </c>
      <c r="P714" t="str">
        <f>VLOOKUP(Продажи[[#This Row],[id клиента]],Таблица4[#All],7,FALSE)</f>
        <v>Беларусь</v>
      </c>
    </row>
    <row r="715" spans="1:16" x14ac:dyDescent="0.25">
      <c r="A715">
        <v>714</v>
      </c>
      <c r="B715">
        <v>47</v>
      </c>
      <c r="C715">
        <v>496</v>
      </c>
      <c r="D715">
        <v>2</v>
      </c>
      <c r="E715">
        <v>992</v>
      </c>
      <c r="F715" s="23">
        <v>45196</v>
      </c>
      <c r="G715" t="s">
        <v>10</v>
      </c>
      <c r="H715">
        <v>140</v>
      </c>
      <c r="I715" t="str">
        <f>VLOOKUP(Продажи[[#This Row],[id товара]],Товары[#All],2,FALSE)</f>
        <v>Мясо</v>
      </c>
      <c r="J715" s="19">
        <f>AVERAGEIF(Продажи[Категория товара],Продажи[[#This Row],[Категория товара]],Продажи[цена за шт в рублях])</f>
        <v>271.74545454545455</v>
      </c>
      <c r="K715" s="20">
        <f>Продажи[[#This Row],[цена за шт в рублях]]/Продажи[[#This Row],[Средняя цена в категории за шт]]-1</f>
        <v>0.82523752174494835</v>
      </c>
      <c r="L715" t="str">
        <f>VLOOKUP(Продажи[[#This Row],[id товара]],Товары[#All],3,FALSE)</f>
        <v>Снежана</v>
      </c>
      <c r="M7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715" s="23">
        <f>VLOOKUP(Продажи[[#This Row],[id клиента]],Таблица4[#All],5,FALSE)</f>
        <v>44627</v>
      </c>
      <c r="O715">
        <f>Продажи[[#This Row],[дата создания чека]]-Продажи[[#This Row],[Дата регистрации клиентов]]</f>
        <v>569</v>
      </c>
      <c r="P715" t="str">
        <f>VLOOKUP(Продажи[[#This Row],[id клиента]],Таблица4[#All],7,FALSE)</f>
        <v>Россия</v>
      </c>
    </row>
    <row r="716" spans="1:16" x14ac:dyDescent="0.25">
      <c r="A716">
        <v>715</v>
      </c>
      <c r="B716">
        <v>369</v>
      </c>
      <c r="C716">
        <v>202</v>
      </c>
      <c r="D716">
        <v>5</v>
      </c>
      <c r="E716">
        <v>1010</v>
      </c>
      <c r="F716" s="23">
        <v>45100</v>
      </c>
      <c r="G716" t="s">
        <v>21</v>
      </c>
      <c r="H716">
        <v>321</v>
      </c>
      <c r="I716" t="str">
        <f>VLOOKUP(Продажи[[#This Row],[id товара]],Товары[#All],2,FALSE)</f>
        <v>Молоко</v>
      </c>
      <c r="J716" s="19">
        <f>AVERAGEIF(Продажи[Категория товара],Продажи[[#This Row],[Категория товара]],Продажи[цена за шт в рублях])</f>
        <v>294.95238095238096</v>
      </c>
      <c r="K716" s="20">
        <f>Продажи[[#This Row],[цена за шт в рублях]]/Продажи[[#This Row],[Средняя цена в категории за шт]]-1</f>
        <v>-0.31514368743945753</v>
      </c>
      <c r="L716" t="str">
        <f>VLOOKUP(Продажи[[#This Row],[id товара]],Товары[#All],3,FALSE)</f>
        <v>Домик в деревне</v>
      </c>
      <c r="M7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716" s="23">
        <f>VLOOKUP(Продажи[[#This Row],[id клиента]],Таблица4[#All],5,FALSE)</f>
        <v>44756</v>
      </c>
      <c r="O716">
        <f>Продажи[[#This Row],[дата создания чека]]-Продажи[[#This Row],[Дата регистрации клиентов]]</f>
        <v>344</v>
      </c>
      <c r="P716" t="str">
        <f>VLOOKUP(Продажи[[#This Row],[id клиента]],Таблица4[#All],7,FALSE)</f>
        <v>Таджикистан</v>
      </c>
    </row>
    <row r="717" spans="1:16" x14ac:dyDescent="0.25">
      <c r="A717">
        <v>716</v>
      </c>
      <c r="B717">
        <v>296</v>
      </c>
      <c r="C717">
        <v>155</v>
      </c>
      <c r="D717">
        <v>1</v>
      </c>
      <c r="E717">
        <v>155</v>
      </c>
      <c r="F717" s="23">
        <v>45349</v>
      </c>
      <c r="G717" t="s">
        <v>26</v>
      </c>
      <c r="H717">
        <v>188</v>
      </c>
      <c r="I717" t="str">
        <f>VLOOKUP(Продажи[[#This Row],[id товара]],Товары[#All],2,FALSE)</f>
        <v>Крупа</v>
      </c>
      <c r="J717" s="19">
        <f>AVERAGEIF(Продажи[Категория товара],Продажи[[#This Row],[Категория товара]],Продажи[цена за шт в рублях])</f>
        <v>255.11627906976744</v>
      </c>
      <c r="K717" s="20">
        <f>Продажи[[#This Row],[цена за шт в рублях]]/Продажи[[#This Row],[Средняя цена в категории за шт]]-1</f>
        <v>-0.39243391066545119</v>
      </c>
      <c r="L717" t="str">
        <f>VLOOKUP(Продажи[[#This Row],[id товара]],Товары[#All],3,FALSE)</f>
        <v>Мистраль</v>
      </c>
      <c r="M7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717" s="23">
        <f>VLOOKUP(Продажи[[#This Row],[id клиента]],Таблица4[#All],5,FALSE)</f>
        <v>44801</v>
      </c>
      <c r="O717">
        <f>Продажи[[#This Row],[дата создания чека]]-Продажи[[#This Row],[Дата регистрации клиентов]]</f>
        <v>548</v>
      </c>
      <c r="P717" t="str">
        <f>VLOOKUP(Продажи[[#This Row],[id клиента]],Таблица4[#All],7,FALSE)</f>
        <v>Таджикистан</v>
      </c>
    </row>
    <row r="718" spans="1:16" x14ac:dyDescent="0.25">
      <c r="A718">
        <v>717</v>
      </c>
      <c r="B718">
        <v>448</v>
      </c>
      <c r="C718">
        <v>72</v>
      </c>
      <c r="D718">
        <v>5</v>
      </c>
      <c r="E718">
        <v>360</v>
      </c>
      <c r="F718" s="23">
        <v>45409</v>
      </c>
      <c r="G718" t="s">
        <v>18</v>
      </c>
      <c r="H718">
        <v>63</v>
      </c>
      <c r="I718" t="str">
        <f>VLOOKUP(Продажи[[#This Row],[id товара]],Товары[#All],2,FALSE)</f>
        <v>Йогурт</v>
      </c>
      <c r="J718" s="19">
        <f>AVERAGEIF(Продажи[Категория товара],Продажи[[#This Row],[Категория товара]],Продажи[цена за шт в рублях])</f>
        <v>263.25423728813558</v>
      </c>
      <c r="K718" s="20">
        <f>Продажи[[#This Row],[цена за шт в рублях]]/Продажи[[#This Row],[Средняя цена в категории за шт]]-1</f>
        <v>-0.72650012876641767</v>
      </c>
      <c r="L718" t="str">
        <f>VLOOKUP(Продажи[[#This Row],[id товара]],Товары[#All],3,FALSE)</f>
        <v>Ростагроэкспорт</v>
      </c>
      <c r="M7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718" s="23">
        <f>VLOOKUP(Продажи[[#This Row],[id клиента]],Таблица4[#All],5,FALSE)</f>
        <v>44684</v>
      </c>
      <c r="O718">
        <f>Продажи[[#This Row],[дата создания чека]]-Продажи[[#This Row],[Дата регистрации клиентов]]</f>
        <v>725</v>
      </c>
      <c r="P718" t="str">
        <f>VLOOKUP(Продажи[[#This Row],[id клиента]],Таблица4[#All],7,FALSE)</f>
        <v>Украина</v>
      </c>
    </row>
    <row r="719" spans="1:16" x14ac:dyDescent="0.25">
      <c r="A719">
        <v>718</v>
      </c>
      <c r="B719">
        <v>38</v>
      </c>
      <c r="C719">
        <v>191</v>
      </c>
      <c r="D719">
        <v>5</v>
      </c>
      <c r="E719">
        <v>955</v>
      </c>
      <c r="F719" s="23">
        <v>44992</v>
      </c>
      <c r="G719" t="s">
        <v>22</v>
      </c>
      <c r="H719">
        <v>25</v>
      </c>
      <c r="I719" t="str">
        <f>VLOOKUP(Продажи[[#This Row],[id товара]],Товары[#All],2,FALSE)</f>
        <v>Конфеты</v>
      </c>
      <c r="J719" s="19">
        <f>AVERAGEIF(Продажи[Категория товара],Продажи[[#This Row],[Категория товара]],Продажи[цена за шт в рублях])</f>
        <v>267.85483870967744</v>
      </c>
      <c r="K719" s="20">
        <f>Продажи[[#This Row],[цена за шт в рублях]]/Продажи[[#This Row],[Средняя цена в категории за шт]]-1</f>
        <v>-0.2869271993737581</v>
      </c>
      <c r="L719" t="str">
        <f>VLOOKUP(Продажи[[#This Row],[id товара]],Товары[#All],3,FALSE)</f>
        <v>Рот Фронт</v>
      </c>
      <c r="M7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719" s="23">
        <f>VLOOKUP(Продажи[[#This Row],[id клиента]],Таблица4[#All],5,FALSE)</f>
        <v>44582</v>
      </c>
      <c r="O719">
        <f>Продажи[[#This Row],[дата создания чека]]-Продажи[[#This Row],[Дата регистрации клиентов]]</f>
        <v>410</v>
      </c>
      <c r="P719" t="str">
        <f>VLOOKUP(Продажи[[#This Row],[id клиента]],Таблица4[#All],7,FALSE)</f>
        <v>Таджикистан</v>
      </c>
    </row>
    <row r="720" spans="1:16" x14ac:dyDescent="0.25">
      <c r="A720">
        <v>719</v>
      </c>
      <c r="B720">
        <v>272</v>
      </c>
      <c r="C720">
        <v>362</v>
      </c>
      <c r="D720">
        <v>2</v>
      </c>
      <c r="E720">
        <v>724</v>
      </c>
      <c r="F720" s="23">
        <v>45025</v>
      </c>
      <c r="G720" t="s">
        <v>26</v>
      </c>
      <c r="H720">
        <v>409</v>
      </c>
      <c r="I720" t="str">
        <f>VLOOKUP(Продажи[[#This Row],[id товара]],Товары[#All],2,FALSE)</f>
        <v>Крупа</v>
      </c>
      <c r="J720" s="19">
        <f>AVERAGEIF(Продажи[Категория товара],Продажи[[#This Row],[Категория товара]],Продажи[цена за шт в рублях])</f>
        <v>255.11627906976744</v>
      </c>
      <c r="K720" s="20">
        <f>Продажи[[#This Row],[цена за шт в рублях]]/Продажи[[#This Row],[Средняя цена в категории за шт]]-1</f>
        <v>0.41896080218778486</v>
      </c>
      <c r="L720" t="str">
        <f>VLOOKUP(Продажи[[#This Row],[id товара]],Товары[#All],3,FALSE)</f>
        <v>Ярмарка</v>
      </c>
      <c r="M7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720" s="23">
        <f>VLOOKUP(Продажи[[#This Row],[id клиента]],Таблица4[#All],5,FALSE)</f>
        <v>44869</v>
      </c>
      <c r="O720">
        <f>Продажи[[#This Row],[дата создания чека]]-Продажи[[#This Row],[Дата регистрации клиентов]]</f>
        <v>156</v>
      </c>
      <c r="P720" t="str">
        <f>VLOOKUP(Продажи[[#This Row],[id клиента]],Таблица4[#All],7,FALSE)</f>
        <v>Украина</v>
      </c>
    </row>
    <row r="721" spans="1:16" x14ac:dyDescent="0.25">
      <c r="A721">
        <v>720</v>
      </c>
      <c r="B721">
        <v>426</v>
      </c>
      <c r="C721">
        <v>394</v>
      </c>
      <c r="D721">
        <v>5</v>
      </c>
      <c r="E721">
        <v>1970</v>
      </c>
      <c r="F721" s="23">
        <v>45349</v>
      </c>
      <c r="G721" t="s">
        <v>23</v>
      </c>
      <c r="H721">
        <v>386</v>
      </c>
      <c r="I721" t="str">
        <f>VLOOKUP(Продажи[[#This Row],[id товара]],Товары[#All],2,FALSE)</f>
        <v>Печенье</v>
      </c>
      <c r="J721" s="19">
        <f>AVERAGEIF(Продажи[Категория товара],Продажи[[#This Row],[Категория товара]],Продажи[цена за шт в рублях])</f>
        <v>283.468085106383</v>
      </c>
      <c r="K721" s="20">
        <f>Продажи[[#This Row],[цена за шт в рублях]]/Продажи[[#This Row],[Средняя цена в категории за шт]]-1</f>
        <v>0.38992719357502059</v>
      </c>
      <c r="L721" t="str">
        <f>VLOOKUP(Продажи[[#This Row],[id товара]],Товары[#All],3,FALSE)</f>
        <v>Посиделкино</v>
      </c>
      <c r="M7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721" s="23">
        <f>VLOOKUP(Продажи[[#This Row],[id клиента]],Таблица4[#All],5,FALSE)</f>
        <v>44734</v>
      </c>
      <c r="O721">
        <f>Продажи[[#This Row],[дата создания чека]]-Продажи[[#This Row],[Дата регистрации клиентов]]</f>
        <v>615</v>
      </c>
      <c r="P721" t="str">
        <f>VLOOKUP(Продажи[[#This Row],[id клиента]],Таблица4[#All],7,FALSE)</f>
        <v>Узбекистан</v>
      </c>
    </row>
    <row r="722" spans="1:16" x14ac:dyDescent="0.25">
      <c r="A722">
        <v>721</v>
      </c>
      <c r="B722">
        <v>378</v>
      </c>
      <c r="C722">
        <v>203</v>
      </c>
      <c r="D722">
        <v>4</v>
      </c>
      <c r="E722">
        <v>812</v>
      </c>
      <c r="F722" s="23">
        <v>45244</v>
      </c>
      <c r="G722" t="s">
        <v>16</v>
      </c>
      <c r="H722">
        <v>238</v>
      </c>
      <c r="I722" t="str">
        <f>VLOOKUP(Продажи[[#This Row],[id товара]],Товары[#All],2,FALSE)</f>
        <v>Сок</v>
      </c>
      <c r="J722" s="19">
        <f>AVERAGEIF(Продажи[Категория товара],Продажи[[#This Row],[Категория товара]],Продажи[цена за шт в рублях])</f>
        <v>268.60344827586209</v>
      </c>
      <c r="K722" s="20">
        <f>Продажи[[#This Row],[цена за шт в рублях]]/Продажи[[#This Row],[Средняя цена в категории за шт]]-1</f>
        <v>-0.24423903973297389</v>
      </c>
      <c r="L722" t="str">
        <f>VLOOKUP(Продажи[[#This Row],[id товара]],Товары[#All],3,FALSE)</f>
        <v>Фруктовый сад</v>
      </c>
      <c r="M7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22" s="23">
        <f>VLOOKUP(Продажи[[#This Row],[id клиента]],Таблица4[#All],5,FALSE)</f>
        <v>44909</v>
      </c>
      <c r="O722">
        <f>Продажи[[#This Row],[дата создания чека]]-Продажи[[#This Row],[Дата регистрации клиентов]]</f>
        <v>335</v>
      </c>
      <c r="P722" t="str">
        <f>VLOOKUP(Продажи[[#This Row],[id клиента]],Таблица4[#All],7,FALSE)</f>
        <v>Украина</v>
      </c>
    </row>
    <row r="723" spans="1:16" x14ac:dyDescent="0.25">
      <c r="A723">
        <v>722</v>
      </c>
      <c r="B723">
        <v>134</v>
      </c>
      <c r="C723">
        <v>450</v>
      </c>
      <c r="D723">
        <v>5</v>
      </c>
      <c r="E723">
        <v>2250</v>
      </c>
      <c r="F723" s="23">
        <v>45061</v>
      </c>
      <c r="G723" t="s">
        <v>8</v>
      </c>
      <c r="H723">
        <v>480</v>
      </c>
      <c r="I723" t="str">
        <f>VLOOKUP(Продажи[[#This Row],[id товара]],Товары[#All],2,FALSE)</f>
        <v>Рыба</v>
      </c>
      <c r="J723" s="19">
        <f>AVERAGEIF(Продажи[Категория товара],Продажи[[#This Row],[Категория товара]],Продажи[цена за шт в рублях])</f>
        <v>258.5128205128205</v>
      </c>
      <c r="K723" s="20">
        <f>Продажи[[#This Row],[цена за шт в рублях]]/Продажи[[#This Row],[Средняя цена в категории за шт]]-1</f>
        <v>0.74072604641936124</v>
      </c>
      <c r="L723" t="str">
        <f>VLOOKUP(Продажи[[#This Row],[id товара]],Товары[#All],3,FALSE)</f>
        <v>Меридиан</v>
      </c>
      <c r="M7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723" s="23">
        <f>VLOOKUP(Продажи[[#This Row],[id клиента]],Таблица4[#All],5,FALSE)</f>
        <v>44568</v>
      </c>
      <c r="O723">
        <f>Продажи[[#This Row],[дата создания чека]]-Продажи[[#This Row],[Дата регистрации клиентов]]</f>
        <v>493</v>
      </c>
      <c r="P723" t="str">
        <f>VLOOKUP(Продажи[[#This Row],[id клиента]],Таблица4[#All],7,FALSE)</f>
        <v>Узбекистан</v>
      </c>
    </row>
    <row r="724" spans="1:16" x14ac:dyDescent="0.25">
      <c r="A724">
        <v>723</v>
      </c>
      <c r="B724">
        <v>485</v>
      </c>
      <c r="C724">
        <v>323</v>
      </c>
      <c r="D724">
        <v>1</v>
      </c>
      <c r="E724">
        <v>323</v>
      </c>
      <c r="F724" s="23">
        <v>45144</v>
      </c>
      <c r="G724" t="s">
        <v>25</v>
      </c>
      <c r="H724">
        <v>157</v>
      </c>
      <c r="I724" t="str">
        <f>VLOOKUP(Продажи[[#This Row],[id товара]],Товары[#All],2,FALSE)</f>
        <v>Макароны</v>
      </c>
      <c r="J724" s="19">
        <f>AVERAGEIF(Продажи[Категория товара],Продажи[[#This Row],[Категория товара]],Продажи[цена за шт в рублях])</f>
        <v>265.47674418604652</v>
      </c>
      <c r="K724" s="20">
        <f>Продажи[[#This Row],[цена за шт в рублях]]/Продажи[[#This Row],[Средняя цена в категории за шт]]-1</f>
        <v>0.2166790766939688</v>
      </c>
      <c r="L724" t="str">
        <f>VLOOKUP(Продажи[[#This Row],[id товара]],Товары[#All],3,FALSE)</f>
        <v>Борилла</v>
      </c>
      <c r="M7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724" s="23">
        <f>VLOOKUP(Продажи[[#This Row],[id клиента]],Таблица4[#All],5,FALSE)</f>
        <v>44783</v>
      </c>
      <c r="O724">
        <f>Продажи[[#This Row],[дата создания чека]]-Продажи[[#This Row],[Дата регистрации клиентов]]</f>
        <v>361</v>
      </c>
      <c r="P724" t="str">
        <f>VLOOKUP(Продажи[[#This Row],[id клиента]],Таблица4[#All],7,FALSE)</f>
        <v>Россия</v>
      </c>
    </row>
    <row r="725" spans="1:16" x14ac:dyDescent="0.25">
      <c r="A725">
        <v>724</v>
      </c>
      <c r="B725">
        <v>400</v>
      </c>
      <c r="C725">
        <v>358</v>
      </c>
      <c r="D725">
        <v>4</v>
      </c>
      <c r="E725">
        <v>1432</v>
      </c>
      <c r="F725" s="23">
        <v>45103</v>
      </c>
      <c r="G725" t="s">
        <v>10</v>
      </c>
      <c r="H725">
        <v>9</v>
      </c>
      <c r="I725" t="str">
        <f>VLOOKUP(Продажи[[#This Row],[id товара]],Товары[#All],2,FALSE)</f>
        <v>Молоко</v>
      </c>
      <c r="J725" s="19">
        <f>AVERAGEIF(Продажи[Категория товара],Продажи[[#This Row],[Категория товара]],Продажи[цена за шт в рублях])</f>
        <v>294.95238095238096</v>
      </c>
      <c r="K725" s="20">
        <f>Продажи[[#This Row],[цена за шт в рублях]]/Продажи[[#This Row],[Средняя цена в категории за шт]]-1</f>
        <v>0.21375524701323867</v>
      </c>
      <c r="L725" t="str">
        <f>VLOOKUP(Продажи[[#This Row],[id товара]],Товары[#All],3,FALSE)</f>
        <v>Беллакт</v>
      </c>
      <c r="M7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725" s="23">
        <f>VLOOKUP(Продажи[[#This Row],[id клиента]],Таблица4[#All],5,FALSE)</f>
        <v>44900</v>
      </c>
      <c r="O725">
        <f>Продажи[[#This Row],[дата создания чека]]-Продажи[[#This Row],[Дата регистрации клиентов]]</f>
        <v>203</v>
      </c>
      <c r="P725" t="str">
        <f>VLOOKUP(Продажи[[#This Row],[id клиента]],Таблица4[#All],7,FALSE)</f>
        <v>Таджикистан</v>
      </c>
    </row>
    <row r="726" spans="1:16" x14ac:dyDescent="0.25">
      <c r="A726">
        <v>725</v>
      </c>
      <c r="B726">
        <v>28</v>
      </c>
      <c r="C726">
        <v>459</v>
      </c>
      <c r="D726">
        <v>1</v>
      </c>
      <c r="E726">
        <v>459</v>
      </c>
      <c r="F726" s="23">
        <v>45377</v>
      </c>
      <c r="G726" t="s">
        <v>8</v>
      </c>
      <c r="H726">
        <v>63</v>
      </c>
      <c r="I726" t="str">
        <f>VLOOKUP(Продажи[[#This Row],[id товара]],Товары[#All],2,FALSE)</f>
        <v>Крупа</v>
      </c>
      <c r="J726" s="19">
        <f>AVERAGEIF(Продажи[Категория товара],Продажи[[#This Row],[Категория товара]],Продажи[цена за шт в рублях])</f>
        <v>255.11627906976744</v>
      </c>
      <c r="K726" s="20">
        <f>Продажи[[#This Row],[цена за шт в рублях]]/Продажи[[#This Row],[Средняя цена в категории за шт]]-1</f>
        <v>0.79917958067456696</v>
      </c>
      <c r="L726" t="str">
        <f>VLOOKUP(Продажи[[#This Row],[id товара]],Товары[#All],3,FALSE)</f>
        <v>Националь</v>
      </c>
      <c r="M7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726" s="23">
        <f>VLOOKUP(Продажи[[#This Row],[id клиента]],Таблица4[#All],5,FALSE)</f>
        <v>44684</v>
      </c>
      <c r="O726">
        <f>Продажи[[#This Row],[дата создания чека]]-Продажи[[#This Row],[Дата регистрации клиентов]]</f>
        <v>693</v>
      </c>
      <c r="P726" t="str">
        <f>VLOOKUP(Продажи[[#This Row],[id клиента]],Таблица4[#All],7,FALSE)</f>
        <v>Украина</v>
      </c>
    </row>
    <row r="727" spans="1:16" x14ac:dyDescent="0.25">
      <c r="A727">
        <v>726</v>
      </c>
      <c r="B727">
        <v>195</v>
      </c>
      <c r="C727">
        <v>497</v>
      </c>
      <c r="D727">
        <v>5</v>
      </c>
      <c r="E727">
        <v>2485</v>
      </c>
      <c r="F727" s="23">
        <v>45136</v>
      </c>
      <c r="G727" t="s">
        <v>24</v>
      </c>
      <c r="H727">
        <v>105</v>
      </c>
      <c r="I727" t="str">
        <f>VLOOKUP(Продажи[[#This Row],[id товара]],Товары[#All],2,FALSE)</f>
        <v>Хлеб</v>
      </c>
      <c r="J727" s="19">
        <f>AVERAGEIF(Продажи[Категория товара],Продажи[[#This Row],[Категория товара]],Продажи[цена за шт в рублях])</f>
        <v>300.31818181818181</v>
      </c>
      <c r="K727" s="20">
        <f>Продажи[[#This Row],[цена за шт в рублях]]/Продажи[[#This Row],[Средняя цена в категории за шт]]-1</f>
        <v>0.65491145754502811</v>
      </c>
      <c r="L727" t="str">
        <f>VLOOKUP(Продажи[[#This Row],[id товара]],Товары[#All],3,FALSE)</f>
        <v>Каравай</v>
      </c>
      <c r="M7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727" s="23">
        <f>VLOOKUP(Продажи[[#This Row],[id клиента]],Таблица4[#All],5,FALSE)</f>
        <v>44918</v>
      </c>
      <c r="O727">
        <f>Продажи[[#This Row],[дата создания чека]]-Продажи[[#This Row],[Дата регистрации клиентов]]</f>
        <v>218</v>
      </c>
      <c r="P727" t="str">
        <f>VLOOKUP(Продажи[[#This Row],[id клиента]],Таблица4[#All],7,FALSE)</f>
        <v>Узбекистан</v>
      </c>
    </row>
    <row r="728" spans="1:16" x14ac:dyDescent="0.25">
      <c r="A728">
        <v>727</v>
      </c>
      <c r="B728">
        <v>398</v>
      </c>
      <c r="C728">
        <v>361</v>
      </c>
      <c r="D728">
        <v>1</v>
      </c>
      <c r="E728">
        <v>361</v>
      </c>
      <c r="F728" s="23">
        <v>45336</v>
      </c>
      <c r="G728" t="s">
        <v>15</v>
      </c>
      <c r="H728">
        <v>40</v>
      </c>
      <c r="I728" t="str">
        <f>VLOOKUP(Продажи[[#This Row],[id товара]],Товары[#All],2,FALSE)</f>
        <v>Сок</v>
      </c>
      <c r="J728" s="19">
        <f>AVERAGEIF(Продажи[Категория товара],Продажи[[#This Row],[Категория товара]],Продажи[цена за шт в рублях])</f>
        <v>268.60344827586209</v>
      </c>
      <c r="K728" s="20">
        <f>Продажи[[#This Row],[цена за шт в рублях]]/Продажи[[#This Row],[Средняя цена в категории за шт]]-1</f>
        <v>0.34398870274086901</v>
      </c>
      <c r="L728" t="str">
        <f>VLOOKUP(Продажи[[#This Row],[id товара]],Товары[#All],3,FALSE)</f>
        <v>Фруктовый сад</v>
      </c>
      <c r="M7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28" s="23">
        <f>VLOOKUP(Продажи[[#This Row],[id клиента]],Таблица4[#All],5,FALSE)</f>
        <v>44855</v>
      </c>
      <c r="O728">
        <f>Продажи[[#This Row],[дата создания чека]]-Продажи[[#This Row],[Дата регистрации клиентов]]</f>
        <v>481</v>
      </c>
      <c r="P728" t="str">
        <f>VLOOKUP(Продажи[[#This Row],[id клиента]],Таблица4[#All],7,FALSE)</f>
        <v>Россия</v>
      </c>
    </row>
    <row r="729" spans="1:16" x14ac:dyDescent="0.25">
      <c r="A729">
        <v>728</v>
      </c>
      <c r="B729">
        <v>77</v>
      </c>
      <c r="C729">
        <v>160</v>
      </c>
      <c r="D729">
        <v>2</v>
      </c>
      <c r="E729">
        <v>320</v>
      </c>
      <c r="F729" s="23">
        <v>45222</v>
      </c>
      <c r="G729" t="s">
        <v>19</v>
      </c>
      <c r="H729">
        <v>260</v>
      </c>
      <c r="I729" t="str">
        <f>VLOOKUP(Продажи[[#This Row],[id товара]],Товары[#All],2,FALSE)</f>
        <v>Макароны</v>
      </c>
      <c r="J729" s="19">
        <f>AVERAGEIF(Продажи[Категория товара],Продажи[[#This Row],[Категория товара]],Продажи[цена за шт в рублях])</f>
        <v>265.47674418604652</v>
      </c>
      <c r="K729" s="20">
        <f>Продажи[[#This Row],[цена за шт в рублях]]/Продажи[[#This Row],[Средняя цена в категории за шт]]-1</f>
        <v>-0.39731067408348297</v>
      </c>
      <c r="L729" t="str">
        <f>VLOOKUP(Продажи[[#This Row],[id товара]],Товары[#All],3,FALSE)</f>
        <v>Паста Зара</v>
      </c>
      <c r="M7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29" s="23">
        <f>VLOOKUP(Продажи[[#This Row],[id клиента]],Таблица4[#All],5,FALSE)</f>
        <v>44729</v>
      </c>
      <c r="O729">
        <f>Продажи[[#This Row],[дата создания чека]]-Продажи[[#This Row],[Дата регистрации клиентов]]</f>
        <v>493</v>
      </c>
      <c r="P729" t="str">
        <f>VLOOKUP(Продажи[[#This Row],[id клиента]],Таблица4[#All],7,FALSE)</f>
        <v>Украина</v>
      </c>
    </row>
    <row r="730" spans="1:16" x14ac:dyDescent="0.25">
      <c r="A730">
        <v>729</v>
      </c>
      <c r="B730">
        <v>128</v>
      </c>
      <c r="C730">
        <v>419</v>
      </c>
      <c r="D730">
        <v>5</v>
      </c>
      <c r="E730">
        <v>2095</v>
      </c>
      <c r="F730" s="23">
        <v>44943</v>
      </c>
      <c r="G730" t="s">
        <v>12</v>
      </c>
      <c r="H730">
        <v>220</v>
      </c>
      <c r="I730" t="str">
        <f>VLOOKUP(Продажи[[#This Row],[id товара]],Товары[#All],2,FALSE)</f>
        <v>Мясо</v>
      </c>
      <c r="J730" s="19">
        <f>AVERAGEIF(Продажи[Категория товара],Продажи[[#This Row],[Категория товара]],Продажи[цена за шт в рублях])</f>
        <v>271.74545454545455</v>
      </c>
      <c r="K730" s="20">
        <f>Продажи[[#This Row],[цена за шт в рублях]]/Продажи[[#This Row],[Средняя цена в категории за шт]]-1</f>
        <v>0.54188411615147869</v>
      </c>
      <c r="L730" t="str">
        <f>VLOOKUP(Продажи[[#This Row],[id товара]],Товары[#All],3,FALSE)</f>
        <v>Мираторг</v>
      </c>
      <c r="M7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730" s="23">
        <f>VLOOKUP(Продажи[[#This Row],[id клиента]],Таблица4[#All],5,FALSE)</f>
        <v>44570</v>
      </c>
      <c r="O730">
        <f>Продажи[[#This Row],[дата создания чека]]-Продажи[[#This Row],[Дата регистрации клиентов]]</f>
        <v>373</v>
      </c>
      <c r="P730" t="str">
        <f>VLOOKUP(Продажи[[#This Row],[id клиента]],Таблица4[#All],7,FALSE)</f>
        <v>Украина</v>
      </c>
    </row>
    <row r="731" spans="1:16" x14ac:dyDescent="0.25">
      <c r="A731">
        <v>730</v>
      </c>
      <c r="B731">
        <v>328</v>
      </c>
      <c r="C731">
        <v>429</v>
      </c>
      <c r="D731">
        <v>4</v>
      </c>
      <c r="E731">
        <v>1716</v>
      </c>
      <c r="F731" s="23">
        <v>45245</v>
      </c>
      <c r="G731" t="s">
        <v>15</v>
      </c>
      <c r="H731">
        <v>88</v>
      </c>
      <c r="I731" t="str">
        <f>VLOOKUP(Продажи[[#This Row],[id товара]],Товары[#All],2,FALSE)</f>
        <v>Чипсы</v>
      </c>
      <c r="J731" s="19">
        <f>AVERAGEIF(Продажи[Категория товара],Продажи[[#This Row],[Категория товара]],Продажи[цена за шт в рублях])</f>
        <v>273.72549019607845</v>
      </c>
      <c r="K731" s="20">
        <f>Продажи[[#This Row],[цена за шт в рублях]]/Продажи[[#This Row],[Средняя цена в категории за шт]]-1</f>
        <v>0.56726361031518602</v>
      </c>
      <c r="L731" t="str">
        <f>VLOOKUP(Продажи[[#This Row],[id товара]],Товары[#All],3,FALSE)</f>
        <v>Русская картошка</v>
      </c>
      <c r="M7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731" s="23">
        <f>VLOOKUP(Продажи[[#This Row],[id клиента]],Таблица4[#All],5,FALSE)</f>
        <v>44630</v>
      </c>
      <c r="O731">
        <f>Продажи[[#This Row],[дата создания чека]]-Продажи[[#This Row],[Дата регистрации клиентов]]</f>
        <v>615</v>
      </c>
      <c r="P731" t="str">
        <f>VLOOKUP(Продажи[[#This Row],[id клиента]],Таблица4[#All],7,FALSE)</f>
        <v>Украина</v>
      </c>
    </row>
    <row r="732" spans="1:16" x14ac:dyDescent="0.25">
      <c r="A732">
        <v>731</v>
      </c>
      <c r="B732">
        <v>455</v>
      </c>
      <c r="C732">
        <v>72</v>
      </c>
      <c r="D732">
        <v>2</v>
      </c>
      <c r="E732">
        <v>144</v>
      </c>
      <c r="F732" s="23">
        <v>45102</v>
      </c>
      <c r="G732" t="s">
        <v>13</v>
      </c>
      <c r="H732">
        <v>66</v>
      </c>
      <c r="I732" t="str">
        <f>VLOOKUP(Продажи[[#This Row],[id товара]],Товары[#All],2,FALSE)</f>
        <v>Соль</v>
      </c>
      <c r="J732" s="19">
        <f>AVERAGEIF(Продажи[Категория товара],Продажи[[#This Row],[Категория товара]],Продажи[цена за шт в рублях])</f>
        <v>264.8679245283019</v>
      </c>
      <c r="K732" s="20">
        <f>Продажи[[#This Row],[цена за шт в рублях]]/Продажи[[#This Row],[Средняя цена в категории за шт]]-1</f>
        <v>-0.72816640547086475</v>
      </c>
      <c r="L732" t="str">
        <f>VLOOKUP(Продажи[[#This Row],[id товара]],Товары[#All],3,FALSE)</f>
        <v>Славянская</v>
      </c>
      <c r="M7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732" s="23">
        <f>VLOOKUP(Продажи[[#This Row],[id клиента]],Таблица4[#All],5,FALSE)</f>
        <v>44777</v>
      </c>
      <c r="O732">
        <f>Продажи[[#This Row],[дата создания чека]]-Продажи[[#This Row],[Дата регистрации клиентов]]</f>
        <v>325</v>
      </c>
      <c r="P732" t="str">
        <f>VLOOKUP(Продажи[[#This Row],[id клиента]],Таблица4[#All],7,FALSE)</f>
        <v>Россия</v>
      </c>
    </row>
    <row r="733" spans="1:16" x14ac:dyDescent="0.25">
      <c r="A733">
        <v>732</v>
      </c>
      <c r="B733">
        <v>371</v>
      </c>
      <c r="C733">
        <v>97</v>
      </c>
      <c r="D733">
        <v>3</v>
      </c>
      <c r="E733">
        <v>291</v>
      </c>
      <c r="F733" s="23">
        <v>45134</v>
      </c>
      <c r="G733" t="s">
        <v>9</v>
      </c>
      <c r="H733">
        <v>15</v>
      </c>
      <c r="I733" t="str">
        <f>VLOOKUP(Продажи[[#This Row],[id товара]],Товары[#All],2,FALSE)</f>
        <v>Сахар</v>
      </c>
      <c r="J733" s="19">
        <f>AVERAGEIF(Продажи[Категория товара],Продажи[[#This Row],[Категория товара]],Продажи[цена за шт в рублях])</f>
        <v>252.76271186440678</v>
      </c>
      <c r="K733" s="20">
        <f>Продажи[[#This Row],[цена за шт в рублях]]/Продажи[[#This Row],[Средняя цена в категории за шт]]-1</f>
        <v>-0.6162408636759874</v>
      </c>
      <c r="L733" t="str">
        <f>VLOOKUP(Продажи[[#This Row],[id товара]],Товары[#All],3,FALSE)</f>
        <v>Русский сахар</v>
      </c>
      <c r="M7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733" s="23">
        <f>VLOOKUP(Продажи[[#This Row],[id клиента]],Таблица4[#All],5,FALSE)</f>
        <v>44711</v>
      </c>
      <c r="O733">
        <f>Продажи[[#This Row],[дата создания чека]]-Продажи[[#This Row],[Дата регистрации клиентов]]</f>
        <v>423</v>
      </c>
      <c r="P733" t="str">
        <f>VLOOKUP(Продажи[[#This Row],[id клиента]],Таблица4[#All],7,FALSE)</f>
        <v>Украина</v>
      </c>
    </row>
    <row r="734" spans="1:16" x14ac:dyDescent="0.25">
      <c r="A734">
        <v>733</v>
      </c>
      <c r="B734">
        <v>486</v>
      </c>
      <c r="C734">
        <v>57</v>
      </c>
      <c r="D734">
        <v>2</v>
      </c>
      <c r="E734">
        <v>114</v>
      </c>
      <c r="F734" s="23">
        <v>45198</v>
      </c>
      <c r="G734" t="s">
        <v>8</v>
      </c>
      <c r="H734">
        <v>485</v>
      </c>
      <c r="I734" t="str">
        <f>VLOOKUP(Продажи[[#This Row],[id товара]],Товары[#All],2,FALSE)</f>
        <v>Соль</v>
      </c>
      <c r="J734" s="19">
        <f>AVERAGEIF(Продажи[Категория товара],Продажи[[#This Row],[Категория товара]],Продажи[цена за шт в рублях])</f>
        <v>264.8679245283019</v>
      </c>
      <c r="K734" s="20">
        <f>Продажи[[#This Row],[цена за шт в рублях]]/Продажи[[#This Row],[Средняя цена в категории за шт]]-1</f>
        <v>-0.78479840433110137</v>
      </c>
      <c r="L734" t="str">
        <f>VLOOKUP(Продажи[[#This Row],[id товара]],Товары[#All],3,FALSE)</f>
        <v>Илецкая</v>
      </c>
      <c r="M7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34" s="23">
        <f>VLOOKUP(Продажи[[#This Row],[id клиента]],Таблица4[#All],5,FALSE)</f>
        <v>44723</v>
      </c>
      <c r="O734">
        <f>Продажи[[#This Row],[дата создания чека]]-Продажи[[#This Row],[Дата регистрации клиентов]]</f>
        <v>475</v>
      </c>
      <c r="P734" t="str">
        <f>VLOOKUP(Продажи[[#This Row],[id клиента]],Таблица4[#All],7,FALSE)</f>
        <v>Россия</v>
      </c>
    </row>
    <row r="735" spans="1:16" x14ac:dyDescent="0.25">
      <c r="A735">
        <v>734</v>
      </c>
      <c r="B735">
        <v>359</v>
      </c>
      <c r="C735">
        <v>126</v>
      </c>
      <c r="D735">
        <v>4</v>
      </c>
      <c r="E735">
        <v>504</v>
      </c>
      <c r="F735" s="23">
        <v>45065</v>
      </c>
      <c r="G735" t="s">
        <v>15</v>
      </c>
      <c r="H735">
        <v>394</v>
      </c>
      <c r="I735" t="str">
        <f>VLOOKUP(Продажи[[#This Row],[id товара]],Товары[#All],2,FALSE)</f>
        <v>Мясо</v>
      </c>
      <c r="J735" s="19">
        <f>AVERAGEIF(Продажи[Категория товара],Продажи[[#This Row],[Категория товара]],Продажи[цена за шт в рублях])</f>
        <v>271.74545454545455</v>
      </c>
      <c r="K735" s="20">
        <f>Продажи[[#This Row],[цена за шт в рублях]]/Продажи[[#This Row],[Средняя цена в категории за шт]]-1</f>
        <v>-0.53633079084704938</v>
      </c>
      <c r="L735" t="str">
        <f>VLOOKUP(Продажи[[#This Row],[id товара]],Товары[#All],3,FALSE)</f>
        <v>Мираторг</v>
      </c>
      <c r="M7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735" s="23">
        <f>VLOOKUP(Продажи[[#This Row],[id клиента]],Таблица4[#All],5,FALSE)</f>
        <v>44708</v>
      </c>
      <c r="O735">
        <f>Продажи[[#This Row],[дата создания чека]]-Продажи[[#This Row],[Дата регистрации клиентов]]</f>
        <v>357</v>
      </c>
      <c r="P735" t="str">
        <f>VLOOKUP(Продажи[[#This Row],[id клиента]],Таблица4[#All],7,FALSE)</f>
        <v>Россия</v>
      </c>
    </row>
    <row r="736" spans="1:16" x14ac:dyDescent="0.25">
      <c r="A736">
        <v>735</v>
      </c>
      <c r="B736">
        <v>267</v>
      </c>
      <c r="C736">
        <v>54</v>
      </c>
      <c r="D736">
        <v>2</v>
      </c>
      <c r="E736">
        <v>108</v>
      </c>
      <c r="F736" s="23">
        <v>45251</v>
      </c>
      <c r="G736" t="s">
        <v>23</v>
      </c>
      <c r="H736">
        <v>290</v>
      </c>
      <c r="I736" t="str">
        <f>VLOOKUP(Продажи[[#This Row],[id товара]],Товары[#All],2,FALSE)</f>
        <v>Овощи</v>
      </c>
      <c r="J736" s="19">
        <f>AVERAGEIF(Продажи[Категория товара],Продажи[[#This Row],[Категория товара]],Продажи[цена за шт в рублях])</f>
        <v>250.48780487804879</v>
      </c>
      <c r="K736" s="20">
        <f>Продажи[[#This Row],[цена за шт в рублях]]/Продажи[[#This Row],[Средняя цена в категории за шт]]-1</f>
        <v>-0.78442064264849076</v>
      </c>
      <c r="L736" t="str">
        <f>VLOOKUP(Продажи[[#This Row],[id товара]],Товары[#All],3,FALSE)</f>
        <v>Семко</v>
      </c>
      <c r="M7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736" s="23">
        <f>VLOOKUP(Продажи[[#This Row],[id клиента]],Таблица4[#All],5,FALSE)</f>
        <v>44777</v>
      </c>
      <c r="O736">
        <f>Продажи[[#This Row],[дата создания чека]]-Продажи[[#This Row],[Дата регистрации клиентов]]</f>
        <v>474</v>
      </c>
      <c r="P736" t="str">
        <f>VLOOKUP(Продажи[[#This Row],[id клиента]],Таблица4[#All],7,FALSE)</f>
        <v>Россия</v>
      </c>
    </row>
    <row r="737" spans="1:16" x14ac:dyDescent="0.25">
      <c r="A737">
        <v>736</v>
      </c>
      <c r="B737">
        <v>52</v>
      </c>
      <c r="C737">
        <v>150</v>
      </c>
      <c r="D737">
        <v>4</v>
      </c>
      <c r="E737">
        <v>600</v>
      </c>
      <c r="F737" s="23">
        <v>45303</v>
      </c>
      <c r="G737" t="s">
        <v>11</v>
      </c>
      <c r="H737">
        <v>279</v>
      </c>
      <c r="I737" t="str">
        <f>VLOOKUP(Продажи[[#This Row],[id товара]],Товары[#All],2,FALSE)</f>
        <v>Соль</v>
      </c>
      <c r="J737" s="19">
        <f>AVERAGEIF(Продажи[Категория товара],Продажи[[#This Row],[Категория товара]],Продажи[цена за шт в рублях])</f>
        <v>264.8679245283019</v>
      </c>
      <c r="K737" s="20">
        <f>Продажи[[#This Row],[цена за шт в рублях]]/Продажи[[#This Row],[Средняя цена в категории за шт]]-1</f>
        <v>-0.43368001139763501</v>
      </c>
      <c r="L737" t="str">
        <f>VLOOKUP(Продажи[[#This Row],[id товара]],Товары[#All],3,FALSE)</f>
        <v>Илецкая</v>
      </c>
      <c r="M7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37" s="23">
        <f>VLOOKUP(Продажи[[#This Row],[id клиента]],Таблица4[#All],5,FALSE)</f>
        <v>44786</v>
      </c>
      <c r="O737">
        <f>Продажи[[#This Row],[дата создания чека]]-Продажи[[#This Row],[Дата регистрации клиентов]]</f>
        <v>517</v>
      </c>
      <c r="P737" t="str">
        <f>VLOOKUP(Продажи[[#This Row],[id клиента]],Таблица4[#All],7,FALSE)</f>
        <v>Узбекистан</v>
      </c>
    </row>
    <row r="738" spans="1:16" x14ac:dyDescent="0.25">
      <c r="A738">
        <v>737</v>
      </c>
      <c r="B738">
        <v>187</v>
      </c>
      <c r="C738">
        <v>233</v>
      </c>
      <c r="D738">
        <v>4</v>
      </c>
      <c r="E738">
        <v>932</v>
      </c>
      <c r="F738" s="23">
        <v>45086</v>
      </c>
      <c r="G738" t="s">
        <v>17</v>
      </c>
      <c r="H738">
        <v>245</v>
      </c>
      <c r="I738" t="str">
        <f>VLOOKUP(Продажи[[#This Row],[id товара]],Товары[#All],2,FALSE)</f>
        <v>Макароны</v>
      </c>
      <c r="J738" s="19">
        <f>AVERAGEIF(Продажи[Категория товара],Продажи[[#This Row],[Категория товара]],Продажи[цена за шт в рублях])</f>
        <v>265.47674418604652</v>
      </c>
      <c r="K738" s="20">
        <f>Продажи[[#This Row],[цена за шт в рублях]]/Продажи[[#This Row],[Средняя цена в категории за шт]]-1</f>
        <v>-0.12233366913407206</v>
      </c>
      <c r="L738" t="str">
        <f>VLOOKUP(Продажи[[#This Row],[id товара]],Товары[#All],3,FALSE)</f>
        <v>Паста Зара</v>
      </c>
      <c r="M7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38" s="23">
        <f>VLOOKUP(Продажи[[#This Row],[id клиента]],Таблица4[#All],5,FALSE)</f>
        <v>44695</v>
      </c>
      <c r="O738">
        <f>Продажи[[#This Row],[дата создания чека]]-Продажи[[#This Row],[Дата регистрации клиентов]]</f>
        <v>391</v>
      </c>
      <c r="P738" t="str">
        <f>VLOOKUP(Продажи[[#This Row],[id клиента]],Таблица4[#All],7,FALSE)</f>
        <v>Узбекистан</v>
      </c>
    </row>
    <row r="739" spans="1:16" x14ac:dyDescent="0.25">
      <c r="A739">
        <v>738</v>
      </c>
      <c r="B739">
        <v>118</v>
      </c>
      <c r="C739">
        <v>156</v>
      </c>
      <c r="D739">
        <v>5</v>
      </c>
      <c r="E739">
        <v>780</v>
      </c>
      <c r="F739" s="23">
        <v>45303</v>
      </c>
      <c r="G739" t="s">
        <v>21</v>
      </c>
      <c r="H739">
        <v>261</v>
      </c>
      <c r="I739" t="str">
        <f>VLOOKUP(Продажи[[#This Row],[id товара]],Товары[#All],2,FALSE)</f>
        <v>Сахар</v>
      </c>
      <c r="J739" s="19">
        <f>AVERAGEIF(Продажи[Категория товара],Продажи[[#This Row],[Категория товара]],Продажи[цена за шт в рублях])</f>
        <v>252.76271186440678</v>
      </c>
      <c r="K739" s="20">
        <f>Продажи[[#This Row],[цена за шт в рублях]]/Продажи[[#This Row],[Средняя цена в категории за шт]]-1</f>
        <v>-0.38282035807684567</v>
      </c>
      <c r="L739" t="str">
        <f>VLOOKUP(Продажи[[#This Row],[id товара]],Товары[#All],3,FALSE)</f>
        <v>Продимекс</v>
      </c>
      <c r="M7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739" s="23">
        <f>VLOOKUP(Продажи[[#This Row],[id клиента]],Таблица4[#All],5,FALSE)</f>
        <v>44848</v>
      </c>
      <c r="O739">
        <f>Продажи[[#This Row],[дата создания чека]]-Продажи[[#This Row],[Дата регистрации клиентов]]</f>
        <v>455</v>
      </c>
      <c r="P739" t="str">
        <f>VLOOKUP(Продажи[[#This Row],[id клиента]],Таблица4[#All],7,FALSE)</f>
        <v>Россия</v>
      </c>
    </row>
    <row r="740" spans="1:16" x14ac:dyDescent="0.25">
      <c r="A740">
        <v>739</v>
      </c>
      <c r="B740">
        <v>218</v>
      </c>
      <c r="C740">
        <v>383</v>
      </c>
      <c r="D740">
        <v>2</v>
      </c>
      <c r="E740">
        <v>766</v>
      </c>
      <c r="F740" s="23">
        <v>45338</v>
      </c>
      <c r="G740" t="s">
        <v>9</v>
      </c>
      <c r="H740">
        <v>9</v>
      </c>
      <c r="I740" t="str">
        <f>VLOOKUP(Продажи[[#This Row],[id товара]],Товары[#All],2,FALSE)</f>
        <v>Колбаса</v>
      </c>
      <c r="J740" s="19">
        <f>AVERAGEIF(Продажи[Категория товара],Продажи[[#This Row],[Категория товара]],Продажи[цена за шт в рублях])</f>
        <v>286.92307692307691</v>
      </c>
      <c r="K740" s="20">
        <f>Продажи[[#This Row],[цена за шт в рублях]]/Продажи[[#This Row],[Средняя цена в категории за шт]]-1</f>
        <v>0.33485254691689015</v>
      </c>
      <c r="L740" t="str">
        <f>VLOOKUP(Продажи[[#This Row],[id товара]],Товары[#All],3,FALSE)</f>
        <v>Дымов</v>
      </c>
      <c r="M7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740" s="23">
        <f>VLOOKUP(Продажи[[#This Row],[id клиента]],Таблица4[#All],5,FALSE)</f>
        <v>44900</v>
      </c>
      <c r="O740">
        <f>Продажи[[#This Row],[дата создания чека]]-Продажи[[#This Row],[Дата регистрации клиентов]]</f>
        <v>438</v>
      </c>
      <c r="P740" t="str">
        <f>VLOOKUP(Продажи[[#This Row],[id клиента]],Таблица4[#All],7,FALSE)</f>
        <v>Таджикистан</v>
      </c>
    </row>
    <row r="741" spans="1:16" x14ac:dyDescent="0.25">
      <c r="A741">
        <v>740</v>
      </c>
      <c r="B741">
        <v>46</v>
      </c>
      <c r="C741">
        <v>370</v>
      </c>
      <c r="D741">
        <v>5</v>
      </c>
      <c r="E741">
        <v>1850</v>
      </c>
      <c r="F741" s="23">
        <v>45034</v>
      </c>
      <c r="G741" t="s">
        <v>25</v>
      </c>
      <c r="H741">
        <v>103</v>
      </c>
      <c r="I741" t="str">
        <f>VLOOKUP(Продажи[[#This Row],[id товара]],Товары[#All],2,FALSE)</f>
        <v>Йогурт</v>
      </c>
      <c r="J741" s="19">
        <f>AVERAGEIF(Продажи[Категория товара],Продажи[[#This Row],[Категория товара]],Продажи[цена за шт в рублях])</f>
        <v>263.25423728813558</v>
      </c>
      <c r="K741" s="20">
        <f>Продажи[[#This Row],[цена за шт в рублях]]/Продажи[[#This Row],[Средняя цена в категории за шт]]-1</f>
        <v>0.40548544939479791</v>
      </c>
      <c r="L741" t="str">
        <f>VLOOKUP(Продажи[[#This Row],[id товара]],Товары[#All],3,FALSE)</f>
        <v>Активиа</v>
      </c>
      <c r="M7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741" s="23">
        <f>VLOOKUP(Продажи[[#This Row],[id клиента]],Таблица4[#All],5,FALSE)</f>
        <v>44787</v>
      </c>
      <c r="O741">
        <f>Продажи[[#This Row],[дата создания чека]]-Продажи[[#This Row],[Дата регистрации клиентов]]</f>
        <v>247</v>
      </c>
      <c r="P741" t="str">
        <f>VLOOKUP(Продажи[[#This Row],[id клиента]],Таблица4[#All],7,FALSE)</f>
        <v>Узбекистан</v>
      </c>
    </row>
    <row r="742" spans="1:16" x14ac:dyDescent="0.25">
      <c r="A742">
        <v>741</v>
      </c>
      <c r="B742">
        <v>263</v>
      </c>
      <c r="C742">
        <v>173</v>
      </c>
      <c r="D742">
        <v>3</v>
      </c>
      <c r="E742">
        <v>519</v>
      </c>
      <c r="F742" s="23">
        <v>45390</v>
      </c>
      <c r="G742" t="s">
        <v>22</v>
      </c>
      <c r="H742">
        <v>142</v>
      </c>
      <c r="I742" t="str">
        <f>VLOOKUP(Продажи[[#This Row],[id товара]],Товары[#All],2,FALSE)</f>
        <v>Йогурт</v>
      </c>
      <c r="J742" s="19">
        <f>AVERAGEIF(Продажи[Категория товара],Продажи[[#This Row],[Категория товара]],Продажи[цена за шт в рублях])</f>
        <v>263.25423728813558</v>
      </c>
      <c r="K742" s="20">
        <f>Продажи[[#This Row],[цена за шт в рублях]]/Продажи[[#This Row],[Средняя цена в категории за шт]]-1</f>
        <v>-0.34284058717486476</v>
      </c>
      <c r="L742" t="str">
        <f>VLOOKUP(Продажи[[#This Row],[id товара]],Товары[#All],3,FALSE)</f>
        <v>Активиа</v>
      </c>
      <c r="M7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742" s="23">
        <f>VLOOKUP(Продажи[[#This Row],[id клиента]],Таблица4[#All],5,FALSE)</f>
        <v>44683</v>
      </c>
      <c r="O742">
        <f>Продажи[[#This Row],[дата создания чека]]-Продажи[[#This Row],[Дата регистрации клиентов]]</f>
        <v>707</v>
      </c>
      <c r="P742" t="str">
        <f>VLOOKUP(Продажи[[#This Row],[id клиента]],Таблица4[#All],7,FALSE)</f>
        <v>Россия</v>
      </c>
    </row>
    <row r="743" spans="1:16" x14ac:dyDescent="0.25">
      <c r="A743">
        <v>742</v>
      </c>
      <c r="B743">
        <v>201</v>
      </c>
      <c r="C743">
        <v>113</v>
      </c>
      <c r="D743">
        <v>5</v>
      </c>
      <c r="E743">
        <v>565</v>
      </c>
      <c r="F743" s="23">
        <v>44959</v>
      </c>
      <c r="G743" t="s">
        <v>21</v>
      </c>
      <c r="H743">
        <v>470</v>
      </c>
      <c r="I743" t="str">
        <f>VLOOKUP(Продажи[[#This Row],[id товара]],Товары[#All],2,FALSE)</f>
        <v>Печенье</v>
      </c>
      <c r="J743" s="19">
        <f>AVERAGEIF(Продажи[Категория товара],Продажи[[#This Row],[Категория товара]],Продажи[цена за шт в рублях])</f>
        <v>283.468085106383</v>
      </c>
      <c r="K743" s="20">
        <f>Продажи[[#This Row],[цена за шт в рублях]]/Продажи[[#This Row],[Средняя цена в категории за шт]]-1</f>
        <v>-0.60136605869548898</v>
      </c>
      <c r="L743" t="str">
        <f>VLOOKUP(Продажи[[#This Row],[id товара]],Товары[#All],3,FALSE)</f>
        <v>Белогорье</v>
      </c>
      <c r="M7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743" s="23">
        <f>VLOOKUP(Продажи[[#This Row],[id клиента]],Таблица4[#All],5,FALSE)</f>
        <v>44690</v>
      </c>
      <c r="O743">
        <f>Продажи[[#This Row],[дата создания чека]]-Продажи[[#This Row],[Дата регистрации клиентов]]</f>
        <v>269</v>
      </c>
      <c r="P743" t="str">
        <f>VLOOKUP(Продажи[[#This Row],[id клиента]],Таблица4[#All],7,FALSE)</f>
        <v>Таджикистан</v>
      </c>
    </row>
    <row r="744" spans="1:16" x14ac:dyDescent="0.25">
      <c r="A744">
        <v>743</v>
      </c>
      <c r="B744">
        <v>434</v>
      </c>
      <c r="C744">
        <v>366</v>
      </c>
      <c r="D744">
        <v>4</v>
      </c>
      <c r="E744">
        <v>1464</v>
      </c>
      <c r="F744" s="23">
        <v>45107</v>
      </c>
      <c r="G744" t="s">
        <v>13</v>
      </c>
      <c r="H744">
        <v>490</v>
      </c>
      <c r="I744" t="str">
        <f>VLOOKUP(Продажи[[#This Row],[id товара]],Товары[#All],2,FALSE)</f>
        <v>Сыр</v>
      </c>
      <c r="J744" s="19">
        <f>AVERAGEIF(Продажи[Категория товара],Продажи[[#This Row],[Категория товара]],Продажи[цена за шт в рублях])</f>
        <v>262.63492063492066</v>
      </c>
      <c r="K744" s="20">
        <f>Продажи[[#This Row],[цена за шт в рублях]]/Продажи[[#This Row],[Средняя цена в категории за шт]]-1</f>
        <v>0.39356944276562289</v>
      </c>
      <c r="L744" t="str">
        <f>VLOOKUP(Продажи[[#This Row],[id товара]],Товары[#All],3,FALSE)</f>
        <v>Сырная долина</v>
      </c>
      <c r="M7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744" s="23">
        <f>VLOOKUP(Продажи[[#This Row],[id клиента]],Таблица4[#All],5,FALSE)</f>
        <v>44603</v>
      </c>
      <c r="O744">
        <f>Продажи[[#This Row],[дата создания чека]]-Продажи[[#This Row],[Дата регистрации клиентов]]</f>
        <v>504</v>
      </c>
      <c r="P744" t="str">
        <f>VLOOKUP(Продажи[[#This Row],[id клиента]],Таблица4[#All],7,FALSE)</f>
        <v>Россия</v>
      </c>
    </row>
    <row r="745" spans="1:16" x14ac:dyDescent="0.25">
      <c r="A745">
        <v>744</v>
      </c>
      <c r="B745">
        <v>99</v>
      </c>
      <c r="C745">
        <v>92</v>
      </c>
      <c r="D745">
        <v>4</v>
      </c>
      <c r="E745">
        <v>368</v>
      </c>
      <c r="F745" s="23">
        <v>45073</v>
      </c>
      <c r="G745" t="s">
        <v>14</v>
      </c>
      <c r="H745">
        <v>255</v>
      </c>
      <c r="I745" t="str">
        <f>VLOOKUP(Продажи[[#This Row],[id товара]],Товары[#All],2,FALSE)</f>
        <v>Овощи</v>
      </c>
      <c r="J745" s="19">
        <f>AVERAGEIF(Продажи[Категория товара],Продажи[[#This Row],[Категория товара]],Продажи[цена за шт в рублях])</f>
        <v>250.48780487804879</v>
      </c>
      <c r="K745" s="20">
        <f>Продажи[[#This Row],[цена за шт в рублях]]/Продажи[[#This Row],[Средняя цена в категории за шт]]-1</f>
        <v>-0.63271665043816938</v>
      </c>
      <c r="L745" t="str">
        <f>VLOOKUP(Продажи[[#This Row],[id товара]],Товары[#All],3,FALSE)</f>
        <v>Семко</v>
      </c>
      <c r="M7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745" s="23">
        <f>VLOOKUP(Продажи[[#This Row],[id клиента]],Таблица4[#All],5,FALSE)</f>
        <v>44793</v>
      </c>
      <c r="O745">
        <f>Продажи[[#This Row],[дата создания чека]]-Продажи[[#This Row],[Дата регистрации клиентов]]</f>
        <v>280</v>
      </c>
      <c r="P745" t="str">
        <f>VLOOKUP(Продажи[[#This Row],[id клиента]],Таблица4[#All],7,FALSE)</f>
        <v>Украина</v>
      </c>
    </row>
    <row r="746" spans="1:16" x14ac:dyDescent="0.25">
      <c r="A746">
        <v>745</v>
      </c>
      <c r="B746">
        <v>357</v>
      </c>
      <c r="C746">
        <v>290</v>
      </c>
      <c r="D746">
        <v>4</v>
      </c>
      <c r="E746">
        <v>1160</v>
      </c>
      <c r="F746" s="23">
        <v>45077</v>
      </c>
      <c r="G746" t="s">
        <v>13</v>
      </c>
      <c r="H746">
        <v>422</v>
      </c>
      <c r="I746" t="str">
        <f>VLOOKUP(Продажи[[#This Row],[id товара]],Товары[#All],2,FALSE)</f>
        <v>Мясо</v>
      </c>
      <c r="J746" s="19">
        <f>AVERAGEIF(Продажи[Категория товара],Продажи[[#This Row],[Категория товара]],Продажи[цена за шт в рублях])</f>
        <v>271.74545454545455</v>
      </c>
      <c r="K746" s="20">
        <f>Продажи[[#This Row],[цена за шт в рублях]]/Продажи[[#This Row],[Средняя цена в категории за шт]]-1</f>
        <v>6.7175163923457681E-2</v>
      </c>
      <c r="L746" t="str">
        <f>VLOOKUP(Продажи[[#This Row],[id товара]],Товары[#All],3,FALSE)</f>
        <v>Снежана</v>
      </c>
      <c r="M7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746" s="23">
        <f>VLOOKUP(Продажи[[#This Row],[id клиента]],Таблица4[#All],5,FALSE)</f>
        <v>44784</v>
      </c>
      <c r="O746">
        <f>Продажи[[#This Row],[дата создания чека]]-Продажи[[#This Row],[Дата регистрации клиентов]]</f>
        <v>293</v>
      </c>
      <c r="P746" t="str">
        <f>VLOOKUP(Продажи[[#This Row],[id клиента]],Таблица4[#All],7,FALSE)</f>
        <v>Украина</v>
      </c>
    </row>
    <row r="747" spans="1:16" x14ac:dyDescent="0.25">
      <c r="A747">
        <v>746</v>
      </c>
      <c r="B747">
        <v>337</v>
      </c>
      <c r="C747">
        <v>453</v>
      </c>
      <c r="D747">
        <v>4</v>
      </c>
      <c r="E747">
        <v>1812</v>
      </c>
      <c r="F747" s="23">
        <v>45415</v>
      </c>
      <c r="G747" t="s">
        <v>26</v>
      </c>
      <c r="H747">
        <v>115</v>
      </c>
      <c r="I747" t="str">
        <f>VLOOKUP(Продажи[[#This Row],[id товара]],Товары[#All],2,FALSE)</f>
        <v>Макароны</v>
      </c>
      <c r="J747" s="19">
        <f>AVERAGEIF(Продажи[Категория товара],Продажи[[#This Row],[Категория товара]],Продажи[цена за шт в рублях])</f>
        <v>265.47674418604652</v>
      </c>
      <c r="K747" s="20">
        <f>Продажи[[#This Row],[цена за шт в рублях]]/Продажи[[#This Row],[Средняя цена в категории за шт]]-1</f>
        <v>0.70636415400113872</v>
      </c>
      <c r="L747" t="str">
        <f>VLOOKUP(Продажи[[#This Row],[id товара]],Товары[#All],3,FALSE)</f>
        <v>Паста Зара</v>
      </c>
      <c r="M7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47" s="23">
        <f>VLOOKUP(Продажи[[#This Row],[id клиента]],Таблица4[#All],5,FALSE)</f>
        <v>44832</v>
      </c>
      <c r="O747">
        <f>Продажи[[#This Row],[дата создания чека]]-Продажи[[#This Row],[Дата регистрации клиентов]]</f>
        <v>583</v>
      </c>
      <c r="P747" t="str">
        <f>VLOOKUP(Продажи[[#This Row],[id клиента]],Таблица4[#All],7,FALSE)</f>
        <v>Беларусь</v>
      </c>
    </row>
    <row r="748" spans="1:16" x14ac:dyDescent="0.25">
      <c r="A748">
        <v>747</v>
      </c>
      <c r="B748">
        <v>230</v>
      </c>
      <c r="C748">
        <v>104</v>
      </c>
      <c r="D748">
        <v>4</v>
      </c>
      <c r="E748">
        <v>416</v>
      </c>
      <c r="F748" s="23">
        <v>44965</v>
      </c>
      <c r="G748" t="s">
        <v>12</v>
      </c>
      <c r="H748">
        <v>163</v>
      </c>
      <c r="I748" t="str">
        <f>VLOOKUP(Продажи[[#This Row],[id товара]],Товары[#All],2,FALSE)</f>
        <v>Сок</v>
      </c>
      <c r="J748" s="19">
        <f>AVERAGEIF(Продажи[Категория товара],Продажи[[#This Row],[Категория товара]],Продажи[цена за шт в рублях])</f>
        <v>268.60344827586209</v>
      </c>
      <c r="K748" s="20">
        <f>Продажи[[#This Row],[цена за шт в рублях]]/Продажи[[#This Row],[Средняя цена в категории за шт]]-1</f>
        <v>-0.61281211887797682</v>
      </c>
      <c r="L748" t="str">
        <f>VLOOKUP(Продажи[[#This Row],[id товара]],Товары[#All],3,FALSE)</f>
        <v>Фруктовый сад</v>
      </c>
      <c r="M7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48" s="23">
        <f>VLOOKUP(Продажи[[#This Row],[id клиента]],Таблица4[#All],5,FALSE)</f>
        <v>44571</v>
      </c>
      <c r="O748">
        <f>Продажи[[#This Row],[дата создания чека]]-Продажи[[#This Row],[Дата регистрации клиентов]]</f>
        <v>394</v>
      </c>
      <c r="P748" t="str">
        <f>VLOOKUP(Продажи[[#This Row],[id клиента]],Таблица4[#All],7,FALSE)</f>
        <v>Узбекистан</v>
      </c>
    </row>
    <row r="749" spans="1:16" x14ac:dyDescent="0.25">
      <c r="A749">
        <v>748</v>
      </c>
      <c r="B749">
        <v>293</v>
      </c>
      <c r="C749">
        <v>57</v>
      </c>
      <c r="D749">
        <v>5</v>
      </c>
      <c r="E749">
        <v>285</v>
      </c>
      <c r="F749" s="23">
        <v>45004</v>
      </c>
      <c r="G749" t="s">
        <v>26</v>
      </c>
      <c r="H749">
        <v>248</v>
      </c>
      <c r="I749" t="str">
        <f>VLOOKUP(Продажи[[#This Row],[id товара]],Товары[#All],2,FALSE)</f>
        <v>Конфеты</v>
      </c>
      <c r="J749" s="19">
        <f>AVERAGEIF(Продажи[Категория товара],Продажи[[#This Row],[Категория товара]],Продажи[цена за шт в рублях])</f>
        <v>267.85483870967744</v>
      </c>
      <c r="K749" s="20">
        <f>Продажи[[#This Row],[цена за шт в рублях]]/Продажи[[#This Row],[Средняя цена в категории за шт]]-1</f>
        <v>-0.78719816944661891</v>
      </c>
      <c r="L749" t="str">
        <f>VLOOKUP(Продажи[[#This Row],[id товара]],Товары[#All],3,FALSE)</f>
        <v>Бабаевский</v>
      </c>
      <c r="M7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749" s="23">
        <f>VLOOKUP(Продажи[[#This Row],[id клиента]],Таблица4[#All],5,FALSE)</f>
        <v>44694</v>
      </c>
      <c r="O749">
        <f>Продажи[[#This Row],[дата создания чека]]-Продажи[[#This Row],[Дата регистрации клиентов]]</f>
        <v>310</v>
      </c>
      <c r="P749" t="str">
        <f>VLOOKUP(Продажи[[#This Row],[id клиента]],Таблица4[#All],7,FALSE)</f>
        <v>Россия</v>
      </c>
    </row>
    <row r="750" spans="1:16" x14ac:dyDescent="0.25">
      <c r="A750">
        <v>749</v>
      </c>
      <c r="B750">
        <v>254</v>
      </c>
      <c r="C750">
        <v>326</v>
      </c>
      <c r="D750">
        <v>1</v>
      </c>
      <c r="E750">
        <v>326</v>
      </c>
      <c r="F750" s="23">
        <v>45372</v>
      </c>
      <c r="G750" t="s">
        <v>10</v>
      </c>
      <c r="H750">
        <v>201</v>
      </c>
      <c r="I750" t="str">
        <f>VLOOKUP(Продажи[[#This Row],[id товара]],Товары[#All],2,FALSE)</f>
        <v>Соль</v>
      </c>
      <c r="J750" s="19">
        <f>AVERAGEIF(Продажи[Категория товара],Продажи[[#This Row],[Категория товара]],Продажи[цена за шт в рублях])</f>
        <v>264.8679245283019</v>
      </c>
      <c r="K750" s="20">
        <f>Продажи[[#This Row],[цена за шт в рублях]]/Продажи[[#This Row],[Средняя цена в категории за шт]]-1</f>
        <v>0.23080210856247318</v>
      </c>
      <c r="L750" t="str">
        <f>VLOOKUP(Продажи[[#This Row],[id товара]],Товары[#All],3,FALSE)</f>
        <v>Илецкая</v>
      </c>
      <c r="M7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50" s="23">
        <f>VLOOKUP(Продажи[[#This Row],[id клиента]],Таблица4[#All],5,FALSE)</f>
        <v>44843</v>
      </c>
      <c r="O750">
        <f>Продажи[[#This Row],[дата создания чека]]-Продажи[[#This Row],[Дата регистрации клиентов]]</f>
        <v>529</v>
      </c>
      <c r="P750" t="str">
        <f>VLOOKUP(Продажи[[#This Row],[id клиента]],Таблица4[#All],7,FALSE)</f>
        <v>Таджикистан</v>
      </c>
    </row>
    <row r="751" spans="1:16" x14ac:dyDescent="0.25">
      <c r="A751">
        <v>750</v>
      </c>
      <c r="B751">
        <v>248</v>
      </c>
      <c r="C751">
        <v>176</v>
      </c>
      <c r="D751">
        <v>5</v>
      </c>
      <c r="E751">
        <v>880</v>
      </c>
      <c r="F751" s="23">
        <v>44946</v>
      </c>
      <c r="G751" t="s">
        <v>16</v>
      </c>
      <c r="H751">
        <v>434</v>
      </c>
      <c r="I751" t="str">
        <f>VLOOKUP(Продажи[[#This Row],[id товара]],Товары[#All],2,FALSE)</f>
        <v>Конфеты</v>
      </c>
      <c r="J751" s="19">
        <f>AVERAGEIF(Продажи[Категория товара],Продажи[[#This Row],[Категория товара]],Продажи[цена за шт в рублях])</f>
        <v>267.85483870967744</v>
      </c>
      <c r="K751" s="20">
        <f>Продажи[[#This Row],[цена за шт в рублях]]/Продажи[[#This Row],[Средняя цена в категории за шт]]-1</f>
        <v>-0.34292768109833205</v>
      </c>
      <c r="L751" t="str">
        <f>VLOOKUP(Продажи[[#This Row],[id товара]],Товары[#All],3,FALSE)</f>
        <v>Красный Октябрь</v>
      </c>
      <c r="M7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751" s="23">
        <f>VLOOKUP(Продажи[[#This Row],[id клиента]],Таблица4[#All],5,FALSE)</f>
        <v>44730</v>
      </c>
      <c r="O751">
        <f>Продажи[[#This Row],[дата создания чека]]-Продажи[[#This Row],[Дата регистрации клиентов]]</f>
        <v>216</v>
      </c>
      <c r="P751" t="str">
        <f>VLOOKUP(Продажи[[#This Row],[id клиента]],Таблица4[#All],7,FALSE)</f>
        <v>Украина</v>
      </c>
    </row>
    <row r="752" spans="1:16" x14ac:dyDescent="0.25">
      <c r="A752">
        <v>751</v>
      </c>
      <c r="B752">
        <v>156</v>
      </c>
      <c r="C752">
        <v>490</v>
      </c>
      <c r="D752">
        <v>1</v>
      </c>
      <c r="E752">
        <v>490</v>
      </c>
      <c r="F752" s="23">
        <v>45237</v>
      </c>
      <c r="G752" t="s">
        <v>17</v>
      </c>
      <c r="H752">
        <v>140</v>
      </c>
      <c r="I752" t="str">
        <f>VLOOKUP(Продажи[[#This Row],[id товара]],Товары[#All],2,FALSE)</f>
        <v>Фрукты</v>
      </c>
      <c r="J752" s="19">
        <f>AVERAGEIF(Продажи[Категория товара],Продажи[[#This Row],[Категория товара]],Продажи[цена за шт в рублях])</f>
        <v>274.16279069767444</v>
      </c>
      <c r="K752" s="20">
        <f>Продажи[[#This Row],[цена за шт в рублях]]/Продажи[[#This Row],[Средняя цена в категории за шт]]-1</f>
        <v>0.78725930952582912</v>
      </c>
      <c r="L752" t="str">
        <f>VLOOKUP(Продажи[[#This Row],[id товара]],Товары[#All],3,FALSE)</f>
        <v>Фрукты-Ягоды</v>
      </c>
      <c r="M7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752" s="23">
        <f>VLOOKUP(Продажи[[#This Row],[id клиента]],Таблица4[#All],5,FALSE)</f>
        <v>44627</v>
      </c>
      <c r="O752">
        <f>Продажи[[#This Row],[дата создания чека]]-Продажи[[#This Row],[Дата регистрации клиентов]]</f>
        <v>610</v>
      </c>
      <c r="P752" t="str">
        <f>VLOOKUP(Продажи[[#This Row],[id клиента]],Таблица4[#All],7,FALSE)</f>
        <v>Россия</v>
      </c>
    </row>
    <row r="753" spans="1:16" x14ac:dyDescent="0.25">
      <c r="A753">
        <v>752</v>
      </c>
      <c r="B753">
        <v>370</v>
      </c>
      <c r="C753">
        <v>95</v>
      </c>
      <c r="D753">
        <v>5</v>
      </c>
      <c r="E753">
        <v>475</v>
      </c>
      <c r="F753" s="23">
        <v>45202</v>
      </c>
      <c r="G753" t="s">
        <v>13</v>
      </c>
      <c r="H753">
        <v>250</v>
      </c>
      <c r="I753" t="str">
        <f>VLOOKUP(Продажи[[#This Row],[id товара]],Товары[#All],2,FALSE)</f>
        <v>Сок</v>
      </c>
      <c r="J753" s="19">
        <f>AVERAGEIF(Продажи[Категория товара],Продажи[[#This Row],[Категория товара]],Продажи[цена за шт в рублях])</f>
        <v>268.60344827586209</v>
      </c>
      <c r="K753" s="20">
        <f>Продажи[[#This Row],[цена за шт в рублях]]/Продажи[[#This Row],[Средняя цена в категории за шт]]-1</f>
        <v>-0.64631876243661335</v>
      </c>
      <c r="L753" t="str">
        <f>VLOOKUP(Продажи[[#This Row],[id товара]],Товары[#All],3,FALSE)</f>
        <v>Фруктовый сад</v>
      </c>
      <c r="M7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53" s="23">
        <f>VLOOKUP(Продажи[[#This Row],[id клиента]],Таблица4[#All],5,FALSE)</f>
        <v>44856</v>
      </c>
      <c r="O753">
        <f>Продажи[[#This Row],[дата создания чека]]-Продажи[[#This Row],[Дата регистрации клиентов]]</f>
        <v>346</v>
      </c>
      <c r="P753" t="str">
        <f>VLOOKUP(Продажи[[#This Row],[id клиента]],Таблица4[#All],7,FALSE)</f>
        <v>Россия</v>
      </c>
    </row>
    <row r="754" spans="1:16" x14ac:dyDescent="0.25">
      <c r="A754">
        <v>753</v>
      </c>
      <c r="B754">
        <v>61</v>
      </c>
      <c r="C754">
        <v>183</v>
      </c>
      <c r="D754">
        <v>5</v>
      </c>
      <c r="E754">
        <v>915</v>
      </c>
      <c r="F754" s="23">
        <v>45062</v>
      </c>
      <c r="G754" t="s">
        <v>17</v>
      </c>
      <c r="H754">
        <v>191</v>
      </c>
      <c r="I754" t="str">
        <f>VLOOKUP(Продажи[[#This Row],[id товара]],Товары[#All],2,FALSE)</f>
        <v>Йогурт</v>
      </c>
      <c r="J754" s="19">
        <f>AVERAGEIF(Продажи[Категория товара],Продажи[[#This Row],[Категория товара]],Продажи[цена за шт в рублях])</f>
        <v>263.25423728813558</v>
      </c>
      <c r="K754" s="20">
        <f>Продажи[[#This Row],[цена за шт в рублях]]/Продажи[[#This Row],[Средняя цена в категории за шт]]-1</f>
        <v>-0.30485449394797837</v>
      </c>
      <c r="L754" t="str">
        <f>VLOOKUP(Продажи[[#This Row],[id товара]],Товары[#All],3,FALSE)</f>
        <v>Эрманн</v>
      </c>
      <c r="M7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754" s="23">
        <f>VLOOKUP(Продажи[[#This Row],[id клиента]],Таблица4[#All],5,FALSE)</f>
        <v>44866</v>
      </c>
      <c r="O754">
        <f>Продажи[[#This Row],[дата создания чека]]-Продажи[[#This Row],[Дата регистрации клиентов]]</f>
        <v>196</v>
      </c>
      <c r="P754" t="str">
        <f>VLOOKUP(Продажи[[#This Row],[id клиента]],Таблица4[#All],7,FALSE)</f>
        <v>Украина</v>
      </c>
    </row>
    <row r="755" spans="1:16" x14ac:dyDescent="0.25">
      <c r="A755">
        <v>754</v>
      </c>
      <c r="B755">
        <v>246</v>
      </c>
      <c r="C755">
        <v>302</v>
      </c>
      <c r="D755">
        <v>5</v>
      </c>
      <c r="E755">
        <v>1510</v>
      </c>
      <c r="F755" s="23">
        <v>45407</v>
      </c>
      <c r="G755" t="s">
        <v>13</v>
      </c>
      <c r="H755">
        <v>336</v>
      </c>
      <c r="I755" t="str">
        <f>VLOOKUP(Продажи[[#This Row],[id товара]],Товары[#All],2,FALSE)</f>
        <v>Сыр</v>
      </c>
      <c r="J755" s="19">
        <f>AVERAGEIF(Продажи[Категория товара],Продажи[[#This Row],[Категория товара]],Продажи[цена за шт в рублях])</f>
        <v>262.63492063492066</v>
      </c>
      <c r="K755" s="20">
        <f>Продажи[[#This Row],[цена за шт в рублях]]/Продажи[[#This Row],[Средняя цена в категории за шт]]-1</f>
        <v>0.14988516862081469</v>
      </c>
      <c r="L755" t="str">
        <f>VLOOKUP(Продажи[[#This Row],[id товара]],Товары[#All],3,FALSE)</f>
        <v>President</v>
      </c>
      <c r="M7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755" s="23">
        <f>VLOOKUP(Продажи[[#This Row],[id клиента]],Таблица4[#All],5,FALSE)</f>
        <v>44856</v>
      </c>
      <c r="O755">
        <f>Продажи[[#This Row],[дата создания чека]]-Продажи[[#This Row],[Дата регистрации клиентов]]</f>
        <v>551</v>
      </c>
      <c r="P755" t="str">
        <f>VLOOKUP(Продажи[[#This Row],[id клиента]],Таблица4[#All],7,FALSE)</f>
        <v>Узбекистан</v>
      </c>
    </row>
    <row r="756" spans="1:16" x14ac:dyDescent="0.25">
      <c r="A756">
        <v>755</v>
      </c>
      <c r="B756">
        <v>322</v>
      </c>
      <c r="C756">
        <v>417</v>
      </c>
      <c r="D756">
        <v>2</v>
      </c>
      <c r="E756">
        <v>834</v>
      </c>
      <c r="F756" s="23">
        <v>45376</v>
      </c>
      <c r="G756" t="s">
        <v>24</v>
      </c>
      <c r="H756">
        <v>3</v>
      </c>
      <c r="I756" t="str">
        <f>VLOOKUP(Продажи[[#This Row],[id товара]],Товары[#All],2,FALSE)</f>
        <v>Крупа</v>
      </c>
      <c r="J756" s="19">
        <f>AVERAGEIF(Продажи[Категория товара],Продажи[[#This Row],[Категория товара]],Продажи[цена за шт в рублях])</f>
        <v>255.11627906976744</v>
      </c>
      <c r="K756" s="20">
        <f>Продажи[[#This Row],[цена за шт в рублях]]/Продажи[[#This Row],[Средняя цена в категории за шт]]-1</f>
        <v>0.6345487693710119</v>
      </c>
      <c r="L756" t="str">
        <f>VLOOKUP(Продажи[[#This Row],[id товара]],Товары[#All],3,FALSE)</f>
        <v>Увелка</v>
      </c>
      <c r="M7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756" s="23">
        <f>VLOOKUP(Продажи[[#This Row],[id клиента]],Таблица4[#All],5,FALSE)</f>
        <v>44666</v>
      </c>
      <c r="O756">
        <f>Продажи[[#This Row],[дата создания чека]]-Продажи[[#This Row],[Дата регистрации клиентов]]</f>
        <v>710</v>
      </c>
      <c r="P756" t="str">
        <f>VLOOKUP(Продажи[[#This Row],[id клиента]],Таблица4[#All],7,FALSE)</f>
        <v>Украина</v>
      </c>
    </row>
    <row r="757" spans="1:16" x14ac:dyDescent="0.25">
      <c r="A757">
        <v>756</v>
      </c>
      <c r="B757">
        <v>51</v>
      </c>
      <c r="C757">
        <v>439</v>
      </c>
      <c r="D757">
        <v>5</v>
      </c>
      <c r="E757">
        <v>2195</v>
      </c>
      <c r="F757" s="23">
        <v>45353</v>
      </c>
      <c r="G757" t="s">
        <v>17</v>
      </c>
      <c r="H757">
        <v>435</v>
      </c>
      <c r="I757" t="str">
        <f>VLOOKUP(Продажи[[#This Row],[id товара]],Товары[#All],2,FALSE)</f>
        <v>Колбаса</v>
      </c>
      <c r="J757" s="19">
        <f>AVERAGEIF(Продажи[Категория товара],Продажи[[#This Row],[Категория товара]],Продажи[цена за шт в рублях])</f>
        <v>286.92307692307691</v>
      </c>
      <c r="K757" s="20">
        <f>Продажи[[#This Row],[цена за шт в рублях]]/Продажи[[#This Row],[Средняя цена в категории за шт]]-1</f>
        <v>0.53002680965147464</v>
      </c>
      <c r="L757" t="str">
        <f>VLOOKUP(Продажи[[#This Row],[id товара]],Товары[#All],3,FALSE)</f>
        <v>Дымов</v>
      </c>
      <c r="M7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757" s="23">
        <f>VLOOKUP(Продажи[[#This Row],[id клиента]],Таблица4[#All],5,FALSE)</f>
        <v>44618</v>
      </c>
      <c r="O757">
        <f>Продажи[[#This Row],[дата создания чека]]-Продажи[[#This Row],[Дата регистрации клиентов]]</f>
        <v>735</v>
      </c>
      <c r="P757" t="str">
        <f>VLOOKUP(Продажи[[#This Row],[id клиента]],Таблица4[#All],7,FALSE)</f>
        <v>Узбекистан</v>
      </c>
    </row>
    <row r="758" spans="1:16" x14ac:dyDescent="0.25">
      <c r="A758">
        <v>757</v>
      </c>
      <c r="B758">
        <v>189</v>
      </c>
      <c r="C758">
        <v>136</v>
      </c>
      <c r="D758">
        <v>5</v>
      </c>
      <c r="E758">
        <v>680</v>
      </c>
      <c r="F758" s="23">
        <v>45232</v>
      </c>
      <c r="G758" t="s">
        <v>26</v>
      </c>
      <c r="H758">
        <v>80</v>
      </c>
      <c r="I758" t="str">
        <f>VLOOKUP(Продажи[[#This Row],[id товара]],Товары[#All],2,FALSE)</f>
        <v>Хлеб</v>
      </c>
      <c r="J758" s="19">
        <f>AVERAGEIF(Продажи[Категория товара],Продажи[[#This Row],[Категория товара]],Продажи[цена за шт в рублях])</f>
        <v>300.31818181818181</v>
      </c>
      <c r="K758" s="20">
        <f>Продажи[[#This Row],[цена за шт в рублях]]/Продажи[[#This Row],[Средняя цена в категории за шт]]-1</f>
        <v>-0.54714696533979112</v>
      </c>
      <c r="L758" t="str">
        <f>VLOOKUP(Продажи[[#This Row],[id товара]],Товары[#All],3,FALSE)</f>
        <v>Дарница</v>
      </c>
      <c r="M7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758" s="23">
        <f>VLOOKUP(Продажи[[#This Row],[id клиента]],Таблица4[#All],5,FALSE)</f>
        <v>44623</v>
      </c>
      <c r="O758">
        <f>Продажи[[#This Row],[дата создания чека]]-Продажи[[#This Row],[Дата регистрации клиентов]]</f>
        <v>609</v>
      </c>
      <c r="P758" t="str">
        <f>VLOOKUP(Продажи[[#This Row],[id клиента]],Таблица4[#All],7,FALSE)</f>
        <v>Беларусь</v>
      </c>
    </row>
    <row r="759" spans="1:16" x14ac:dyDescent="0.25">
      <c r="A759">
        <v>758</v>
      </c>
      <c r="B759">
        <v>67</v>
      </c>
      <c r="C759">
        <v>274</v>
      </c>
      <c r="D759">
        <v>4</v>
      </c>
      <c r="E759">
        <v>1096</v>
      </c>
      <c r="F759" s="23">
        <v>45298</v>
      </c>
      <c r="G759" t="s">
        <v>10</v>
      </c>
      <c r="H759">
        <v>262</v>
      </c>
      <c r="I759" t="str">
        <f>VLOOKUP(Продажи[[#This Row],[id товара]],Товары[#All],2,FALSE)</f>
        <v>Йогурт</v>
      </c>
      <c r="J759" s="19">
        <f>AVERAGEIF(Продажи[Категория товара],Продажи[[#This Row],[Категория товара]],Продажи[цена за шт в рублях])</f>
        <v>263.25423728813558</v>
      </c>
      <c r="K759" s="20">
        <f>Продажи[[#This Row],[цена за шт в рублях]]/Продажи[[#This Row],[Средняя цена в категории за шт]]-1</f>
        <v>4.0818954416688147E-2</v>
      </c>
      <c r="L759" t="str">
        <f>VLOOKUP(Продажи[[#This Row],[id товара]],Товары[#All],3,FALSE)</f>
        <v>Чудо</v>
      </c>
      <c r="M7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759" s="23">
        <f>VLOOKUP(Продажи[[#This Row],[id клиента]],Таблица4[#All],5,FALSE)</f>
        <v>44778</v>
      </c>
      <c r="O759">
        <f>Продажи[[#This Row],[дата создания чека]]-Продажи[[#This Row],[Дата регистрации клиентов]]</f>
        <v>520</v>
      </c>
      <c r="P759" t="str">
        <f>VLOOKUP(Продажи[[#This Row],[id клиента]],Таблица4[#All],7,FALSE)</f>
        <v>Таджикистан</v>
      </c>
    </row>
    <row r="760" spans="1:16" x14ac:dyDescent="0.25">
      <c r="A760">
        <v>759</v>
      </c>
      <c r="B760">
        <v>301</v>
      </c>
      <c r="C760">
        <v>189</v>
      </c>
      <c r="D760">
        <v>3</v>
      </c>
      <c r="E760">
        <v>567</v>
      </c>
      <c r="F760" s="23">
        <v>45144</v>
      </c>
      <c r="G760" t="s">
        <v>23</v>
      </c>
      <c r="H760">
        <v>43</v>
      </c>
      <c r="I760" t="str">
        <f>VLOOKUP(Продажи[[#This Row],[id товара]],Товары[#All],2,FALSE)</f>
        <v>Фрукты</v>
      </c>
      <c r="J760" s="19">
        <f>AVERAGEIF(Продажи[Категория товара],Продажи[[#This Row],[Категория товара]],Продажи[цена за шт в рублях])</f>
        <v>274.16279069767444</v>
      </c>
      <c r="K760" s="20">
        <f>Продажи[[#This Row],[цена за шт в рублях]]/Продажи[[#This Row],[Средняя цена в категории за шт]]-1</f>
        <v>-0.31062855204003736</v>
      </c>
      <c r="L760" t="str">
        <f>VLOOKUP(Продажи[[#This Row],[id товара]],Товары[#All],3,FALSE)</f>
        <v>Экзотик</v>
      </c>
      <c r="M7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760" s="23">
        <f>VLOOKUP(Продажи[[#This Row],[id клиента]],Таблица4[#All],5,FALSE)</f>
        <v>44912</v>
      </c>
      <c r="O760">
        <f>Продажи[[#This Row],[дата создания чека]]-Продажи[[#This Row],[Дата регистрации клиентов]]</f>
        <v>232</v>
      </c>
      <c r="P760" t="str">
        <f>VLOOKUP(Продажи[[#This Row],[id клиента]],Таблица4[#All],7,FALSE)</f>
        <v>Россия</v>
      </c>
    </row>
    <row r="761" spans="1:16" x14ac:dyDescent="0.25">
      <c r="A761">
        <v>760</v>
      </c>
      <c r="B761">
        <v>463</v>
      </c>
      <c r="C761">
        <v>77</v>
      </c>
      <c r="D761">
        <v>4</v>
      </c>
      <c r="E761">
        <v>308</v>
      </c>
      <c r="F761" s="23">
        <v>45293</v>
      </c>
      <c r="G761" t="s">
        <v>21</v>
      </c>
      <c r="H761">
        <v>163</v>
      </c>
      <c r="I761" t="str">
        <f>VLOOKUP(Продажи[[#This Row],[id товара]],Товары[#All],2,FALSE)</f>
        <v>Кофе</v>
      </c>
      <c r="J761" s="19">
        <f>AVERAGEIF(Продажи[Категория товара],Продажи[[#This Row],[Категория товара]],Продажи[цена за шт в рублях])</f>
        <v>249.02380952380952</v>
      </c>
      <c r="K761" s="20">
        <f>Продажи[[#This Row],[цена за шт в рублях]]/Продажи[[#This Row],[Средняя цена в категории за шт]]-1</f>
        <v>-0.69079261879720821</v>
      </c>
      <c r="L761" t="str">
        <f>VLOOKUP(Продажи[[#This Row],[id товара]],Товары[#All],3,FALSE)</f>
        <v>Черная Карта</v>
      </c>
      <c r="M7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761" s="23">
        <f>VLOOKUP(Продажи[[#This Row],[id клиента]],Таблица4[#All],5,FALSE)</f>
        <v>44571</v>
      </c>
      <c r="O761">
        <f>Продажи[[#This Row],[дата создания чека]]-Продажи[[#This Row],[Дата регистрации клиентов]]</f>
        <v>722</v>
      </c>
      <c r="P761" t="str">
        <f>VLOOKUP(Продажи[[#This Row],[id клиента]],Таблица4[#All],7,FALSE)</f>
        <v>Узбекистан</v>
      </c>
    </row>
    <row r="762" spans="1:16" x14ac:dyDescent="0.25">
      <c r="A762">
        <v>761</v>
      </c>
      <c r="B762">
        <v>151</v>
      </c>
      <c r="C762">
        <v>239</v>
      </c>
      <c r="D762">
        <v>2</v>
      </c>
      <c r="E762">
        <v>478</v>
      </c>
      <c r="F762" s="23">
        <v>45056</v>
      </c>
      <c r="G762" t="s">
        <v>14</v>
      </c>
      <c r="H762">
        <v>386</v>
      </c>
      <c r="I762" t="str">
        <f>VLOOKUP(Продажи[[#This Row],[id товара]],Товары[#All],2,FALSE)</f>
        <v>Молоко</v>
      </c>
      <c r="J762" s="19">
        <f>AVERAGEIF(Продажи[Категория товара],Продажи[[#This Row],[Категория товара]],Продажи[цена за шт в рублях])</f>
        <v>294.95238095238096</v>
      </c>
      <c r="K762" s="20">
        <f>Продажи[[#This Row],[цена за шт в рублях]]/Продажи[[#This Row],[Средняя цена в категории за шт]]-1</f>
        <v>-0.18969970939618985</v>
      </c>
      <c r="L762" t="str">
        <f>VLOOKUP(Продажи[[#This Row],[id товара]],Товары[#All],3,FALSE)</f>
        <v>Беллакт</v>
      </c>
      <c r="M7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762" s="23">
        <f>VLOOKUP(Продажи[[#This Row],[id клиента]],Таблица4[#All],5,FALSE)</f>
        <v>44734</v>
      </c>
      <c r="O762">
        <f>Продажи[[#This Row],[дата создания чека]]-Продажи[[#This Row],[Дата регистрации клиентов]]</f>
        <v>322</v>
      </c>
      <c r="P762" t="str">
        <f>VLOOKUP(Продажи[[#This Row],[id клиента]],Таблица4[#All],7,FALSE)</f>
        <v>Узбекистан</v>
      </c>
    </row>
    <row r="763" spans="1:16" x14ac:dyDescent="0.25">
      <c r="A763">
        <v>762</v>
      </c>
      <c r="B763">
        <v>398</v>
      </c>
      <c r="C763">
        <v>464</v>
      </c>
      <c r="D763">
        <v>5</v>
      </c>
      <c r="E763">
        <v>2320</v>
      </c>
      <c r="F763" s="23">
        <v>45040</v>
      </c>
      <c r="G763" t="s">
        <v>11</v>
      </c>
      <c r="H763">
        <v>342</v>
      </c>
      <c r="I763" t="str">
        <f>VLOOKUP(Продажи[[#This Row],[id товара]],Товары[#All],2,FALSE)</f>
        <v>Сок</v>
      </c>
      <c r="J763" s="19">
        <f>AVERAGEIF(Продажи[Категория товара],Продажи[[#This Row],[Категория товара]],Продажи[цена за шт в рублях])</f>
        <v>268.60344827586209</v>
      </c>
      <c r="K763" s="20">
        <f>Продажи[[#This Row],[цена за шт в рублях]]/Продажи[[#This Row],[Средняя цена в категории за шт]]-1</f>
        <v>0.72745362346748821</v>
      </c>
      <c r="L763" t="str">
        <f>VLOOKUP(Продажи[[#This Row],[id товара]],Товары[#All],3,FALSE)</f>
        <v>Фруктовый сад</v>
      </c>
      <c r="M7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763" s="23">
        <f>VLOOKUP(Продажи[[#This Row],[id клиента]],Таблица4[#All],5,FALSE)</f>
        <v>44570</v>
      </c>
      <c r="O763">
        <f>Продажи[[#This Row],[дата создания чека]]-Продажи[[#This Row],[Дата регистрации клиентов]]</f>
        <v>470</v>
      </c>
      <c r="P763" t="str">
        <f>VLOOKUP(Продажи[[#This Row],[id клиента]],Таблица4[#All],7,FALSE)</f>
        <v>Таджикистан</v>
      </c>
    </row>
    <row r="764" spans="1:16" x14ac:dyDescent="0.25">
      <c r="A764">
        <v>763</v>
      </c>
      <c r="B764">
        <v>483</v>
      </c>
      <c r="C764">
        <v>140</v>
      </c>
      <c r="D764">
        <v>5</v>
      </c>
      <c r="E764">
        <v>700</v>
      </c>
      <c r="F764" s="23">
        <v>45244</v>
      </c>
      <c r="G764" t="s">
        <v>11</v>
      </c>
      <c r="H764">
        <v>7</v>
      </c>
      <c r="I764" t="str">
        <f>VLOOKUP(Продажи[[#This Row],[id товара]],Товары[#All],2,FALSE)</f>
        <v>Колбаса</v>
      </c>
      <c r="J764" s="19">
        <f>AVERAGEIF(Продажи[Категория товара],Продажи[[#This Row],[Категория товара]],Продажи[цена за шт в рублях])</f>
        <v>286.92307692307691</v>
      </c>
      <c r="K764" s="20">
        <f>Продажи[[#This Row],[цена за шт в рублях]]/Продажи[[#This Row],[Средняя цена в категории за шт]]-1</f>
        <v>-0.51206434316353877</v>
      </c>
      <c r="L764" t="str">
        <f>VLOOKUP(Продажи[[#This Row],[id товара]],Товары[#All],3,FALSE)</f>
        <v>Дымов</v>
      </c>
      <c r="M7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312.66666666666669</v>
      </c>
      <c r="N764" s="23">
        <f>VLOOKUP(Продажи[[#This Row],[id клиента]],Таблица4[#All],5,FALSE)</f>
        <v>44893</v>
      </c>
      <c r="O764">
        <f>Продажи[[#This Row],[дата создания чека]]-Продажи[[#This Row],[Дата регистрации клиентов]]</f>
        <v>351</v>
      </c>
      <c r="P764" t="str">
        <f>VLOOKUP(Продажи[[#This Row],[id клиента]],Таблица4[#All],7,FALSE)</f>
        <v>Россия</v>
      </c>
    </row>
    <row r="765" spans="1:16" x14ac:dyDescent="0.25">
      <c r="A765">
        <v>764</v>
      </c>
      <c r="B765">
        <v>86</v>
      </c>
      <c r="C765">
        <v>353</v>
      </c>
      <c r="D765">
        <v>2</v>
      </c>
      <c r="E765">
        <v>706</v>
      </c>
      <c r="F765" s="23">
        <v>45333</v>
      </c>
      <c r="G765" t="s">
        <v>27</v>
      </c>
      <c r="H765">
        <v>264</v>
      </c>
      <c r="I765" t="str">
        <f>VLOOKUP(Продажи[[#This Row],[id товара]],Товары[#All],2,FALSE)</f>
        <v>Сахар</v>
      </c>
      <c r="J765" s="19">
        <f>AVERAGEIF(Продажи[Категория товара],Продажи[[#This Row],[Категория товара]],Продажи[цена за шт в рублях])</f>
        <v>252.76271186440678</v>
      </c>
      <c r="K765" s="20">
        <f>Продажи[[#This Row],[цена за шт в рублях]]/Продажи[[#This Row],[Средняя цена в категории за шт]]-1</f>
        <v>0.39656675383893236</v>
      </c>
      <c r="L765" t="str">
        <f>VLOOKUP(Продажи[[#This Row],[id товара]],Товары[#All],3,FALSE)</f>
        <v>Русский сахар</v>
      </c>
      <c r="M7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765" s="23">
        <f>VLOOKUP(Продажи[[#This Row],[id клиента]],Таблица4[#All],5,FALSE)</f>
        <v>44907</v>
      </c>
      <c r="O765">
        <f>Продажи[[#This Row],[дата создания чека]]-Продажи[[#This Row],[Дата регистрации клиентов]]</f>
        <v>426</v>
      </c>
      <c r="P765" t="str">
        <f>VLOOKUP(Продажи[[#This Row],[id клиента]],Таблица4[#All],7,FALSE)</f>
        <v>Беларусь</v>
      </c>
    </row>
    <row r="766" spans="1:16" x14ac:dyDescent="0.25">
      <c r="A766">
        <v>765</v>
      </c>
      <c r="B766">
        <v>158</v>
      </c>
      <c r="C766">
        <v>318</v>
      </c>
      <c r="D766">
        <v>5</v>
      </c>
      <c r="E766">
        <v>1590</v>
      </c>
      <c r="F766" s="23">
        <v>44958</v>
      </c>
      <c r="G766" t="s">
        <v>15</v>
      </c>
      <c r="H766">
        <v>99</v>
      </c>
      <c r="I766" t="str">
        <f>VLOOKUP(Продажи[[#This Row],[id товара]],Товары[#All],2,FALSE)</f>
        <v>Сахар</v>
      </c>
      <c r="J766" s="19">
        <f>AVERAGEIF(Продажи[Категория товара],Продажи[[#This Row],[Категория товара]],Продажи[цена за шт в рублях])</f>
        <v>252.76271186440678</v>
      </c>
      <c r="K766" s="20">
        <f>Продажи[[#This Row],[цена за шт в рублях]]/Продажи[[#This Row],[Средняя цена в категории за шт]]-1</f>
        <v>0.25809696238181457</v>
      </c>
      <c r="L766" t="str">
        <f>VLOOKUP(Продажи[[#This Row],[id товара]],Товары[#All],3,FALSE)</f>
        <v>Сладов</v>
      </c>
      <c r="M7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766" s="23">
        <f>VLOOKUP(Продажи[[#This Row],[id клиента]],Таблица4[#All],5,FALSE)</f>
        <v>44886</v>
      </c>
      <c r="O766">
        <f>Продажи[[#This Row],[дата создания чека]]-Продажи[[#This Row],[Дата регистрации клиентов]]</f>
        <v>72</v>
      </c>
      <c r="P766" t="str">
        <f>VLOOKUP(Продажи[[#This Row],[id клиента]],Таблица4[#All],7,FALSE)</f>
        <v>Россия</v>
      </c>
    </row>
    <row r="767" spans="1:16" x14ac:dyDescent="0.25">
      <c r="A767">
        <v>766</v>
      </c>
      <c r="B767">
        <v>199</v>
      </c>
      <c r="C767">
        <v>80</v>
      </c>
      <c r="D767">
        <v>5</v>
      </c>
      <c r="E767">
        <v>400</v>
      </c>
      <c r="F767" s="23">
        <v>45408</v>
      </c>
      <c r="G767" t="s">
        <v>17</v>
      </c>
      <c r="H767">
        <v>404</v>
      </c>
      <c r="I767" t="str">
        <f>VLOOKUP(Продажи[[#This Row],[id товара]],Товары[#All],2,FALSE)</f>
        <v>Макароны</v>
      </c>
      <c r="J767" s="19">
        <f>AVERAGEIF(Продажи[Категория товара],Продажи[[#This Row],[Категория товара]],Продажи[цена за шт в рублях])</f>
        <v>265.47674418604652</v>
      </c>
      <c r="K767" s="20">
        <f>Продажи[[#This Row],[цена за шт в рублях]]/Продажи[[#This Row],[Средняя цена в категории за шт]]-1</f>
        <v>-0.69865533704174143</v>
      </c>
      <c r="L767" t="str">
        <f>VLOOKUP(Продажи[[#This Row],[id товара]],Товары[#All],3,FALSE)</f>
        <v>Борилла</v>
      </c>
      <c r="M7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767" s="23">
        <f>VLOOKUP(Продажи[[#This Row],[id клиента]],Таблица4[#All],5,FALSE)</f>
        <v>44913</v>
      </c>
      <c r="O767">
        <f>Продажи[[#This Row],[дата создания чека]]-Продажи[[#This Row],[Дата регистрации клиентов]]</f>
        <v>495</v>
      </c>
      <c r="P767" t="str">
        <f>VLOOKUP(Продажи[[#This Row],[id клиента]],Таблица4[#All],7,FALSE)</f>
        <v>Украина</v>
      </c>
    </row>
    <row r="768" spans="1:16" x14ac:dyDescent="0.25">
      <c r="A768">
        <v>767</v>
      </c>
      <c r="B768">
        <v>259</v>
      </c>
      <c r="C768">
        <v>90</v>
      </c>
      <c r="D768">
        <v>4</v>
      </c>
      <c r="E768">
        <v>360</v>
      </c>
      <c r="F768" s="23">
        <v>45058</v>
      </c>
      <c r="G768" t="s">
        <v>12</v>
      </c>
      <c r="H768">
        <v>79</v>
      </c>
      <c r="I768" t="str">
        <f>VLOOKUP(Продажи[[#This Row],[id товара]],Товары[#All],2,FALSE)</f>
        <v>Йогурт</v>
      </c>
      <c r="J768" s="19">
        <f>AVERAGEIF(Продажи[Категория товара],Продажи[[#This Row],[Категория товара]],Продажи[цена за шт в рублях])</f>
        <v>263.25423728813558</v>
      </c>
      <c r="K768" s="20">
        <f>Продажи[[#This Row],[цена за шт в рублях]]/Продажи[[#This Row],[Средняя цена в категории за шт]]-1</f>
        <v>-0.65812516095802209</v>
      </c>
      <c r="L768" t="str">
        <f>VLOOKUP(Продажи[[#This Row],[id товара]],Товары[#All],3,FALSE)</f>
        <v>Ростагроэкспорт</v>
      </c>
      <c r="M7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768" s="23">
        <f>VLOOKUP(Продажи[[#This Row],[id клиента]],Таблица4[#All],5,FALSE)</f>
        <v>44716</v>
      </c>
      <c r="O768">
        <f>Продажи[[#This Row],[дата создания чека]]-Продажи[[#This Row],[Дата регистрации клиентов]]</f>
        <v>342</v>
      </c>
      <c r="P768" t="str">
        <f>VLOOKUP(Продажи[[#This Row],[id клиента]],Таблица4[#All],7,FALSE)</f>
        <v>Таджикистан</v>
      </c>
    </row>
    <row r="769" spans="1:16" x14ac:dyDescent="0.25">
      <c r="A769">
        <v>768</v>
      </c>
      <c r="B769">
        <v>468</v>
      </c>
      <c r="C769">
        <v>167</v>
      </c>
      <c r="D769">
        <v>4</v>
      </c>
      <c r="E769">
        <v>668</v>
      </c>
      <c r="F769" s="23">
        <v>45211</v>
      </c>
      <c r="G769" t="s">
        <v>27</v>
      </c>
      <c r="H769">
        <v>377</v>
      </c>
      <c r="I769" t="str">
        <f>VLOOKUP(Продажи[[#This Row],[id товара]],Товары[#All],2,FALSE)</f>
        <v>Йогурт</v>
      </c>
      <c r="J769" s="19">
        <f>AVERAGEIF(Продажи[Категория товара],Продажи[[#This Row],[Категория товара]],Продажи[цена за шт в рублях])</f>
        <v>263.25423728813558</v>
      </c>
      <c r="K769" s="20">
        <f>Продажи[[#This Row],[цена за шт в рублях]]/Продажи[[#This Row],[Средняя цена в категории за шт]]-1</f>
        <v>-0.36563224311099662</v>
      </c>
      <c r="L769" t="str">
        <f>VLOOKUP(Продажи[[#This Row],[id товара]],Товары[#All],3,FALSE)</f>
        <v>Чудо</v>
      </c>
      <c r="M7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769" s="23">
        <f>VLOOKUP(Продажи[[#This Row],[id клиента]],Таблица4[#All],5,FALSE)</f>
        <v>44794</v>
      </c>
      <c r="O769">
        <f>Продажи[[#This Row],[дата создания чека]]-Продажи[[#This Row],[Дата регистрации клиентов]]</f>
        <v>417</v>
      </c>
      <c r="P769" t="str">
        <f>VLOOKUP(Продажи[[#This Row],[id клиента]],Таблица4[#All],7,FALSE)</f>
        <v>Узбекистан</v>
      </c>
    </row>
    <row r="770" spans="1:16" x14ac:dyDescent="0.25">
      <c r="A770">
        <v>769</v>
      </c>
      <c r="B770">
        <v>4</v>
      </c>
      <c r="C770">
        <v>478</v>
      </c>
      <c r="D770">
        <v>4</v>
      </c>
      <c r="E770">
        <v>1912</v>
      </c>
      <c r="F770" s="23">
        <v>45156</v>
      </c>
      <c r="G770" t="s">
        <v>21</v>
      </c>
      <c r="H770">
        <v>146</v>
      </c>
      <c r="I770" t="str">
        <f>VLOOKUP(Продажи[[#This Row],[id товара]],Товары[#All],2,FALSE)</f>
        <v>Рис</v>
      </c>
      <c r="J770" s="19">
        <f>AVERAGEIF(Продажи[Категория товара],Продажи[[#This Row],[Категория товара]],Продажи[цена за шт в рублях])</f>
        <v>258.375</v>
      </c>
      <c r="K770" s="20">
        <f>Продажи[[#This Row],[цена за шт в рублях]]/Продажи[[#This Row],[Средняя цена в категории за шт]]-1</f>
        <v>0.85002418964683124</v>
      </c>
      <c r="L770" t="str">
        <f>VLOOKUP(Продажи[[#This Row],[id товара]],Товары[#All],3,FALSE)</f>
        <v>Белый Злат</v>
      </c>
      <c r="M7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770" s="23">
        <f>VLOOKUP(Продажи[[#This Row],[id клиента]],Таблица4[#All],5,FALSE)</f>
        <v>44617</v>
      </c>
      <c r="O770">
        <f>Продажи[[#This Row],[дата создания чека]]-Продажи[[#This Row],[Дата регистрации клиентов]]</f>
        <v>539</v>
      </c>
      <c r="P770" t="str">
        <f>VLOOKUP(Продажи[[#This Row],[id клиента]],Таблица4[#All],7,FALSE)</f>
        <v>Беларусь</v>
      </c>
    </row>
    <row r="771" spans="1:16" x14ac:dyDescent="0.25">
      <c r="A771">
        <v>770</v>
      </c>
      <c r="B771">
        <v>155</v>
      </c>
      <c r="C771">
        <v>310</v>
      </c>
      <c r="D771">
        <v>4</v>
      </c>
      <c r="E771">
        <v>1240</v>
      </c>
      <c r="F771" s="23">
        <v>44930</v>
      </c>
      <c r="G771" t="s">
        <v>19</v>
      </c>
      <c r="H771">
        <v>346</v>
      </c>
      <c r="I771" t="str">
        <f>VLOOKUP(Продажи[[#This Row],[id товара]],Товары[#All],2,FALSE)</f>
        <v>Йогурт</v>
      </c>
      <c r="J771" s="19">
        <f>AVERAGEIF(Продажи[Категория товара],Продажи[[#This Row],[Категория товара]],Продажи[цена за шт в рублях])</f>
        <v>263.25423728813558</v>
      </c>
      <c r="K771" s="20">
        <f>Продажи[[#This Row],[цена за шт в рублях]]/Продажи[[#This Row],[Средняя цена в категории за шт]]-1</f>
        <v>0.17756889003347931</v>
      </c>
      <c r="L771" t="str">
        <f>VLOOKUP(Продажи[[#This Row],[id товара]],Товары[#All],3,FALSE)</f>
        <v>Эрманн</v>
      </c>
      <c r="M7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771" s="23">
        <f>VLOOKUP(Продажи[[#This Row],[id клиента]],Таблица4[#All],5,FALSE)</f>
        <v>44636</v>
      </c>
      <c r="O771">
        <f>Продажи[[#This Row],[дата создания чека]]-Продажи[[#This Row],[Дата регистрации клиентов]]</f>
        <v>294</v>
      </c>
      <c r="P771" t="str">
        <f>VLOOKUP(Продажи[[#This Row],[id клиента]],Таблица4[#All],7,FALSE)</f>
        <v>Россия</v>
      </c>
    </row>
    <row r="772" spans="1:16" x14ac:dyDescent="0.25">
      <c r="A772">
        <v>771</v>
      </c>
      <c r="B772">
        <v>413</v>
      </c>
      <c r="C772">
        <v>210</v>
      </c>
      <c r="D772">
        <v>5</v>
      </c>
      <c r="E772">
        <v>1050</v>
      </c>
      <c r="F772" s="23">
        <v>45422</v>
      </c>
      <c r="G772" t="s">
        <v>19</v>
      </c>
      <c r="H772">
        <v>436</v>
      </c>
      <c r="I772" t="str">
        <f>VLOOKUP(Продажи[[#This Row],[id товара]],Товары[#All],2,FALSE)</f>
        <v>Кофе</v>
      </c>
      <c r="J772" s="19">
        <f>AVERAGEIF(Продажи[Категория товара],Продажи[[#This Row],[Категория товара]],Продажи[цена за шт в рублях])</f>
        <v>249.02380952380952</v>
      </c>
      <c r="K772" s="20">
        <f>Продажи[[#This Row],[цена за шт в рублях]]/Продажи[[#This Row],[Средняя цена в категории за шт]]-1</f>
        <v>-0.15670714217420401</v>
      </c>
      <c r="L772" t="str">
        <f>VLOOKUP(Продажи[[#This Row],[id товара]],Товары[#All],3,FALSE)</f>
        <v>Jacobs</v>
      </c>
      <c r="M7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772" s="23">
        <f>VLOOKUP(Продажи[[#This Row],[id клиента]],Таблица4[#All],5,FALSE)</f>
        <v>44683</v>
      </c>
      <c r="O772">
        <f>Продажи[[#This Row],[дата создания чека]]-Продажи[[#This Row],[Дата регистрации клиентов]]</f>
        <v>739</v>
      </c>
      <c r="P772" t="str">
        <f>VLOOKUP(Продажи[[#This Row],[id клиента]],Таблица4[#All],7,FALSE)</f>
        <v>Россия</v>
      </c>
    </row>
    <row r="773" spans="1:16" x14ac:dyDescent="0.25">
      <c r="A773">
        <v>772</v>
      </c>
      <c r="B773">
        <v>200</v>
      </c>
      <c r="C773">
        <v>67</v>
      </c>
      <c r="D773">
        <v>1</v>
      </c>
      <c r="E773">
        <v>67</v>
      </c>
      <c r="F773" s="23">
        <v>45163</v>
      </c>
      <c r="G773" t="s">
        <v>14</v>
      </c>
      <c r="H773">
        <v>103</v>
      </c>
      <c r="I773" t="str">
        <f>VLOOKUP(Продажи[[#This Row],[id товара]],Товары[#All],2,FALSE)</f>
        <v>Чипсы</v>
      </c>
      <c r="J773" s="19">
        <f>AVERAGEIF(Продажи[Категория товара],Продажи[[#This Row],[Категория товара]],Продажи[цена за шт в рублях])</f>
        <v>273.72549019607845</v>
      </c>
      <c r="K773" s="20">
        <f>Продажи[[#This Row],[цена за шт в рублях]]/Продажи[[#This Row],[Средняя цена в категории за шт]]-1</f>
        <v>-0.75522922636103151</v>
      </c>
      <c r="L773" t="str">
        <f>VLOOKUP(Продажи[[#This Row],[id товара]],Товары[#All],3,FALSE)</f>
        <v>Estrella</v>
      </c>
      <c r="M7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773" s="23">
        <f>VLOOKUP(Продажи[[#This Row],[id клиента]],Таблица4[#All],5,FALSE)</f>
        <v>44787</v>
      </c>
      <c r="O773">
        <f>Продажи[[#This Row],[дата создания чека]]-Продажи[[#This Row],[Дата регистрации клиентов]]</f>
        <v>376</v>
      </c>
      <c r="P773" t="str">
        <f>VLOOKUP(Продажи[[#This Row],[id клиента]],Таблица4[#All],7,FALSE)</f>
        <v>Узбекистан</v>
      </c>
    </row>
    <row r="774" spans="1:16" x14ac:dyDescent="0.25">
      <c r="A774">
        <v>773</v>
      </c>
      <c r="B774">
        <v>295</v>
      </c>
      <c r="C774">
        <v>294</v>
      </c>
      <c r="D774">
        <v>5</v>
      </c>
      <c r="E774">
        <v>1470</v>
      </c>
      <c r="F774" s="23">
        <v>45147</v>
      </c>
      <c r="G774" t="s">
        <v>26</v>
      </c>
      <c r="H774">
        <v>493</v>
      </c>
      <c r="I774" t="str">
        <f>VLOOKUP(Продажи[[#This Row],[id товара]],Товары[#All],2,FALSE)</f>
        <v>Печенье</v>
      </c>
      <c r="J774" s="19">
        <f>AVERAGEIF(Продажи[Категория товара],Продажи[[#This Row],[Категория товара]],Продажи[цена за шт в рублях])</f>
        <v>283.468085106383</v>
      </c>
      <c r="K774" s="20">
        <f>Продажи[[#This Row],[цена за шт в рублях]]/Продажи[[#This Row],[Средняя цена в категории за шт]]-1</f>
        <v>3.715379419049758E-2</v>
      </c>
      <c r="L774" t="str">
        <f>VLOOKUP(Продажи[[#This Row],[id товара]],Товары[#All],3,FALSE)</f>
        <v>Белогорье</v>
      </c>
      <c r="M7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774" s="23">
        <f>VLOOKUP(Продажи[[#This Row],[id клиента]],Таблица4[#All],5,FALSE)</f>
        <v>44855</v>
      </c>
      <c r="O774">
        <f>Продажи[[#This Row],[дата создания чека]]-Продажи[[#This Row],[Дата регистрации клиентов]]</f>
        <v>292</v>
      </c>
      <c r="P774" t="str">
        <f>VLOOKUP(Продажи[[#This Row],[id клиента]],Таблица4[#All],7,FALSE)</f>
        <v>Украина</v>
      </c>
    </row>
    <row r="775" spans="1:16" x14ac:dyDescent="0.25">
      <c r="A775">
        <v>774</v>
      </c>
      <c r="B775">
        <v>39</v>
      </c>
      <c r="C775">
        <v>404</v>
      </c>
      <c r="D775">
        <v>2</v>
      </c>
      <c r="E775">
        <v>808</v>
      </c>
      <c r="F775" s="23">
        <v>45175</v>
      </c>
      <c r="G775" t="s">
        <v>15</v>
      </c>
      <c r="H775">
        <v>252</v>
      </c>
      <c r="I775" t="str">
        <f>VLOOKUP(Продажи[[#This Row],[id товара]],Товары[#All],2,FALSE)</f>
        <v>Сыр</v>
      </c>
      <c r="J775" s="19">
        <f>AVERAGEIF(Продажи[Категория товара],Продажи[[#This Row],[Категория товара]],Продажи[цена за шт в рублях])</f>
        <v>262.63492063492066</v>
      </c>
      <c r="K775" s="20">
        <f>Продажи[[#This Row],[цена за шт в рублях]]/Продажи[[#This Row],[Средняя цена в категории за шт]]-1</f>
        <v>0.53825698053910287</v>
      </c>
      <c r="L775" t="str">
        <f>VLOOKUP(Продажи[[#This Row],[id товара]],Товары[#All],3,FALSE)</f>
        <v>Сырная долина</v>
      </c>
      <c r="M7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775" s="23">
        <f>VLOOKUP(Продажи[[#This Row],[id клиента]],Таблица4[#All],5,FALSE)</f>
        <v>44643</v>
      </c>
      <c r="O775">
        <f>Продажи[[#This Row],[дата создания чека]]-Продажи[[#This Row],[Дата регистрации клиентов]]</f>
        <v>532</v>
      </c>
      <c r="P775" t="str">
        <f>VLOOKUP(Продажи[[#This Row],[id клиента]],Таблица4[#All],7,FALSE)</f>
        <v>Россия</v>
      </c>
    </row>
    <row r="776" spans="1:16" x14ac:dyDescent="0.25">
      <c r="A776">
        <v>775</v>
      </c>
      <c r="B776">
        <v>228</v>
      </c>
      <c r="C776">
        <v>98</v>
      </c>
      <c r="D776">
        <v>2</v>
      </c>
      <c r="E776">
        <v>196</v>
      </c>
      <c r="F776" s="23">
        <v>45344</v>
      </c>
      <c r="G776" t="s">
        <v>12</v>
      </c>
      <c r="H776">
        <v>338</v>
      </c>
      <c r="I776" t="str">
        <f>VLOOKUP(Продажи[[#This Row],[id товара]],Товары[#All],2,FALSE)</f>
        <v>Рис</v>
      </c>
      <c r="J776" s="19">
        <f>AVERAGEIF(Продажи[Категория товара],Продажи[[#This Row],[Категория товара]],Продажи[цена за шт в рублях])</f>
        <v>258.375</v>
      </c>
      <c r="K776" s="20">
        <f>Продажи[[#This Row],[цена за шт в рублях]]/Продажи[[#This Row],[Средняя цена в категории за шт]]-1</f>
        <v>-0.62070633768746974</v>
      </c>
      <c r="L776" t="str">
        <f>VLOOKUP(Продажи[[#This Row],[id товара]],Товары[#All],3,FALSE)</f>
        <v>Мистраль</v>
      </c>
      <c r="M7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181.57142857142858</v>
      </c>
      <c r="N776" s="23">
        <f>VLOOKUP(Продажи[[#This Row],[id клиента]],Таблица4[#All],5,FALSE)</f>
        <v>44577</v>
      </c>
      <c r="O776">
        <f>Продажи[[#This Row],[дата создания чека]]-Продажи[[#This Row],[Дата регистрации клиентов]]</f>
        <v>767</v>
      </c>
      <c r="P776" t="str">
        <f>VLOOKUP(Продажи[[#This Row],[id клиента]],Таблица4[#All],7,FALSE)</f>
        <v>Таджикистан</v>
      </c>
    </row>
    <row r="777" spans="1:16" x14ac:dyDescent="0.25">
      <c r="A777">
        <v>776</v>
      </c>
      <c r="B777">
        <v>37</v>
      </c>
      <c r="C777">
        <v>139</v>
      </c>
      <c r="D777">
        <v>3</v>
      </c>
      <c r="E777">
        <v>417</v>
      </c>
      <c r="F777" s="23">
        <v>45014</v>
      </c>
      <c r="G777" t="s">
        <v>17</v>
      </c>
      <c r="H777">
        <v>397</v>
      </c>
      <c r="I777" t="str">
        <f>VLOOKUP(Продажи[[#This Row],[id товара]],Товары[#All],2,FALSE)</f>
        <v>Соль</v>
      </c>
      <c r="J777" s="19">
        <f>AVERAGEIF(Продажи[Категория товара],Продажи[[#This Row],[Категория товара]],Продажи[цена за шт в рублях])</f>
        <v>264.8679245283019</v>
      </c>
      <c r="K777" s="20">
        <f>Продажи[[#This Row],[цена за шт в рублях]]/Продажи[[#This Row],[Средняя цена в категории за шт]]-1</f>
        <v>-0.47521014389514182</v>
      </c>
      <c r="L777" t="str">
        <f>VLOOKUP(Продажи[[#This Row],[id товара]],Товары[#All],3,FALSE)</f>
        <v>Илецкая</v>
      </c>
      <c r="M7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77" s="23">
        <f>VLOOKUP(Продажи[[#This Row],[id клиента]],Таблица4[#All],5,FALSE)</f>
        <v>44728</v>
      </c>
      <c r="O777">
        <f>Продажи[[#This Row],[дата создания чека]]-Продажи[[#This Row],[Дата регистрации клиентов]]</f>
        <v>286</v>
      </c>
      <c r="P777" t="str">
        <f>VLOOKUP(Продажи[[#This Row],[id клиента]],Таблица4[#All],7,FALSE)</f>
        <v>Беларусь</v>
      </c>
    </row>
    <row r="778" spans="1:16" x14ac:dyDescent="0.25">
      <c r="A778">
        <v>777</v>
      </c>
      <c r="B778">
        <v>62</v>
      </c>
      <c r="C778">
        <v>241</v>
      </c>
      <c r="D778">
        <v>2</v>
      </c>
      <c r="E778">
        <v>482</v>
      </c>
      <c r="F778" s="23">
        <v>45231</v>
      </c>
      <c r="G778" t="s">
        <v>8</v>
      </c>
      <c r="H778">
        <v>247</v>
      </c>
      <c r="I778" t="str">
        <f>VLOOKUP(Продажи[[#This Row],[id товара]],Товары[#All],2,FALSE)</f>
        <v>Рыба</v>
      </c>
      <c r="J778" s="19">
        <f>AVERAGEIF(Продажи[Категория товара],Продажи[[#This Row],[Категория товара]],Продажи[цена за шт в рублях])</f>
        <v>258.5128205128205</v>
      </c>
      <c r="K778" s="20">
        <f>Продажи[[#This Row],[цена за шт в рублях]]/Продажи[[#This Row],[Средняя цена в категории за шт]]-1</f>
        <v>-6.7744495139853145E-2</v>
      </c>
      <c r="L778" t="str">
        <f>VLOOKUP(Продажи[[#This Row],[id товара]],Товары[#All],3,FALSE)</f>
        <v>Балтийский берег</v>
      </c>
      <c r="M7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778" s="23">
        <f>VLOOKUP(Продажи[[#This Row],[id клиента]],Таблица4[#All],5,FALSE)</f>
        <v>44762</v>
      </c>
      <c r="O778">
        <f>Продажи[[#This Row],[дата создания чека]]-Продажи[[#This Row],[Дата регистрации клиентов]]</f>
        <v>469</v>
      </c>
      <c r="P778" t="str">
        <f>VLOOKUP(Продажи[[#This Row],[id клиента]],Таблица4[#All],7,FALSE)</f>
        <v>Узбекистан</v>
      </c>
    </row>
    <row r="779" spans="1:16" x14ac:dyDescent="0.25">
      <c r="A779">
        <v>778</v>
      </c>
      <c r="B779">
        <v>468</v>
      </c>
      <c r="C779">
        <v>182</v>
      </c>
      <c r="D779">
        <v>5</v>
      </c>
      <c r="E779">
        <v>910</v>
      </c>
      <c r="F779" s="23">
        <v>45005</v>
      </c>
      <c r="G779" t="s">
        <v>24</v>
      </c>
      <c r="H779">
        <v>445</v>
      </c>
      <c r="I779" t="str">
        <f>VLOOKUP(Продажи[[#This Row],[id товара]],Товары[#All],2,FALSE)</f>
        <v>Йогурт</v>
      </c>
      <c r="J779" s="19">
        <f>AVERAGEIF(Продажи[Категория товара],Продажи[[#This Row],[Категория товара]],Продажи[цена за шт в рублях])</f>
        <v>263.25423728813558</v>
      </c>
      <c r="K779" s="20">
        <f>Продажи[[#This Row],[цена за шт в рублях]]/Продажи[[#This Row],[Средняя цена в категории за шт]]-1</f>
        <v>-0.30865310327066697</v>
      </c>
      <c r="L779" t="str">
        <f>VLOOKUP(Продажи[[#This Row],[id товара]],Товары[#All],3,FALSE)</f>
        <v>Чудо</v>
      </c>
      <c r="M7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779" s="23">
        <f>VLOOKUP(Продажи[[#This Row],[id клиента]],Таблица4[#All],5,FALSE)</f>
        <v>44676</v>
      </c>
      <c r="O779">
        <f>Продажи[[#This Row],[дата создания чека]]-Продажи[[#This Row],[Дата регистрации клиентов]]</f>
        <v>329</v>
      </c>
      <c r="P779" t="str">
        <f>VLOOKUP(Продажи[[#This Row],[id клиента]],Таблица4[#All],7,FALSE)</f>
        <v>Россия</v>
      </c>
    </row>
    <row r="780" spans="1:16" x14ac:dyDescent="0.25">
      <c r="A780">
        <v>779</v>
      </c>
      <c r="B780">
        <v>497</v>
      </c>
      <c r="C780">
        <v>275</v>
      </c>
      <c r="D780">
        <v>4</v>
      </c>
      <c r="E780">
        <v>1100</v>
      </c>
      <c r="F780" s="23">
        <v>45236</v>
      </c>
      <c r="G780" t="s">
        <v>11</v>
      </c>
      <c r="H780">
        <v>477</v>
      </c>
      <c r="I780" t="str">
        <f>VLOOKUP(Продажи[[#This Row],[id товара]],Товары[#All],2,FALSE)</f>
        <v>Конфеты</v>
      </c>
      <c r="J780" s="19">
        <f>AVERAGEIF(Продажи[Категория товара],Продажи[[#This Row],[Категория товара]],Продажи[цена за шт в рублях])</f>
        <v>267.85483870967744</v>
      </c>
      <c r="K780" s="20">
        <f>Продажи[[#This Row],[цена за шт в рублях]]/Продажи[[#This Row],[Средняя цена в категории за шт]]-1</f>
        <v>2.667549828385618E-2</v>
      </c>
      <c r="L780" t="str">
        <f>VLOOKUP(Продажи[[#This Row],[id товара]],Товары[#All],3,FALSE)</f>
        <v>Бабаевский</v>
      </c>
      <c r="M7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780" s="23">
        <f>VLOOKUP(Продажи[[#This Row],[id клиента]],Таблица4[#All],5,FALSE)</f>
        <v>44738</v>
      </c>
      <c r="O780">
        <f>Продажи[[#This Row],[дата создания чека]]-Продажи[[#This Row],[Дата регистрации клиентов]]</f>
        <v>498</v>
      </c>
      <c r="P780" t="str">
        <f>VLOOKUP(Продажи[[#This Row],[id клиента]],Таблица4[#All],7,FALSE)</f>
        <v>Узбекистан</v>
      </c>
    </row>
    <row r="781" spans="1:16" x14ac:dyDescent="0.25">
      <c r="A781">
        <v>780</v>
      </c>
      <c r="B781">
        <v>372</v>
      </c>
      <c r="C781">
        <v>182</v>
      </c>
      <c r="D781">
        <v>2</v>
      </c>
      <c r="E781">
        <v>364</v>
      </c>
      <c r="F781" s="23">
        <v>44991</v>
      </c>
      <c r="G781" t="s">
        <v>22</v>
      </c>
      <c r="H781">
        <v>402</v>
      </c>
      <c r="I781" t="str">
        <f>VLOOKUP(Продажи[[#This Row],[id товара]],Товары[#All],2,FALSE)</f>
        <v>Кофе</v>
      </c>
      <c r="J781" s="19">
        <f>AVERAGEIF(Продажи[Категория товара],Продажи[[#This Row],[Категория товара]],Продажи[цена за шт в рублях])</f>
        <v>249.02380952380952</v>
      </c>
      <c r="K781" s="20">
        <f>Продажи[[#This Row],[цена за шт в рублях]]/Продажи[[#This Row],[Средняя цена в категории за шт]]-1</f>
        <v>-0.26914618988431016</v>
      </c>
      <c r="L781" t="str">
        <f>VLOOKUP(Продажи[[#This Row],[id товара]],Товары[#All],3,FALSE)</f>
        <v>Черная Карта</v>
      </c>
      <c r="M7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222.2</v>
      </c>
      <c r="N781" s="23">
        <f>VLOOKUP(Продажи[[#This Row],[id клиента]],Таблица4[#All],5,FALSE)</f>
        <v>44742</v>
      </c>
      <c r="O781">
        <f>Продажи[[#This Row],[дата создания чека]]-Продажи[[#This Row],[Дата регистрации клиентов]]</f>
        <v>249</v>
      </c>
      <c r="P781" t="str">
        <f>VLOOKUP(Продажи[[#This Row],[id клиента]],Таблица4[#All],7,FALSE)</f>
        <v>Узбекистан</v>
      </c>
    </row>
    <row r="782" spans="1:16" x14ac:dyDescent="0.25">
      <c r="A782">
        <v>781</v>
      </c>
      <c r="B782">
        <v>354</v>
      </c>
      <c r="C782">
        <v>203</v>
      </c>
      <c r="D782">
        <v>5</v>
      </c>
      <c r="E782">
        <v>1015</v>
      </c>
      <c r="F782" s="23">
        <v>45234</v>
      </c>
      <c r="G782" t="s">
        <v>25</v>
      </c>
      <c r="H782">
        <v>265</v>
      </c>
      <c r="I782" t="str">
        <f>VLOOKUP(Продажи[[#This Row],[id товара]],Товары[#All],2,FALSE)</f>
        <v>Чай</v>
      </c>
      <c r="J782" s="19">
        <f>AVERAGEIF(Продажи[Категория товара],Продажи[[#This Row],[Категория товара]],Продажи[цена за шт в рублях])</f>
        <v>271.18181818181819</v>
      </c>
      <c r="K782" s="20">
        <f>Продажи[[#This Row],[цена за шт в рублях]]/Продажи[[#This Row],[Средняя цена в категории за шт]]-1</f>
        <v>-0.25142474019443517</v>
      </c>
      <c r="L782" t="str">
        <f>VLOOKUP(Продажи[[#This Row],[id товара]],Товары[#All],3,FALSE)</f>
        <v>Lipton</v>
      </c>
      <c r="M7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782" s="23">
        <f>VLOOKUP(Продажи[[#This Row],[id клиента]],Таблица4[#All],5,FALSE)</f>
        <v>44756</v>
      </c>
      <c r="O782">
        <f>Продажи[[#This Row],[дата создания чека]]-Продажи[[#This Row],[Дата регистрации клиентов]]</f>
        <v>478</v>
      </c>
      <c r="P782" t="str">
        <f>VLOOKUP(Продажи[[#This Row],[id клиента]],Таблица4[#All],7,FALSE)</f>
        <v>Узбекистан</v>
      </c>
    </row>
    <row r="783" spans="1:16" x14ac:dyDescent="0.25">
      <c r="A783">
        <v>782</v>
      </c>
      <c r="B783">
        <v>460</v>
      </c>
      <c r="C783">
        <v>103</v>
      </c>
      <c r="D783">
        <v>5</v>
      </c>
      <c r="E783">
        <v>515</v>
      </c>
      <c r="F783" s="23">
        <v>45411</v>
      </c>
      <c r="G783" t="s">
        <v>20</v>
      </c>
      <c r="H783">
        <v>124</v>
      </c>
      <c r="I783" t="str">
        <f>VLOOKUP(Продажи[[#This Row],[id товара]],Товары[#All],2,FALSE)</f>
        <v>Кофе</v>
      </c>
      <c r="J783" s="19">
        <f>AVERAGEIF(Продажи[Категория товара],Продажи[[#This Row],[Категория товара]],Продажи[цена за шт в рублях])</f>
        <v>249.02380952380952</v>
      </c>
      <c r="K783" s="20">
        <f>Продажи[[#This Row],[цена за шт в рублях]]/Продажи[[#This Row],[Средняя цена в категории за шт]]-1</f>
        <v>-0.58638493163782379</v>
      </c>
      <c r="L783" t="str">
        <f>VLOOKUP(Продажи[[#This Row],[id товара]],Товары[#All],3,FALSE)</f>
        <v>Tchibo</v>
      </c>
      <c r="M7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140</v>
      </c>
      <c r="N783" s="23">
        <f>VLOOKUP(Продажи[[#This Row],[id клиента]],Таблица4[#All],5,FALSE)</f>
        <v>44795</v>
      </c>
      <c r="O783">
        <f>Продажи[[#This Row],[дата создания чека]]-Продажи[[#This Row],[Дата регистрации клиентов]]</f>
        <v>616</v>
      </c>
      <c r="P783" t="str">
        <f>VLOOKUP(Продажи[[#This Row],[id клиента]],Таблица4[#All],7,FALSE)</f>
        <v>Россия</v>
      </c>
    </row>
    <row r="784" spans="1:16" x14ac:dyDescent="0.25">
      <c r="A784">
        <v>783</v>
      </c>
      <c r="B784">
        <v>63</v>
      </c>
      <c r="C784">
        <v>344</v>
      </c>
      <c r="D784">
        <v>2</v>
      </c>
      <c r="E784">
        <v>688</v>
      </c>
      <c r="F784" s="23">
        <v>45194</v>
      </c>
      <c r="G784" t="s">
        <v>21</v>
      </c>
      <c r="H784">
        <v>208</v>
      </c>
      <c r="I784" t="str">
        <f>VLOOKUP(Продажи[[#This Row],[id товара]],Товары[#All],2,FALSE)</f>
        <v>Рыба</v>
      </c>
      <c r="J784" s="19">
        <f>AVERAGEIF(Продажи[Категория товара],Продажи[[#This Row],[Категория товара]],Продажи[цена за шт в рублях])</f>
        <v>258.5128205128205</v>
      </c>
      <c r="K784" s="20">
        <f>Продажи[[#This Row],[цена за шт в рублях]]/Продажи[[#This Row],[Средняя цена в категории за шт]]-1</f>
        <v>0.33068835548502284</v>
      </c>
      <c r="L784" t="str">
        <f>VLOOKUP(Продажи[[#This Row],[id товара]],Товары[#All],3,FALSE)</f>
        <v>Балтийский берег</v>
      </c>
      <c r="M7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784" s="23">
        <f>VLOOKUP(Продажи[[#This Row],[id клиента]],Таблица4[#All],5,FALSE)</f>
        <v>44736</v>
      </c>
      <c r="O784">
        <f>Продажи[[#This Row],[дата создания чека]]-Продажи[[#This Row],[Дата регистрации клиентов]]</f>
        <v>458</v>
      </c>
      <c r="P784" t="str">
        <f>VLOOKUP(Продажи[[#This Row],[id клиента]],Таблица4[#All],7,FALSE)</f>
        <v>Украина</v>
      </c>
    </row>
    <row r="785" spans="1:16" x14ac:dyDescent="0.25">
      <c r="A785">
        <v>784</v>
      </c>
      <c r="B785">
        <v>467</v>
      </c>
      <c r="C785">
        <v>436</v>
      </c>
      <c r="D785">
        <v>3</v>
      </c>
      <c r="E785">
        <v>1308</v>
      </c>
      <c r="F785" s="23">
        <v>45289</v>
      </c>
      <c r="G785" t="s">
        <v>13</v>
      </c>
      <c r="H785">
        <v>343</v>
      </c>
      <c r="I785" t="str">
        <f>VLOOKUP(Продажи[[#This Row],[id товара]],Товары[#All],2,FALSE)</f>
        <v>Макароны</v>
      </c>
      <c r="J785" s="19">
        <f>AVERAGEIF(Продажи[Категория товара],Продажи[[#This Row],[Категория товара]],Продажи[цена за шт в рублях])</f>
        <v>265.47674418604652</v>
      </c>
      <c r="K785" s="20">
        <f>Продажи[[#This Row],[цена за шт в рублях]]/Продажи[[#This Row],[Средняя цена в категории за шт]]-1</f>
        <v>0.64232841312250888</v>
      </c>
      <c r="L785" t="str">
        <f>VLOOKUP(Продажи[[#This Row],[id товара]],Товары[#All],3,FALSE)</f>
        <v>Борилла</v>
      </c>
      <c r="M7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785" s="23">
        <f>VLOOKUP(Продажи[[#This Row],[id клиента]],Таблица4[#All],5,FALSE)</f>
        <v>44874</v>
      </c>
      <c r="O785">
        <f>Продажи[[#This Row],[дата создания чека]]-Продажи[[#This Row],[Дата регистрации клиентов]]</f>
        <v>415</v>
      </c>
      <c r="P785" t="str">
        <f>VLOOKUP(Продажи[[#This Row],[id клиента]],Таблица4[#All],7,FALSE)</f>
        <v>Украина</v>
      </c>
    </row>
    <row r="786" spans="1:16" x14ac:dyDescent="0.25">
      <c r="A786">
        <v>785</v>
      </c>
      <c r="B786">
        <v>184</v>
      </c>
      <c r="C786">
        <v>79</v>
      </c>
      <c r="D786">
        <v>4</v>
      </c>
      <c r="E786">
        <v>316</v>
      </c>
      <c r="F786" s="23">
        <v>45407</v>
      </c>
      <c r="G786" t="s">
        <v>9</v>
      </c>
      <c r="H786">
        <v>394</v>
      </c>
      <c r="I786" t="str">
        <f>VLOOKUP(Продажи[[#This Row],[id товара]],Товары[#All],2,FALSE)</f>
        <v>Конфеты</v>
      </c>
      <c r="J786" s="19">
        <f>AVERAGEIF(Продажи[Категория товара],Продажи[[#This Row],[Категория товара]],Продажи[цена за шт в рублях])</f>
        <v>267.85483870967744</v>
      </c>
      <c r="K786" s="20">
        <f>Продажи[[#This Row],[цена за шт в рублях]]/Продажи[[#This Row],[Средняя цена в категории за шт]]-1</f>
        <v>-0.7050641295839104</v>
      </c>
      <c r="L786" t="str">
        <f>VLOOKUP(Продажи[[#This Row],[id товара]],Товары[#All],3,FALSE)</f>
        <v>Славянка</v>
      </c>
      <c r="M7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786" s="23">
        <f>VLOOKUP(Продажи[[#This Row],[id клиента]],Таблица4[#All],5,FALSE)</f>
        <v>44708</v>
      </c>
      <c r="O786">
        <f>Продажи[[#This Row],[дата создания чека]]-Продажи[[#This Row],[Дата регистрации клиентов]]</f>
        <v>699</v>
      </c>
      <c r="P786" t="str">
        <f>VLOOKUP(Продажи[[#This Row],[id клиента]],Таблица4[#All],7,FALSE)</f>
        <v>Россия</v>
      </c>
    </row>
    <row r="787" spans="1:16" x14ac:dyDescent="0.25">
      <c r="A787">
        <v>786</v>
      </c>
      <c r="B787">
        <v>265</v>
      </c>
      <c r="C787">
        <v>339</v>
      </c>
      <c r="D787">
        <v>3</v>
      </c>
      <c r="E787">
        <v>1017</v>
      </c>
      <c r="F787" s="23">
        <v>44944</v>
      </c>
      <c r="G787" t="s">
        <v>9</v>
      </c>
      <c r="H787">
        <v>242</v>
      </c>
      <c r="I787" t="str">
        <f>VLOOKUP(Продажи[[#This Row],[id товара]],Товары[#All],2,FALSE)</f>
        <v>Мясо</v>
      </c>
      <c r="J787" s="19">
        <f>AVERAGEIF(Продажи[Категория товара],Продажи[[#This Row],[Категория товара]],Продажи[цена за шт в рублях])</f>
        <v>271.74545454545455</v>
      </c>
      <c r="K787" s="20">
        <f>Продажи[[#This Row],[цена за шт в рублях]]/Продажи[[#This Row],[Средняя цена в категории за шт]]-1</f>
        <v>0.24749096748293864</v>
      </c>
      <c r="L787" t="str">
        <f>VLOOKUP(Продажи[[#This Row],[id товара]],Товары[#All],3,FALSE)</f>
        <v>Мираторг</v>
      </c>
      <c r="M7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787" s="23">
        <f>VLOOKUP(Продажи[[#This Row],[id клиента]],Таблица4[#All],5,FALSE)</f>
        <v>44747</v>
      </c>
      <c r="O787">
        <f>Продажи[[#This Row],[дата создания чека]]-Продажи[[#This Row],[Дата регистрации клиентов]]</f>
        <v>197</v>
      </c>
      <c r="P787" t="str">
        <f>VLOOKUP(Продажи[[#This Row],[id клиента]],Таблица4[#All],7,FALSE)</f>
        <v>Россия</v>
      </c>
    </row>
    <row r="788" spans="1:16" x14ac:dyDescent="0.25">
      <c r="A788">
        <v>787</v>
      </c>
      <c r="B788">
        <v>130</v>
      </c>
      <c r="C788">
        <v>319</v>
      </c>
      <c r="D788">
        <v>3</v>
      </c>
      <c r="E788">
        <v>957</v>
      </c>
      <c r="F788" s="23">
        <v>45145</v>
      </c>
      <c r="G788" t="s">
        <v>27</v>
      </c>
      <c r="H788">
        <v>56</v>
      </c>
      <c r="I788" t="str">
        <f>VLOOKUP(Продажи[[#This Row],[id товара]],Товары[#All],2,FALSE)</f>
        <v>Соль</v>
      </c>
      <c r="J788" s="19">
        <f>AVERAGEIF(Продажи[Категория товара],Продажи[[#This Row],[Категория товара]],Продажи[цена за шт в рублях])</f>
        <v>264.8679245283019</v>
      </c>
      <c r="K788" s="20">
        <f>Продажи[[#This Row],[цена за шт в рублях]]/Продажи[[#This Row],[Средняя цена в категории за шт]]-1</f>
        <v>0.20437384242769618</v>
      </c>
      <c r="L788" t="str">
        <f>VLOOKUP(Продажи[[#This Row],[id товара]],Товары[#All],3,FALSE)</f>
        <v>Илецкая</v>
      </c>
      <c r="M7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788" s="23">
        <f>VLOOKUP(Продажи[[#This Row],[id клиента]],Таблица4[#All],5,FALSE)</f>
        <v>44662</v>
      </c>
      <c r="O788">
        <f>Продажи[[#This Row],[дата создания чека]]-Продажи[[#This Row],[Дата регистрации клиентов]]</f>
        <v>483</v>
      </c>
      <c r="P788" t="str">
        <f>VLOOKUP(Продажи[[#This Row],[id клиента]],Таблица4[#All],7,FALSE)</f>
        <v>Таджикистан</v>
      </c>
    </row>
    <row r="789" spans="1:16" x14ac:dyDescent="0.25">
      <c r="A789">
        <v>788</v>
      </c>
      <c r="B789">
        <v>443</v>
      </c>
      <c r="C789">
        <v>348</v>
      </c>
      <c r="D789">
        <v>3</v>
      </c>
      <c r="E789">
        <v>1044</v>
      </c>
      <c r="F789" s="23">
        <v>44930</v>
      </c>
      <c r="G789" t="s">
        <v>24</v>
      </c>
      <c r="H789">
        <v>324</v>
      </c>
      <c r="I789" t="str">
        <f>VLOOKUP(Продажи[[#This Row],[id товара]],Товары[#All],2,FALSE)</f>
        <v>Кофе</v>
      </c>
      <c r="J789" s="19">
        <f>AVERAGEIF(Продажи[Категория товара],Продажи[[#This Row],[Категория товара]],Продажи[цена за шт в рублях])</f>
        <v>249.02380952380952</v>
      </c>
      <c r="K789" s="20">
        <f>Продажи[[#This Row],[цена за шт в рублях]]/Продажи[[#This Row],[Средняя цена в категории за шт]]-1</f>
        <v>0.3974567358256047</v>
      </c>
      <c r="L789" t="str">
        <f>VLOOKUP(Продажи[[#This Row],[id товара]],Товары[#All],3,FALSE)</f>
        <v>Jacobs</v>
      </c>
      <c r="M7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789" s="23">
        <f>VLOOKUP(Продажи[[#This Row],[id клиента]],Таблица4[#All],5,FALSE)</f>
        <v>44761</v>
      </c>
      <c r="O789">
        <f>Продажи[[#This Row],[дата создания чека]]-Продажи[[#This Row],[Дата регистрации клиентов]]</f>
        <v>169</v>
      </c>
      <c r="P789" t="str">
        <f>VLOOKUP(Продажи[[#This Row],[id клиента]],Таблица4[#All],7,FALSE)</f>
        <v>Узбекистан</v>
      </c>
    </row>
    <row r="790" spans="1:16" x14ac:dyDescent="0.25">
      <c r="A790">
        <v>789</v>
      </c>
      <c r="B790">
        <v>408</v>
      </c>
      <c r="C790">
        <v>60</v>
      </c>
      <c r="D790">
        <v>4</v>
      </c>
      <c r="E790">
        <v>240</v>
      </c>
      <c r="F790" s="23">
        <v>45299</v>
      </c>
      <c r="G790" t="s">
        <v>15</v>
      </c>
      <c r="H790">
        <v>486</v>
      </c>
      <c r="I790" t="str">
        <f>VLOOKUP(Продажи[[#This Row],[id товара]],Товары[#All],2,FALSE)</f>
        <v>Йогурт</v>
      </c>
      <c r="J790" s="19">
        <f>AVERAGEIF(Продажи[Категория товара],Продажи[[#This Row],[Категория товара]],Продажи[цена за шт в рублях])</f>
        <v>263.25423728813558</v>
      </c>
      <c r="K790" s="20">
        <f>Продажи[[#This Row],[цена за шт в рублях]]/Продажи[[#This Row],[Средняя цена в категории за шт]]-1</f>
        <v>-0.7720834406386814</v>
      </c>
      <c r="L790" t="str">
        <f>VLOOKUP(Продажи[[#This Row],[id товара]],Товары[#All],3,FALSE)</f>
        <v>Эрманн</v>
      </c>
      <c r="M7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790" s="23">
        <f>VLOOKUP(Продажи[[#This Row],[id клиента]],Таблица4[#All],5,FALSE)</f>
        <v>44723</v>
      </c>
      <c r="O790">
        <f>Продажи[[#This Row],[дата создания чека]]-Продажи[[#This Row],[Дата регистрации клиентов]]</f>
        <v>576</v>
      </c>
      <c r="P790" t="str">
        <f>VLOOKUP(Продажи[[#This Row],[id клиента]],Таблица4[#All],7,FALSE)</f>
        <v>Россия</v>
      </c>
    </row>
    <row r="791" spans="1:16" x14ac:dyDescent="0.25">
      <c r="A791">
        <v>790</v>
      </c>
      <c r="B791">
        <v>249</v>
      </c>
      <c r="C791">
        <v>125</v>
      </c>
      <c r="D791">
        <v>5</v>
      </c>
      <c r="E791">
        <v>625</v>
      </c>
      <c r="F791" s="23">
        <v>45322</v>
      </c>
      <c r="G791" t="s">
        <v>11</v>
      </c>
      <c r="H791">
        <v>71</v>
      </c>
      <c r="I791" t="str">
        <f>VLOOKUP(Продажи[[#This Row],[id товара]],Товары[#All],2,FALSE)</f>
        <v>Чай</v>
      </c>
      <c r="J791" s="19">
        <f>AVERAGEIF(Продажи[Категория товара],Продажи[[#This Row],[Категория товара]],Продажи[цена за шт в рублях])</f>
        <v>271.18181818181819</v>
      </c>
      <c r="K791" s="20">
        <f>Продажи[[#This Row],[цена за шт в рублях]]/Продажи[[#This Row],[Средняя цена в категории за шт]]-1</f>
        <v>-0.539054642976869</v>
      </c>
      <c r="L791" t="str">
        <f>VLOOKUP(Продажи[[#This Row],[id товара]],Товары[#All],3,FALSE)</f>
        <v>Lipton</v>
      </c>
      <c r="M7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791" s="23">
        <f>VLOOKUP(Продажи[[#This Row],[id клиента]],Таблица4[#All],5,FALSE)</f>
        <v>44762</v>
      </c>
      <c r="O791">
        <f>Продажи[[#This Row],[дата создания чека]]-Продажи[[#This Row],[Дата регистрации клиентов]]</f>
        <v>560</v>
      </c>
      <c r="P791" t="str">
        <f>VLOOKUP(Продажи[[#This Row],[id клиента]],Таблица4[#All],7,FALSE)</f>
        <v>Украина</v>
      </c>
    </row>
    <row r="792" spans="1:16" x14ac:dyDescent="0.25">
      <c r="A792">
        <v>791</v>
      </c>
      <c r="B792">
        <v>241</v>
      </c>
      <c r="C792">
        <v>490</v>
      </c>
      <c r="D792">
        <v>1</v>
      </c>
      <c r="E792">
        <v>490</v>
      </c>
      <c r="F792" s="23">
        <v>45271</v>
      </c>
      <c r="G792" t="s">
        <v>15</v>
      </c>
      <c r="H792">
        <v>299</v>
      </c>
      <c r="I792" t="str">
        <f>VLOOKUP(Продажи[[#This Row],[id товара]],Товары[#All],2,FALSE)</f>
        <v>Колбаса</v>
      </c>
      <c r="J792" s="19">
        <f>AVERAGEIF(Продажи[Категория товара],Продажи[[#This Row],[Категория товара]],Продажи[цена за шт в рублях])</f>
        <v>286.92307692307691</v>
      </c>
      <c r="K792" s="20">
        <f>Продажи[[#This Row],[цена за шт в рублях]]/Продажи[[#This Row],[Средняя цена в категории за шт]]-1</f>
        <v>0.70777479892761397</v>
      </c>
      <c r="L792" t="str">
        <f>VLOOKUP(Продажи[[#This Row],[id товара]],Товары[#All],3,FALSE)</f>
        <v>Окраина</v>
      </c>
      <c r="M7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792" s="23">
        <f>VLOOKUP(Продажи[[#This Row],[id клиента]],Таблица4[#All],5,FALSE)</f>
        <v>44666</v>
      </c>
      <c r="O792">
        <f>Продажи[[#This Row],[дата создания чека]]-Продажи[[#This Row],[Дата регистрации клиентов]]</f>
        <v>605</v>
      </c>
      <c r="P792" t="str">
        <f>VLOOKUP(Продажи[[#This Row],[id клиента]],Таблица4[#All],7,FALSE)</f>
        <v>Украина</v>
      </c>
    </row>
    <row r="793" spans="1:16" x14ac:dyDescent="0.25">
      <c r="A793">
        <v>792</v>
      </c>
      <c r="B793">
        <v>202</v>
      </c>
      <c r="C793">
        <v>298</v>
      </c>
      <c r="D793">
        <v>4</v>
      </c>
      <c r="E793">
        <v>1192</v>
      </c>
      <c r="F793" s="23">
        <v>44979</v>
      </c>
      <c r="G793" t="s">
        <v>24</v>
      </c>
      <c r="H793">
        <v>265</v>
      </c>
      <c r="I793" t="str">
        <f>VLOOKUP(Продажи[[#This Row],[id товара]],Товары[#All],2,FALSE)</f>
        <v>Овощи</v>
      </c>
      <c r="J793" s="19">
        <f>AVERAGEIF(Продажи[Категория товара],Продажи[[#This Row],[Категория товара]],Продажи[цена за шт в рублях])</f>
        <v>250.48780487804879</v>
      </c>
      <c r="K793" s="20">
        <f>Продажи[[#This Row],[цена за шт в рублях]]/Продажи[[#This Row],[Средняя цена в категории за шт]]-1</f>
        <v>0.18967867575462516</v>
      </c>
      <c r="L793" t="str">
        <f>VLOOKUP(Продажи[[#This Row],[id товара]],Товары[#All],3,FALSE)</f>
        <v>Овощной ряд</v>
      </c>
      <c r="M7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793" s="23">
        <f>VLOOKUP(Продажи[[#This Row],[id клиента]],Таблица4[#All],5,FALSE)</f>
        <v>44756</v>
      </c>
      <c r="O793">
        <f>Продажи[[#This Row],[дата создания чека]]-Продажи[[#This Row],[Дата регистрации клиентов]]</f>
        <v>223</v>
      </c>
      <c r="P793" t="str">
        <f>VLOOKUP(Продажи[[#This Row],[id клиента]],Таблица4[#All],7,FALSE)</f>
        <v>Узбекистан</v>
      </c>
    </row>
    <row r="794" spans="1:16" x14ac:dyDescent="0.25">
      <c r="A794">
        <v>793</v>
      </c>
      <c r="B794">
        <v>376</v>
      </c>
      <c r="C794">
        <v>441</v>
      </c>
      <c r="D794">
        <v>2</v>
      </c>
      <c r="E794">
        <v>882</v>
      </c>
      <c r="F794" s="23">
        <v>45364</v>
      </c>
      <c r="G794" t="s">
        <v>25</v>
      </c>
      <c r="H794">
        <v>272</v>
      </c>
      <c r="I794" t="str">
        <f>VLOOKUP(Продажи[[#This Row],[id товара]],Товары[#All],2,FALSE)</f>
        <v>Конфеты</v>
      </c>
      <c r="J794" s="19">
        <f>AVERAGEIF(Продажи[Категория товара],Продажи[[#This Row],[Категория товара]],Продажи[цена за шт в рублях])</f>
        <v>267.85483870967744</v>
      </c>
      <c r="K794" s="20">
        <f>Продажи[[#This Row],[цена за шт в рублях]]/Продажи[[#This Row],[Средняя цена в категории за шт]]-1</f>
        <v>0.64641416270247465</v>
      </c>
      <c r="L794" t="str">
        <f>VLOOKUP(Продажи[[#This Row],[id товара]],Товары[#All],3,FALSE)</f>
        <v>Красный Октябрь</v>
      </c>
      <c r="M7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273.625</v>
      </c>
      <c r="N794" s="23">
        <f>VLOOKUP(Продажи[[#This Row],[id клиента]],Таблица4[#All],5,FALSE)</f>
        <v>44668</v>
      </c>
      <c r="O794">
        <f>Продажи[[#This Row],[дата создания чека]]-Продажи[[#This Row],[Дата регистрации клиентов]]</f>
        <v>696</v>
      </c>
      <c r="P794" t="str">
        <f>VLOOKUP(Продажи[[#This Row],[id клиента]],Таблица4[#All],7,FALSE)</f>
        <v>Таджикистан</v>
      </c>
    </row>
    <row r="795" spans="1:16" x14ac:dyDescent="0.25">
      <c r="A795">
        <v>794</v>
      </c>
      <c r="B795">
        <v>371</v>
      </c>
      <c r="C795">
        <v>126</v>
      </c>
      <c r="D795">
        <v>5</v>
      </c>
      <c r="E795">
        <v>630</v>
      </c>
      <c r="F795" s="23">
        <v>45230</v>
      </c>
      <c r="G795" t="s">
        <v>13</v>
      </c>
      <c r="H795">
        <v>371</v>
      </c>
      <c r="I795" t="str">
        <f>VLOOKUP(Продажи[[#This Row],[id товара]],Товары[#All],2,FALSE)</f>
        <v>Сахар</v>
      </c>
      <c r="J795" s="19">
        <f>AVERAGEIF(Продажи[Категория товара],Продажи[[#This Row],[Категория товара]],Продажи[цена за шт в рублях])</f>
        <v>252.76271186440678</v>
      </c>
      <c r="K795" s="20">
        <f>Продажи[[#This Row],[цена за шт в рублях]]/Продажи[[#This Row],[Средняя цена в категории за шт]]-1</f>
        <v>-0.5015087507543754</v>
      </c>
      <c r="L795" t="str">
        <f>VLOOKUP(Продажи[[#This Row],[id товара]],Товары[#All],3,FALSE)</f>
        <v>Русский сахар</v>
      </c>
      <c r="M7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795" s="23">
        <f>VLOOKUP(Продажи[[#This Row],[id клиента]],Таблица4[#All],5,FALSE)</f>
        <v>44844</v>
      </c>
      <c r="O795">
        <f>Продажи[[#This Row],[дата создания чека]]-Продажи[[#This Row],[Дата регистрации клиентов]]</f>
        <v>386</v>
      </c>
      <c r="P795" t="str">
        <f>VLOOKUP(Продажи[[#This Row],[id клиента]],Таблица4[#All],7,FALSE)</f>
        <v>Украина</v>
      </c>
    </row>
    <row r="796" spans="1:16" x14ac:dyDescent="0.25">
      <c r="A796">
        <v>795</v>
      </c>
      <c r="B796">
        <v>308</v>
      </c>
      <c r="C796">
        <v>416</v>
      </c>
      <c r="D796">
        <v>4</v>
      </c>
      <c r="E796">
        <v>1664</v>
      </c>
      <c r="F796" s="23">
        <v>45217</v>
      </c>
      <c r="G796" t="s">
        <v>14</v>
      </c>
      <c r="H796">
        <v>360</v>
      </c>
      <c r="I796" t="str">
        <f>VLOOKUP(Продажи[[#This Row],[id товара]],Товары[#All],2,FALSE)</f>
        <v>Конфеты</v>
      </c>
      <c r="J796" s="19">
        <f>AVERAGEIF(Продажи[Категория товара],Продажи[[#This Row],[Категория товара]],Продажи[цена за шт в рублях])</f>
        <v>267.85483870967744</v>
      </c>
      <c r="K796" s="20">
        <f>Продажи[[#This Row],[цена за шт в рублях]]/Продажи[[#This Row],[Средняя цена в категории за шт]]-1</f>
        <v>0.55308002649485144</v>
      </c>
      <c r="L796" t="str">
        <f>VLOOKUP(Продажи[[#This Row],[id товара]],Товары[#All],3,FALSE)</f>
        <v>Бабаевский</v>
      </c>
      <c r="M7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796" s="23">
        <f>VLOOKUP(Продажи[[#This Row],[id клиента]],Таблица4[#All],5,FALSE)</f>
        <v>44728</v>
      </c>
      <c r="O796">
        <f>Продажи[[#This Row],[дата создания чека]]-Продажи[[#This Row],[Дата регистрации клиентов]]</f>
        <v>489</v>
      </c>
      <c r="P796" t="str">
        <f>VLOOKUP(Продажи[[#This Row],[id клиента]],Таблица4[#All],7,FALSE)</f>
        <v>Беларусь</v>
      </c>
    </row>
    <row r="797" spans="1:16" x14ac:dyDescent="0.25">
      <c r="A797">
        <v>796</v>
      </c>
      <c r="B797">
        <v>146</v>
      </c>
      <c r="C797">
        <v>387</v>
      </c>
      <c r="D797">
        <v>4</v>
      </c>
      <c r="E797">
        <v>1548</v>
      </c>
      <c r="F797" s="23">
        <v>45027</v>
      </c>
      <c r="G797" t="s">
        <v>10</v>
      </c>
      <c r="H797">
        <v>368</v>
      </c>
      <c r="I797" t="str">
        <f>VLOOKUP(Продажи[[#This Row],[id товара]],Товары[#All],2,FALSE)</f>
        <v>Сок</v>
      </c>
      <c r="J797" s="19">
        <f>AVERAGEIF(Продажи[Категория товара],Продажи[[#This Row],[Категория товара]],Продажи[цена за шт в рублях])</f>
        <v>268.60344827586209</v>
      </c>
      <c r="K797" s="20">
        <f>Продажи[[#This Row],[цена за шт в рублях]]/Продажи[[#This Row],[Средняя цена в категории за шт]]-1</f>
        <v>0.44078567302137484</v>
      </c>
      <c r="L797" t="str">
        <f>VLOOKUP(Продажи[[#This Row],[id товара]],Товары[#All],3,FALSE)</f>
        <v>Добрый</v>
      </c>
      <c r="M7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797" s="23">
        <f>VLOOKUP(Продажи[[#This Row],[id клиента]],Таблица4[#All],5,FALSE)</f>
        <v>44872</v>
      </c>
      <c r="O797">
        <f>Продажи[[#This Row],[дата создания чека]]-Продажи[[#This Row],[Дата регистрации клиентов]]</f>
        <v>155</v>
      </c>
      <c r="P797" t="str">
        <f>VLOOKUP(Продажи[[#This Row],[id клиента]],Таблица4[#All],7,FALSE)</f>
        <v>Узбекистан</v>
      </c>
    </row>
    <row r="798" spans="1:16" x14ac:dyDescent="0.25">
      <c r="A798">
        <v>797</v>
      </c>
      <c r="B798">
        <v>77</v>
      </c>
      <c r="C798">
        <v>151</v>
      </c>
      <c r="D798">
        <v>2</v>
      </c>
      <c r="E798">
        <v>302</v>
      </c>
      <c r="F798" s="23">
        <v>45067</v>
      </c>
      <c r="G798" t="s">
        <v>27</v>
      </c>
      <c r="H798">
        <v>481</v>
      </c>
      <c r="I798" t="str">
        <f>VLOOKUP(Продажи[[#This Row],[id товара]],Товары[#All],2,FALSE)</f>
        <v>Макароны</v>
      </c>
      <c r="J798" s="19">
        <f>AVERAGEIF(Продажи[Категория товара],Продажи[[#This Row],[Категория товара]],Продажи[цена за шт в рублях])</f>
        <v>265.47674418604652</v>
      </c>
      <c r="K798" s="20">
        <f>Продажи[[#This Row],[цена за шт в рублях]]/Продажи[[#This Row],[Средняя цена в категории за шт]]-1</f>
        <v>-0.43121194866628709</v>
      </c>
      <c r="L798" t="str">
        <f>VLOOKUP(Продажи[[#This Row],[id товара]],Товары[#All],3,FALSE)</f>
        <v>Паста Зара</v>
      </c>
      <c r="M7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798" s="23">
        <f>VLOOKUP(Продажи[[#This Row],[id клиента]],Таблица4[#All],5,FALSE)</f>
        <v>44756</v>
      </c>
      <c r="O798">
        <f>Продажи[[#This Row],[дата создания чека]]-Продажи[[#This Row],[Дата регистрации клиентов]]</f>
        <v>311</v>
      </c>
      <c r="P798" t="str">
        <f>VLOOKUP(Продажи[[#This Row],[id клиента]],Таблица4[#All],7,FALSE)</f>
        <v>Беларусь</v>
      </c>
    </row>
    <row r="799" spans="1:16" x14ac:dyDescent="0.25">
      <c r="A799">
        <v>798</v>
      </c>
      <c r="B799">
        <v>407</v>
      </c>
      <c r="C799">
        <v>157</v>
      </c>
      <c r="D799">
        <v>3</v>
      </c>
      <c r="E799">
        <v>471</v>
      </c>
      <c r="F799" s="23">
        <v>45275</v>
      </c>
      <c r="G799" t="s">
        <v>9</v>
      </c>
      <c r="H799">
        <v>354</v>
      </c>
      <c r="I799" t="str">
        <f>VLOOKUP(Продажи[[#This Row],[id товара]],Товары[#All],2,FALSE)</f>
        <v>Конфеты</v>
      </c>
      <c r="J799" s="19">
        <f>AVERAGEIF(Продажи[Категория товара],Продажи[[#This Row],[Категория товара]],Продажи[цена за шт в рублях])</f>
        <v>267.85483870967744</v>
      </c>
      <c r="K799" s="20">
        <f>Продажи[[#This Row],[цена за шт в рублях]]/Продажи[[#This Row],[Средняя цена в категории за шт]]-1</f>
        <v>-0.41386162461612575</v>
      </c>
      <c r="L799" t="str">
        <f>VLOOKUP(Продажи[[#This Row],[id товара]],Товары[#All],3,FALSE)</f>
        <v>Славянка</v>
      </c>
      <c r="M7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799" s="23">
        <f>VLOOKUP(Продажи[[#This Row],[id клиента]],Таблица4[#All],5,FALSE)</f>
        <v>44811</v>
      </c>
      <c r="O799">
        <f>Продажи[[#This Row],[дата создания чека]]-Продажи[[#This Row],[Дата регистрации клиентов]]</f>
        <v>464</v>
      </c>
      <c r="P799" t="str">
        <f>VLOOKUP(Продажи[[#This Row],[id клиента]],Таблица4[#All],7,FALSE)</f>
        <v>Узбекистан</v>
      </c>
    </row>
    <row r="800" spans="1:16" x14ac:dyDescent="0.25">
      <c r="A800">
        <v>799</v>
      </c>
      <c r="B800">
        <v>357</v>
      </c>
      <c r="C800">
        <v>55</v>
      </c>
      <c r="D800">
        <v>5</v>
      </c>
      <c r="E800">
        <v>275</v>
      </c>
      <c r="F800" s="23">
        <v>45302</v>
      </c>
      <c r="G800" t="s">
        <v>24</v>
      </c>
      <c r="H800">
        <v>8</v>
      </c>
      <c r="I800" t="str">
        <f>VLOOKUP(Продажи[[#This Row],[id товара]],Товары[#All],2,FALSE)</f>
        <v>Мясо</v>
      </c>
      <c r="J800" s="19">
        <f>AVERAGEIF(Продажи[Категория товара],Продажи[[#This Row],[Категория товара]],Продажи[цена за шт в рублях])</f>
        <v>271.74545454545455</v>
      </c>
      <c r="K800" s="20">
        <f>Продажи[[#This Row],[цена за шт в рублях]]/Продажи[[#This Row],[Средняя цена в категории за шт]]-1</f>
        <v>-0.79760471029037872</v>
      </c>
      <c r="L800" t="str">
        <f>VLOOKUP(Продажи[[#This Row],[id товара]],Товары[#All],3,FALSE)</f>
        <v>Снежана</v>
      </c>
      <c r="M8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800" s="23">
        <f>VLOOKUP(Продажи[[#This Row],[id клиента]],Таблица4[#All],5,FALSE)</f>
        <v>44883</v>
      </c>
      <c r="O800">
        <f>Продажи[[#This Row],[дата создания чека]]-Продажи[[#This Row],[Дата регистрации клиентов]]</f>
        <v>419</v>
      </c>
      <c r="P800" t="str">
        <f>VLOOKUP(Продажи[[#This Row],[id клиента]],Таблица4[#All],7,FALSE)</f>
        <v>Беларусь</v>
      </c>
    </row>
    <row r="801" spans="1:16" x14ac:dyDescent="0.25">
      <c r="A801">
        <v>800</v>
      </c>
      <c r="B801">
        <v>409</v>
      </c>
      <c r="C801">
        <v>235</v>
      </c>
      <c r="D801">
        <v>5</v>
      </c>
      <c r="E801">
        <v>1175</v>
      </c>
      <c r="F801" s="23">
        <v>44960</v>
      </c>
      <c r="G801" t="s">
        <v>16</v>
      </c>
      <c r="H801">
        <v>1</v>
      </c>
      <c r="I801" t="str">
        <f>VLOOKUP(Продажи[[#This Row],[id товара]],Товары[#All],2,FALSE)</f>
        <v>Фрукты</v>
      </c>
      <c r="J801" s="19">
        <f>AVERAGEIF(Продажи[Категория товара],Продажи[[#This Row],[Категория товара]],Продажи[цена за шт в рублях])</f>
        <v>274.16279069767444</v>
      </c>
      <c r="K801" s="20">
        <f>Продажи[[#This Row],[цена за шт в рублях]]/Продажи[[#This Row],[Средняя цена в категории за шт]]-1</f>
        <v>-0.14284502502332685</v>
      </c>
      <c r="L801" t="str">
        <f>VLOOKUP(Продажи[[#This Row],[id товара]],Товары[#All],3,FALSE)</f>
        <v>Фруктовый Рай</v>
      </c>
      <c r="M8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801" s="23">
        <f>VLOOKUP(Продажи[[#This Row],[id клиента]],Таблица4[#All],5,FALSE)</f>
        <v>44585</v>
      </c>
      <c r="O801">
        <f>Продажи[[#This Row],[дата создания чека]]-Продажи[[#This Row],[Дата регистрации клиентов]]</f>
        <v>375</v>
      </c>
      <c r="P801" t="str">
        <f>VLOOKUP(Продажи[[#This Row],[id клиента]],Таблица4[#All],7,FALSE)</f>
        <v>Россия</v>
      </c>
    </row>
    <row r="802" spans="1:16" x14ac:dyDescent="0.25">
      <c r="A802">
        <v>801</v>
      </c>
      <c r="B802">
        <v>148</v>
      </c>
      <c r="C802">
        <v>474</v>
      </c>
      <c r="D802">
        <v>4</v>
      </c>
      <c r="E802">
        <v>1896</v>
      </c>
      <c r="F802" s="23">
        <v>45074</v>
      </c>
      <c r="G802" t="s">
        <v>19</v>
      </c>
      <c r="H802">
        <v>333</v>
      </c>
      <c r="I802" t="str">
        <f>VLOOKUP(Продажи[[#This Row],[id товара]],Товары[#All],2,FALSE)</f>
        <v>Сок</v>
      </c>
      <c r="J802" s="19">
        <f>AVERAGEIF(Продажи[Категория товара],Продажи[[#This Row],[Категория товара]],Продажи[цена за шт в рублях])</f>
        <v>268.60344827586209</v>
      </c>
      <c r="K802" s="20">
        <f>Продажи[[#This Row],[цена за шт в рублях]]/Продажи[[#This Row],[Средняя цена в категории за шт]]-1</f>
        <v>0.76468322742152872</v>
      </c>
      <c r="L802" t="str">
        <f>VLOOKUP(Продажи[[#This Row],[id товара]],Товары[#All],3,FALSE)</f>
        <v>Фруктовый сад</v>
      </c>
      <c r="M8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02" s="23">
        <f>VLOOKUP(Продажи[[#This Row],[id клиента]],Таблица4[#All],5,FALSE)</f>
        <v>44857</v>
      </c>
      <c r="O802">
        <f>Продажи[[#This Row],[дата создания чека]]-Продажи[[#This Row],[Дата регистрации клиентов]]</f>
        <v>217</v>
      </c>
      <c r="P802" t="str">
        <f>VLOOKUP(Продажи[[#This Row],[id клиента]],Таблица4[#All],7,FALSE)</f>
        <v>Россия</v>
      </c>
    </row>
    <row r="803" spans="1:16" x14ac:dyDescent="0.25">
      <c r="A803">
        <v>802</v>
      </c>
      <c r="B803">
        <v>63</v>
      </c>
      <c r="C803">
        <v>479</v>
      </c>
      <c r="D803">
        <v>4</v>
      </c>
      <c r="E803">
        <v>1916</v>
      </c>
      <c r="F803" s="23">
        <v>45235</v>
      </c>
      <c r="G803" t="s">
        <v>11</v>
      </c>
      <c r="H803">
        <v>396</v>
      </c>
      <c r="I803" t="str">
        <f>VLOOKUP(Продажи[[#This Row],[id товара]],Товары[#All],2,FALSE)</f>
        <v>Рыба</v>
      </c>
      <c r="J803" s="19">
        <f>AVERAGEIF(Продажи[Категория товара],Продажи[[#This Row],[Категория товара]],Продажи[цена за шт в рублях])</f>
        <v>258.5128205128205</v>
      </c>
      <c r="K803" s="20">
        <f>Продажи[[#This Row],[цена за шт в рублях]]/Продажи[[#This Row],[Средняя цена в категории за шт]]-1</f>
        <v>0.85290616941083131</v>
      </c>
      <c r="L803" t="str">
        <f>VLOOKUP(Продажи[[#This Row],[id товара]],Товары[#All],3,FALSE)</f>
        <v>Балтийский берег</v>
      </c>
      <c r="M8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289.88888888888891</v>
      </c>
      <c r="N803" s="23">
        <f>VLOOKUP(Продажи[[#This Row],[id клиента]],Таблица4[#All],5,FALSE)</f>
        <v>44871</v>
      </c>
      <c r="O803">
        <f>Продажи[[#This Row],[дата создания чека]]-Продажи[[#This Row],[Дата регистрации клиентов]]</f>
        <v>364</v>
      </c>
      <c r="P803" t="str">
        <f>VLOOKUP(Продажи[[#This Row],[id клиента]],Таблица4[#All],7,FALSE)</f>
        <v>Украина</v>
      </c>
    </row>
    <row r="804" spans="1:16" x14ac:dyDescent="0.25">
      <c r="A804">
        <v>803</v>
      </c>
      <c r="B804">
        <v>410</v>
      </c>
      <c r="C804">
        <v>320</v>
      </c>
      <c r="D804">
        <v>4</v>
      </c>
      <c r="E804">
        <v>1280</v>
      </c>
      <c r="F804" s="23">
        <v>45045</v>
      </c>
      <c r="G804" t="s">
        <v>16</v>
      </c>
      <c r="H804">
        <v>401</v>
      </c>
      <c r="I804" t="str">
        <f>VLOOKUP(Продажи[[#This Row],[id товара]],Товары[#All],2,FALSE)</f>
        <v>Чипсы</v>
      </c>
      <c r="J804" s="19">
        <f>AVERAGEIF(Продажи[Категория товара],Продажи[[#This Row],[Категория товара]],Продажи[цена за шт в рублях])</f>
        <v>273.72549019607845</v>
      </c>
      <c r="K804" s="20">
        <f>Продажи[[#This Row],[цена за шт в рублях]]/Продажи[[#This Row],[Средняя цена в категории за шт]]-1</f>
        <v>0.16905444126074487</v>
      </c>
      <c r="L804" t="str">
        <f>VLOOKUP(Продажи[[#This Row],[id товара]],Товары[#All],3,FALSE)</f>
        <v>Lay's</v>
      </c>
      <c r="M8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804" s="23">
        <f>VLOOKUP(Продажи[[#This Row],[id клиента]],Таблица4[#All],5,FALSE)</f>
        <v>44856</v>
      </c>
      <c r="O804">
        <f>Продажи[[#This Row],[дата создания чека]]-Продажи[[#This Row],[Дата регистрации клиентов]]</f>
        <v>189</v>
      </c>
      <c r="P804" t="str">
        <f>VLOOKUP(Продажи[[#This Row],[id клиента]],Таблица4[#All],7,FALSE)</f>
        <v>Россия</v>
      </c>
    </row>
    <row r="805" spans="1:16" x14ac:dyDescent="0.25">
      <c r="A805">
        <v>804</v>
      </c>
      <c r="B805">
        <v>223</v>
      </c>
      <c r="C805">
        <v>477</v>
      </c>
      <c r="D805">
        <v>4</v>
      </c>
      <c r="E805">
        <v>1908</v>
      </c>
      <c r="F805" s="23">
        <v>45064</v>
      </c>
      <c r="G805" t="s">
        <v>15</v>
      </c>
      <c r="H805">
        <v>121</v>
      </c>
      <c r="I805" t="str">
        <f>VLOOKUP(Продажи[[#This Row],[id товара]],Товары[#All],2,FALSE)</f>
        <v>Чай</v>
      </c>
      <c r="J805" s="19">
        <f>AVERAGEIF(Продажи[Категория товара],Продажи[[#This Row],[Категория товара]],Продажи[цена за шт в рублях])</f>
        <v>271.18181818181819</v>
      </c>
      <c r="K805" s="20">
        <f>Продажи[[#This Row],[цена за шт в рублях]]/Продажи[[#This Row],[Средняя цена в категории за шт]]-1</f>
        <v>0.75896748240026812</v>
      </c>
      <c r="L805" t="str">
        <f>VLOOKUP(Продажи[[#This Row],[id товара]],Товары[#All],3,FALSE)</f>
        <v>Greenfield</v>
      </c>
      <c r="M8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291.45454545454544</v>
      </c>
      <c r="N805" s="23">
        <f>VLOOKUP(Продажи[[#This Row],[id клиента]],Таблица4[#All],5,FALSE)</f>
        <v>44763</v>
      </c>
      <c r="O805">
        <f>Продажи[[#This Row],[дата создания чека]]-Продажи[[#This Row],[Дата регистрации клиентов]]</f>
        <v>301</v>
      </c>
      <c r="P805" t="str">
        <f>VLOOKUP(Продажи[[#This Row],[id клиента]],Таблица4[#All],7,FALSE)</f>
        <v>Россия</v>
      </c>
    </row>
    <row r="806" spans="1:16" x14ac:dyDescent="0.25">
      <c r="A806">
        <v>805</v>
      </c>
      <c r="B806">
        <v>35</v>
      </c>
      <c r="C806">
        <v>277</v>
      </c>
      <c r="D806">
        <v>4</v>
      </c>
      <c r="E806">
        <v>1108</v>
      </c>
      <c r="F806" s="23">
        <v>45422</v>
      </c>
      <c r="G806" t="s">
        <v>10</v>
      </c>
      <c r="H806">
        <v>108</v>
      </c>
      <c r="I806" t="str">
        <f>VLOOKUP(Продажи[[#This Row],[id товара]],Товары[#All],2,FALSE)</f>
        <v>Крупа</v>
      </c>
      <c r="J806" s="19">
        <f>AVERAGEIF(Продажи[Категория товара],Продажи[[#This Row],[Категория товара]],Продажи[цена за шт в рублях])</f>
        <v>255.11627906976744</v>
      </c>
      <c r="K806" s="20">
        <f>Продажи[[#This Row],[цена за шт в рублях]]/Продажи[[#This Row],[Средняя цена в категории за шт]]-1</f>
        <v>8.5779398359161263E-2</v>
      </c>
      <c r="L806" t="str">
        <f>VLOOKUP(Продажи[[#This Row],[id товара]],Товары[#All],3,FALSE)</f>
        <v>Мистраль</v>
      </c>
      <c r="M8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806" s="23">
        <f>VLOOKUP(Продажи[[#This Row],[id клиента]],Таблица4[#All],5,FALSE)</f>
        <v>44835</v>
      </c>
      <c r="O806">
        <f>Продажи[[#This Row],[дата создания чека]]-Продажи[[#This Row],[Дата регистрации клиентов]]</f>
        <v>587</v>
      </c>
      <c r="P806" t="str">
        <f>VLOOKUP(Продажи[[#This Row],[id клиента]],Таблица4[#All],7,FALSE)</f>
        <v>Узбекистан</v>
      </c>
    </row>
    <row r="807" spans="1:16" x14ac:dyDescent="0.25">
      <c r="A807">
        <v>806</v>
      </c>
      <c r="B807">
        <v>398</v>
      </c>
      <c r="C807">
        <v>127</v>
      </c>
      <c r="D807">
        <v>5</v>
      </c>
      <c r="E807">
        <v>635</v>
      </c>
      <c r="F807" s="23">
        <v>45253</v>
      </c>
      <c r="G807" t="s">
        <v>15</v>
      </c>
      <c r="H807">
        <v>191</v>
      </c>
      <c r="I807" t="str">
        <f>VLOOKUP(Продажи[[#This Row],[id товара]],Товары[#All],2,FALSE)</f>
        <v>Сок</v>
      </c>
      <c r="J807" s="19">
        <f>AVERAGEIF(Продажи[Категория товара],Продажи[[#This Row],[Категория товара]],Продажи[цена за шт в рублях])</f>
        <v>268.60344827586209</v>
      </c>
      <c r="K807" s="20">
        <f>Продажи[[#This Row],[цена за шт в рублях]]/Продажи[[#This Row],[Средняя цена в категории за шт]]-1</f>
        <v>-0.52718402978368317</v>
      </c>
      <c r="L807" t="str">
        <f>VLOOKUP(Продажи[[#This Row],[id товара]],Товары[#All],3,FALSE)</f>
        <v>Фруктовый сад</v>
      </c>
      <c r="M8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07" s="23">
        <f>VLOOKUP(Продажи[[#This Row],[id клиента]],Таблица4[#All],5,FALSE)</f>
        <v>44866</v>
      </c>
      <c r="O807">
        <f>Продажи[[#This Row],[дата создания чека]]-Продажи[[#This Row],[Дата регистрации клиентов]]</f>
        <v>387</v>
      </c>
      <c r="P807" t="str">
        <f>VLOOKUP(Продажи[[#This Row],[id клиента]],Таблица4[#All],7,FALSE)</f>
        <v>Украина</v>
      </c>
    </row>
    <row r="808" spans="1:16" x14ac:dyDescent="0.25">
      <c r="A808">
        <v>807</v>
      </c>
      <c r="B808">
        <v>132</v>
      </c>
      <c r="C808">
        <v>154</v>
      </c>
      <c r="D808">
        <v>3</v>
      </c>
      <c r="E808">
        <v>462</v>
      </c>
      <c r="F808" s="23">
        <v>45294</v>
      </c>
      <c r="G808" t="s">
        <v>19</v>
      </c>
      <c r="H808">
        <v>443</v>
      </c>
      <c r="I808" t="str">
        <f>VLOOKUP(Продажи[[#This Row],[id товара]],Товары[#All],2,FALSE)</f>
        <v>Рыба</v>
      </c>
      <c r="J808" s="19">
        <f>AVERAGEIF(Продажи[Категория товара],Продажи[[#This Row],[Категория товара]],Продажи[цена за шт в рублях])</f>
        <v>258.5128205128205</v>
      </c>
      <c r="K808" s="20">
        <f>Продажи[[#This Row],[цена за шт в рублях]]/Продажи[[#This Row],[Средняя цена в категории за шт]]-1</f>
        <v>-0.40428486411426301</v>
      </c>
      <c r="L808" t="str">
        <f>VLOOKUP(Продажи[[#This Row],[id товара]],Товары[#All],3,FALSE)</f>
        <v>Меридиан</v>
      </c>
      <c r="M8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808" s="23">
        <f>VLOOKUP(Продажи[[#This Row],[id клиента]],Таблица4[#All],5,FALSE)</f>
        <v>44649</v>
      </c>
      <c r="O808">
        <f>Продажи[[#This Row],[дата создания чека]]-Продажи[[#This Row],[Дата регистрации клиентов]]</f>
        <v>645</v>
      </c>
      <c r="P808" t="str">
        <f>VLOOKUP(Продажи[[#This Row],[id клиента]],Таблица4[#All],7,FALSE)</f>
        <v>Россия</v>
      </c>
    </row>
    <row r="809" spans="1:16" x14ac:dyDescent="0.25">
      <c r="A809">
        <v>808</v>
      </c>
      <c r="B809">
        <v>415</v>
      </c>
      <c r="C809">
        <v>84</v>
      </c>
      <c r="D809">
        <v>5</v>
      </c>
      <c r="E809">
        <v>420</v>
      </c>
      <c r="F809" s="23">
        <v>45156</v>
      </c>
      <c r="G809" t="s">
        <v>26</v>
      </c>
      <c r="H809">
        <v>191</v>
      </c>
      <c r="I809" t="str">
        <f>VLOOKUP(Продажи[[#This Row],[id товара]],Товары[#All],2,FALSE)</f>
        <v>Чипсы</v>
      </c>
      <c r="J809" s="19">
        <f>AVERAGEIF(Продажи[Категория товара],Продажи[[#This Row],[Категория товара]],Продажи[цена за шт в рублях])</f>
        <v>273.72549019607845</v>
      </c>
      <c r="K809" s="20">
        <f>Продажи[[#This Row],[цена за шт в рублях]]/Продажи[[#This Row],[Средняя цена в категории за шт]]-1</f>
        <v>-0.69312320916905446</v>
      </c>
      <c r="L809" t="str">
        <f>VLOOKUP(Продажи[[#This Row],[id товара]],Товары[#All],3,FALSE)</f>
        <v>Pringles</v>
      </c>
      <c r="M8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809" s="23">
        <f>VLOOKUP(Продажи[[#This Row],[id клиента]],Таблица4[#All],5,FALSE)</f>
        <v>44866</v>
      </c>
      <c r="O809">
        <f>Продажи[[#This Row],[дата создания чека]]-Продажи[[#This Row],[Дата регистрации клиентов]]</f>
        <v>290</v>
      </c>
      <c r="P809" t="str">
        <f>VLOOKUP(Продажи[[#This Row],[id клиента]],Таблица4[#All],7,FALSE)</f>
        <v>Украина</v>
      </c>
    </row>
    <row r="810" spans="1:16" x14ac:dyDescent="0.25">
      <c r="A810">
        <v>809</v>
      </c>
      <c r="B810">
        <v>384</v>
      </c>
      <c r="C810">
        <v>423</v>
      </c>
      <c r="D810">
        <v>5</v>
      </c>
      <c r="E810">
        <v>2115</v>
      </c>
      <c r="F810" s="23">
        <v>45346</v>
      </c>
      <c r="G810" t="s">
        <v>25</v>
      </c>
      <c r="H810">
        <v>249</v>
      </c>
      <c r="I810" t="str">
        <f>VLOOKUP(Продажи[[#This Row],[id товара]],Товары[#All],2,FALSE)</f>
        <v>Сахар</v>
      </c>
      <c r="J810" s="19">
        <f>AVERAGEIF(Продажи[Категория товара],Продажи[[#This Row],[Категория товара]],Продажи[цена за шт в рублях])</f>
        <v>252.76271186440678</v>
      </c>
      <c r="K810" s="20">
        <f>Продажи[[#This Row],[цена за шт в рублях]]/Продажи[[#This Row],[Средняя цена в категории за шт]]-1</f>
        <v>0.6735063367531684</v>
      </c>
      <c r="L810" t="str">
        <f>VLOOKUP(Продажи[[#This Row],[id товара]],Товары[#All],3,FALSE)</f>
        <v>Сладов</v>
      </c>
      <c r="M8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810" s="23">
        <f>VLOOKUP(Продажи[[#This Row],[id клиента]],Таблица4[#All],5,FALSE)</f>
        <v>44781</v>
      </c>
      <c r="O810">
        <f>Продажи[[#This Row],[дата создания чека]]-Продажи[[#This Row],[Дата регистрации клиентов]]</f>
        <v>565</v>
      </c>
      <c r="P810" t="str">
        <f>VLOOKUP(Продажи[[#This Row],[id клиента]],Таблица4[#All],7,FALSE)</f>
        <v>Россия</v>
      </c>
    </row>
    <row r="811" spans="1:16" x14ac:dyDescent="0.25">
      <c r="A811">
        <v>810</v>
      </c>
      <c r="B811">
        <v>311</v>
      </c>
      <c r="C811">
        <v>470</v>
      </c>
      <c r="D811">
        <v>2</v>
      </c>
      <c r="E811">
        <v>940</v>
      </c>
      <c r="F811" s="23">
        <v>45304</v>
      </c>
      <c r="G811" t="s">
        <v>19</v>
      </c>
      <c r="H811">
        <v>418</v>
      </c>
      <c r="I811" t="str">
        <f>VLOOKUP(Продажи[[#This Row],[id товара]],Товары[#All],2,FALSE)</f>
        <v>Макароны</v>
      </c>
      <c r="J811" s="19">
        <f>AVERAGEIF(Продажи[Категория товара],Продажи[[#This Row],[Категория товара]],Продажи[цена за шт в рублях])</f>
        <v>265.47674418604652</v>
      </c>
      <c r="K811" s="20">
        <f>Продажи[[#This Row],[цена за шт в рублях]]/Продажи[[#This Row],[Средняя цена в категории за шт]]-1</f>
        <v>0.77039989487976879</v>
      </c>
      <c r="L811" t="str">
        <f>VLOOKUP(Продажи[[#This Row],[id товара]],Товары[#All],3,FALSE)</f>
        <v>Паста Зара</v>
      </c>
      <c r="M8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811" s="23">
        <f>VLOOKUP(Продажи[[#This Row],[id клиента]],Таблица4[#All],5,FALSE)</f>
        <v>44700</v>
      </c>
      <c r="O811">
        <f>Продажи[[#This Row],[дата создания чека]]-Продажи[[#This Row],[Дата регистрации клиентов]]</f>
        <v>604</v>
      </c>
      <c r="P811" t="str">
        <f>VLOOKUP(Продажи[[#This Row],[id клиента]],Таблица4[#All],7,FALSE)</f>
        <v>Беларусь</v>
      </c>
    </row>
    <row r="812" spans="1:16" x14ac:dyDescent="0.25">
      <c r="A812">
        <v>811</v>
      </c>
      <c r="B812">
        <v>328</v>
      </c>
      <c r="C812">
        <v>59</v>
      </c>
      <c r="D812">
        <v>1</v>
      </c>
      <c r="E812">
        <v>59</v>
      </c>
      <c r="F812" s="23">
        <v>44991</v>
      </c>
      <c r="G812" t="s">
        <v>22</v>
      </c>
      <c r="H812">
        <v>126</v>
      </c>
      <c r="I812" t="str">
        <f>VLOOKUP(Продажи[[#This Row],[id товара]],Товары[#All],2,FALSE)</f>
        <v>Чипсы</v>
      </c>
      <c r="J812" s="19">
        <f>AVERAGEIF(Продажи[Категория товара],Продажи[[#This Row],[Категория товара]],Продажи[цена за шт в рублях])</f>
        <v>273.72549019607845</v>
      </c>
      <c r="K812" s="20">
        <f>Продажи[[#This Row],[цена за шт в рублях]]/Продажи[[#This Row],[Средняя цена в категории за шт]]-1</f>
        <v>-0.78445558739255017</v>
      </c>
      <c r="L812" t="str">
        <f>VLOOKUP(Продажи[[#This Row],[id товара]],Товары[#All],3,FALSE)</f>
        <v>Русская картошка</v>
      </c>
      <c r="M8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812" s="23">
        <f>VLOOKUP(Продажи[[#This Row],[id клиента]],Таблица4[#All],5,FALSE)</f>
        <v>44822</v>
      </c>
      <c r="O812">
        <f>Продажи[[#This Row],[дата создания чека]]-Продажи[[#This Row],[Дата регистрации клиентов]]</f>
        <v>169</v>
      </c>
      <c r="P812" t="str">
        <f>VLOOKUP(Продажи[[#This Row],[id клиента]],Таблица4[#All],7,FALSE)</f>
        <v>Узбекистан</v>
      </c>
    </row>
    <row r="813" spans="1:16" x14ac:dyDescent="0.25">
      <c r="A813">
        <v>812</v>
      </c>
      <c r="B813">
        <v>74</v>
      </c>
      <c r="C813">
        <v>332</v>
      </c>
      <c r="D813">
        <v>3</v>
      </c>
      <c r="E813">
        <v>996</v>
      </c>
      <c r="F813" s="23">
        <v>45000</v>
      </c>
      <c r="G813" t="s">
        <v>24</v>
      </c>
      <c r="H813">
        <v>497</v>
      </c>
      <c r="I813" t="str">
        <f>VLOOKUP(Продажи[[#This Row],[id товара]],Товары[#All],2,FALSE)</f>
        <v>Колбаса</v>
      </c>
      <c r="J813" s="19">
        <f>AVERAGEIF(Продажи[Категория товара],Продажи[[#This Row],[Категория товара]],Продажи[цена за шт в рублях])</f>
        <v>286.92307692307691</v>
      </c>
      <c r="K813" s="20">
        <f>Продажи[[#This Row],[цена за шт в рублях]]/Продажи[[#This Row],[Средняя цена в категории за шт]]-1</f>
        <v>0.15710455764075082</v>
      </c>
      <c r="L813" t="str">
        <f>VLOOKUP(Продажи[[#This Row],[id товара]],Товары[#All],3,FALSE)</f>
        <v>Черкизово</v>
      </c>
      <c r="M8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320.25</v>
      </c>
      <c r="N813" s="23">
        <f>VLOOKUP(Продажи[[#This Row],[id клиента]],Таблица4[#All],5,FALSE)</f>
        <v>44826</v>
      </c>
      <c r="O813">
        <f>Продажи[[#This Row],[дата создания чека]]-Продажи[[#This Row],[Дата регистрации клиентов]]</f>
        <v>174</v>
      </c>
      <c r="P813" t="str">
        <f>VLOOKUP(Продажи[[#This Row],[id клиента]],Таблица4[#All],7,FALSE)</f>
        <v>Узбекистан</v>
      </c>
    </row>
    <row r="814" spans="1:16" x14ac:dyDescent="0.25">
      <c r="A814">
        <v>813</v>
      </c>
      <c r="B814">
        <v>152</v>
      </c>
      <c r="C814">
        <v>94</v>
      </c>
      <c r="D814">
        <v>5</v>
      </c>
      <c r="E814">
        <v>470</v>
      </c>
      <c r="F814" s="23">
        <v>44942</v>
      </c>
      <c r="G814" t="s">
        <v>24</v>
      </c>
      <c r="H814">
        <v>332</v>
      </c>
      <c r="I814" t="str">
        <f>VLOOKUP(Продажи[[#This Row],[id товара]],Товары[#All],2,FALSE)</f>
        <v>Печенье</v>
      </c>
      <c r="J814" s="19">
        <f>AVERAGEIF(Продажи[Категория товара],Продажи[[#This Row],[Категория товара]],Продажи[цена за шт в рублях])</f>
        <v>283.468085106383</v>
      </c>
      <c r="K814" s="20">
        <f>Продажи[[#This Row],[цена за шт в рублях]]/Продажи[[#This Row],[Средняя цена в категории за шт]]-1</f>
        <v>-0.66839300457854844</v>
      </c>
      <c r="L814" t="str">
        <f>VLOOKUP(Продажи[[#This Row],[id товара]],Товары[#All],3,FALSE)</f>
        <v>Белогорье</v>
      </c>
      <c r="M8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814" s="23">
        <f>VLOOKUP(Продажи[[#This Row],[id клиента]],Таблица4[#All],5,FALSE)</f>
        <v>44858</v>
      </c>
      <c r="O814">
        <f>Продажи[[#This Row],[дата создания чека]]-Продажи[[#This Row],[Дата регистрации клиентов]]</f>
        <v>84</v>
      </c>
      <c r="P814" t="str">
        <f>VLOOKUP(Продажи[[#This Row],[id клиента]],Таблица4[#All],7,FALSE)</f>
        <v>Узбекистан</v>
      </c>
    </row>
    <row r="815" spans="1:16" x14ac:dyDescent="0.25">
      <c r="A815">
        <v>814</v>
      </c>
      <c r="B815">
        <v>319</v>
      </c>
      <c r="C815">
        <v>148</v>
      </c>
      <c r="D815">
        <v>1</v>
      </c>
      <c r="E815">
        <v>148</v>
      </c>
      <c r="F815" s="23">
        <v>45143</v>
      </c>
      <c r="G815" t="s">
        <v>14</v>
      </c>
      <c r="H815">
        <v>445</v>
      </c>
      <c r="I815" t="str">
        <f>VLOOKUP(Продажи[[#This Row],[id товара]],Товары[#All],2,FALSE)</f>
        <v>Йогурт</v>
      </c>
      <c r="J815" s="19">
        <f>AVERAGEIF(Продажи[Категория товара],Продажи[[#This Row],[Категория товара]],Продажи[цена за шт в рублях])</f>
        <v>263.25423728813558</v>
      </c>
      <c r="K815" s="20">
        <f>Продажи[[#This Row],[цена за шт в рублях]]/Продажи[[#This Row],[Средняя цена в категории за шт]]-1</f>
        <v>-0.43780582024208081</v>
      </c>
      <c r="L815" t="str">
        <f>VLOOKUP(Продажи[[#This Row],[id товара]],Товары[#All],3,FALSE)</f>
        <v>Эрманн</v>
      </c>
      <c r="M8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815" s="23">
        <f>VLOOKUP(Продажи[[#This Row],[id клиента]],Таблица4[#All],5,FALSE)</f>
        <v>44676</v>
      </c>
      <c r="O815">
        <f>Продажи[[#This Row],[дата создания чека]]-Продажи[[#This Row],[Дата регистрации клиентов]]</f>
        <v>467</v>
      </c>
      <c r="P815" t="str">
        <f>VLOOKUP(Продажи[[#This Row],[id клиента]],Таблица4[#All],7,FALSE)</f>
        <v>Россия</v>
      </c>
    </row>
    <row r="816" spans="1:16" x14ac:dyDescent="0.25">
      <c r="A816">
        <v>815</v>
      </c>
      <c r="B816">
        <v>19</v>
      </c>
      <c r="C816">
        <v>378</v>
      </c>
      <c r="D816">
        <v>2</v>
      </c>
      <c r="E816">
        <v>756</v>
      </c>
      <c r="F816" s="23">
        <v>45358</v>
      </c>
      <c r="G816" t="s">
        <v>23</v>
      </c>
      <c r="H816">
        <v>167</v>
      </c>
      <c r="I816" t="str">
        <f>VLOOKUP(Продажи[[#This Row],[id товара]],Товары[#All],2,FALSE)</f>
        <v>Мясо</v>
      </c>
      <c r="J816" s="19">
        <f>AVERAGEIF(Продажи[Категория товара],Продажи[[#This Row],[Категория товара]],Продажи[цена за шт в рублях])</f>
        <v>271.74545454545455</v>
      </c>
      <c r="K816" s="20">
        <f>Продажи[[#This Row],[цена за шт в рублях]]/Продажи[[#This Row],[Средняя цена в категории за шт]]-1</f>
        <v>0.39100762745885187</v>
      </c>
      <c r="L816" t="str">
        <f>VLOOKUP(Продажи[[#This Row],[id товара]],Товары[#All],3,FALSE)</f>
        <v>Снежана</v>
      </c>
      <c r="M8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816" s="23">
        <f>VLOOKUP(Продажи[[#This Row],[id клиента]],Таблица4[#All],5,FALSE)</f>
        <v>44563</v>
      </c>
      <c r="O816">
        <f>Продажи[[#This Row],[дата создания чека]]-Продажи[[#This Row],[Дата регистрации клиентов]]</f>
        <v>795</v>
      </c>
      <c r="P816" t="str">
        <f>VLOOKUP(Продажи[[#This Row],[id клиента]],Таблица4[#All],7,FALSE)</f>
        <v>Узбекистан</v>
      </c>
    </row>
    <row r="817" spans="1:16" x14ac:dyDescent="0.25">
      <c r="A817">
        <v>816</v>
      </c>
      <c r="B817">
        <v>242</v>
      </c>
      <c r="C817">
        <v>265</v>
      </c>
      <c r="D817">
        <v>4</v>
      </c>
      <c r="E817">
        <v>1060</v>
      </c>
      <c r="F817" s="23">
        <v>44931</v>
      </c>
      <c r="G817" t="s">
        <v>27</v>
      </c>
      <c r="H817">
        <v>415</v>
      </c>
      <c r="I817" t="str">
        <f>VLOOKUP(Продажи[[#This Row],[id товара]],Товары[#All],2,FALSE)</f>
        <v>Овощи</v>
      </c>
      <c r="J817" s="19">
        <f>AVERAGEIF(Продажи[Категория товара],Продажи[[#This Row],[Категория товара]],Продажи[цена за шт в рублях])</f>
        <v>250.48780487804879</v>
      </c>
      <c r="K817" s="20">
        <f>Продажи[[#This Row],[цена за шт в рублях]]/Продажи[[#This Row],[Средняя цена в категории за шт]]-1</f>
        <v>5.7935735150924872E-2</v>
      </c>
      <c r="L817" t="str">
        <f>VLOOKUP(Продажи[[#This Row],[id товара]],Товары[#All],3,FALSE)</f>
        <v>Овощной ряд</v>
      </c>
      <c r="M8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817" s="23">
        <f>VLOOKUP(Продажи[[#This Row],[id клиента]],Таблица4[#All],5,FALSE)</f>
        <v>44661</v>
      </c>
      <c r="O817">
        <f>Продажи[[#This Row],[дата создания чека]]-Продажи[[#This Row],[Дата регистрации клиентов]]</f>
        <v>270</v>
      </c>
      <c r="P817" t="str">
        <f>VLOOKUP(Продажи[[#This Row],[id клиента]],Таблица4[#All],7,FALSE)</f>
        <v>Украина</v>
      </c>
    </row>
    <row r="818" spans="1:16" x14ac:dyDescent="0.25">
      <c r="A818">
        <v>817</v>
      </c>
      <c r="B818">
        <v>354</v>
      </c>
      <c r="C818">
        <v>431</v>
      </c>
      <c r="D818">
        <v>1</v>
      </c>
      <c r="E818">
        <v>431</v>
      </c>
      <c r="F818" s="23">
        <v>45419</v>
      </c>
      <c r="G818" t="s">
        <v>20</v>
      </c>
      <c r="H818">
        <v>229</v>
      </c>
      <c r="I818" t="str">
        <f>VLOOKUP(Продажи[[#This Row],[id товара]],Товары[#All],2,FALSE)</f>
        <v>Чай</v>
      </c>
      <c r="J818" s="19">
        <f>AVERAGEIF(Продажи[Категория товара],Продажи[[#This Row],[Категория товара]],Продажи[цена за шт в рублях])</f>
        <v>271.18181818181819</v>
      </c>
      <c r="K818" s="20">
        <f>Продажи[[#This Row],[цена за шт в рублях]]/Продажи[[#This Row],[Средняя цена в категории за шт]]-1</f>
        <v>0.58933959101575595</v>
      </c>
      <c r="L818" t="str">
        <f>VLOOKUP(Продажи[[#This Row],[id товара]],Товары[#All],3,FALSE)</f>
        <v>Lipton</v>
      </c>
      <c r="M8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818" s="23">
        <f>VLOOKUP(Продажи[[#This Row],[id клиента]],Таблица4[#All],5,FALSE)</f>
        <v>44766</v>
      </c>
      <c r="O818">
        <f>Продажи[[#This Row],[дата создания чека]]-Продажи[[#This Row],[Дата регистрации клиентов]]</f>
        <v>653</v>
      </c>
      <c r="P818" t="str">
        <f>VLOOKUP(Продажи[[#This Row],[id клиента]],Таблица4[#All],7,FALSE)</f>
        <v>Беларусь</v>
      </c>
    </row>
    <row r="819" spans="1:16" x14ac:dyDescent="0.25">
      <c r="A819">
        <v>818</v>
      </c>
      <c r="B819">
        <v>354</v>
      </c>
      <c r="C819">
        <v>382</v>
      </c>
      <c r="D819">
        <v>4</v>
      </c>
      <c r="E819">
        <v>1528</v>
      </c>
      <c r="F819" s="23">
        <v>44939</v>
      </c>
      <c r="G819" t="s">
        <v>16</v>
      </c>
      <c r="H819">
        <v>119</v>
      </c>
      <c r="I819" t="str">
        <f>VLOOKUP(Продажи[[#This Row],[id товара]],Товары[#All],2,FALSE)</f>
        <v>Чай</v>
      </c>
      <c r="J819" s="19">
        <f>AVERAGEIF(Продажи[Категория товара],Продажи[[#This Row],[Категория товара]],Продажи[цена за шт в рублях])</f>
        <v>271.18181818181819</v>
      </c>
      <c r="K819" s="20">
        <f>Продажи[[#This Row],[цена за шт в рублях]]/Продажи[[#This Row],[Средняя цена в категории за шт]]-1</f>
        <v>0.40864901106268858</v>
      </c>
      <c r="L819" t="str">
        <f>VLOOKUP(Продажи[[#This Row],[id товара]],Товары[#All],3,FALSE)</f>
        <v>Lipton</v>
      </c>
      <c r="M8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819" s="23">
        <f>VLOOKUP(Продажи[[#This Row],[id клиента]],Таблица4[#All],5,FALSE)</f>
        <v>44690</v>
      </c>
      <c r="O819">
        <f>Продажи[[#This Row],[дата создания чека]]-Продажи[[#This Row],[Дата регистрации клиентов]]</f>
        <v>249</v>
      </c>
      <c r="P819" t="str">
        <f>VLOOKUP(Продажи[[#This Row],[id клиента]],Таблица4[#All],7,FALSE)</f>
        <v>Россия</v>
      </c>
    </row>
    <row r="820" spans="1:16" x14ac:dyDescent="0.25">
      <c r="A820">
        <v>819</v>
      </c>
      <c r="B820">
        <v>245</v>
      </c>
      <c r="C820">
        <v>281</v>
      </c>
      <c r="D820">
        <v>1</v>
      </c>
      <c r="E820">
        <v>281</v>
      </c>
      <c r="F820" s="23">
        <v>45036</v>
      </c>
      <c r="G820" t="s">
        <v>11</v>
      </c>
      <c r="H820">
        <v>341</v>
      </c>
      <c r="I820" t="str">
        <f>VLOOKUP(Продажи[[#This Row],[id товара]],Товары[#All],2,FALSE)</f>
        <v>Сахар</v>
      </c>
      <c r="J820" s="19">
        <f>AVERAGEIF(Продажи[Категория товара],Продажи[[#This Row],[Категория товара]],Продажи[цена за шт в рублях])</f>
        <v>252.76271186440678</v>
      </c>
      <c r="K820" s="20">
        <f>Продажи[[#This Row],[цена за шт в рублях]]/Продажи[[#This Row],[Средняя цена в категории за шт]]-1</f>
        <v>0.11171461141286132</v>
      </c>
      <c r="L820" t="str">
        <f>VLOOKUP(Продажи[[#This Row],[id товара]],Товары[#All],3,FALSE)</f>
        <v>Продимекс</v>
      </c>
      <c r="M8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20" s="23">
        <f>VLOOKUP(Продажи[[#This Row],[id клиента]],Таблица4[#All],5,FALSE)</f>
        <v>44724</v>
      </c>
      <c r="O820">
        <f>Продажи[[#This Row],[дата создания чека]]-Продажи[[#This Row],[Дата регистрации клиентов]]</f>
        <v>312</v>
      </c>
      <c r="P820" t="str">
        <f>VLOOKUP(Продажи[[#This Row],[id клиента]],Таблица4[#All],7,FALSE)</f>
        <v>Россия</v>
      </c>
    </row>
    <row r="821" spans="1:16" x14ac:dyDescent="0.25">
      <c r="A821">
        <v>820</v>
      </c>
      <c r="B821">
        <v>386</v>
      </c>
      <c r="C821">
        <v>149</v>
      </c>
      <c r="D821">
        <v>5</v>
      </c>
      <c r="E821">
        <v>745</v>
      </c>
      <c r="F821" s="23">
        <v>45103</v>
      </c>
      <c r="G821" t="s">
        <v>8</v>
      </c>
      <c r="H821">
        <v>407</v>
      </c>
      <c r="I821" t="str">
        <f>VLOOKUP(Продажи[[#This Row],[id товара]],Товары[#All],2,FALSE)</f>
        <v>Крупа</v>
      </c>
      <c r="J821" s="19">
        <f>AVERAGEIF(Продажи[Категория товара],Продажи[[#This Row],[Категория товара]],Продажи[цена за шт в рублях])</f>
        <v>255.11627906976744</v>
      </c>
      <c r="K821" s="20">
        <f>Продажи[[#This Row],[цена за шт в рублях]]/Продажи[[#This Row],[Средняя цена в категории за шт]]-1</f>
        <v>-0.41595259799453055</v>
      </c>
      <c r="L821" t="str">
        <f>VLOOKUP(Продажи[[#This Row],[id товара]],Товары[#All],3,FALSE)</f>
        <v>Увелка</v>
      </c>
      <c r="M8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821" s="23">
        <f>VLOOKUP(Продажи[[#This Row],[id клиента]],Таблица4[#All],5,FALSE)</f>
        <v>44621</v>
      </c>
      <c r="O821">
        <f>Продажи[[#This Row],[дата создания чека]]-Продажи[[#This Row],[Дата регистрации клиентов]]</f>
        <v>482</v>
      </c>
      <c r="P821" t="str">
        <f>VLOOKUP(Продажи[[#This Row],[id клиента]],Таблица4[#All],7,FALSE)</f>
        <v>Беларусь</v>
      </c>
    </row>
    <row r="822" spans="1:16" x14ac:dyDescent="0.25">
      <c r="A822">
        <v>821</v>
      </c>
      <c r="B822">
        <v>434</v>
      </c>
      <c r="C822">
        <v>257</v>
      </c>
      <c r="D822">
        <v>2</v>
      </c>
      <c r="E822">
        <v>514</v>
      </c>
      <c r="F822" s="23">
        <v>45128</v>
      </c>
      <c r="G822" t="s">
        <v>10</v>
      </c>
      <c r="H822">
        <v>264</v>
      </c>
      <c r="I822" t="str">
        <f>VLOOKUP(Продажи[[#This Row],[id товара]],Товары[#All],2,FALSE)</f>
        <v>Сыр</v>
      </c>
      <c r="J822" s="19">
        <f>AVERAGEIF(Продажи[Категория товара],Продажи[[#This Row],[Категория товара]],Продажи[цена за шт в рублях])</f>
        <v>262.63492063492066</v>
      </c>
      <c r="K822" s="20">
        <f>Продажи[[#This Row],[цена за шт в рублях]]/Продажи[[#This Row],[Средняя цена в категории за шт]]-1</f>
        <v>-2.1455336637253852E-2</v>
      </c>
      <c r="L822" t="str">
        <f>VLOOKUP(Продажи[[#This Row],[id товара]],Товары[#All],3,FALSE)</f>
        <v>Сырная долина</v>
      </c>
      <c r="M8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822" s="23">
        <f>VLOOKUP(Продажи[[#This Row],[id клиента]],Таблица4[#All],5,FALSE)</f>
        <v>44907</v>
      </c>
      <c r="O822">
        <f>Продажи[[#This Row],[дата создания чека]]-Продажи[[#This Row],[Дата регистрации клиентов]]</f>
        <v>221</v>
      </c>
      <c r="P822" t="str">
        <f>VLOOKUP(Продажи[[#This Row],[id клиента]],Таблица4[#All],7,FALSE)</f>
        <v>Беларусь</v>
      </c>
    </row>
    <row r="823" spans="1:16" x14ac:dyDescent="0.25">
      <c r="A823">
        <v>822</v>
      </c>
      <c r="B823">
        <v>402</v>
      </c>
      <c r="C823">
        <v>218</v>
      </c>
      <c r="D823">
        <v>1</v>
      </c>
      <c r="E823">
        <v>218</v>
      </c>
      <c r="F823" s="23">
        <v>45322</v>
      </c>
      <c r="G823" t="s">
        <v>14</v>
      </c>
      <c r="H823">
        <v>91</v>
      </c>
      <c r="I823" t="str">
        <f>VLOOKUP(Продажи[[#This Row],[id товара]],Товары[#All],2,FALSE)</f>
        <v>Хлеб</v>
      </c>
      <c r="J823" s="19">
        <f>AVERAGEIF(Продажи[Категория товара],Продажи[[#This Row],[Категория товара]],Продажи[цена за шт в рублях])</f>
        <v>300.31818181818181</v>
      </c>
      <c r="K823" s="20">
        <f>Продажи[[#This Row],[цена за шт в рублях]]/Продажи[[#This Row],[Средняя цена в категории за шт]]-1</f>
        <v>-0.27410322385348873</v>
      </c>
      <c r="L823" t="str">
        <f>VLOOKUP(Продажи[[#This Row],[id товара]],Товары[#All],3,FALSE)</f>
        <v>Каравай</v>
      </c>
      <c r="M8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823" s="23">
        <f>VLOOKUP(Продажи[[#This Row],[id клиента]],Таблица4[#All],5,FALSE)</f>
        <v>44687</v>
      </c>
      <c r="O823">
        <f>Продажи[[#This Row],[дата создания чека]]-Продажи[[#This Row],[Дата регистрации клиентов]]</f>
        <v>635</v>
      </c>
      <c r="P823" t="str">
        <f>VLOOKUP(Продажи[[#This Row],[id клиента]],Таблица4[#All],7,FALSE)</f>
        <v>Россия</v>
      </c>
    </row>
    <row r="824" spans="1:16" x14ac:dyDescent="0.25">
      <c r="A824">
        <v>823</v>
      </c>
      <c r="B824">
        <v>326</v>
      </c>
      <c r="C824">
        <v>198</v>
      </c>
      <c r="D824">
        <v>2</v>
      </c>
      <c r="E824">
        <v>396</v>
      </c>
      <c r="F824" s="23">
        <v>45396</v>
      </c>
      <c r="G824" t="s">
        <v>10</v>
      </c>
      <c r="H824">
        <v>362</v>
      </c>
      <c r="I824" t="str">
        <f>VLOOKUP(Продажи[[#This Row],[id товара]],Товары[#All],2,FALSE)</f>
        <v>Крупа</v>
      </c>
      <c r="J824" s="19">
        <f>AVERAGEIF(Продажи[Категория товара],Продажи[[#This Row],[Категория товара]],Продажи[цена за шт в рублях])</f>
        <v>255.11627906976744</v>
      </c>
      <c r="K824" s="20">
        <f>Продажи[[#This Row],[цена за шт в рублях]]/Продажи[[#This Row],[Средняя цена в категории за шт]]-1</f>
        <v>-0.22388331814038287</v>
      </c>
      <c r="L824" t="str">
        <f>VLOOKUP(Продажи[[#This Row],[id товара]],Товары[#All],3,FALSE)</f>
        <v>Увелка</v>
      </c>
      <c r="M8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824" s="23">
        <f>VLOOKUP(Продажи[[#This Row],[id клиента]],Таблица4[#All],5,FALSE)</f>
        <v>44916</v>
      </c>
      <c r="O824">
        <f>Продажи[[#This Row],[дата создания чека]]-Продажи[[#This Row],[Дата регистрации клиентов]]</f>
        <v>480</v>
      </c>
      <c r="P824" t="str">
        <f>VLOOKUP(Продажи[[#This Row],[id клиента]],Таблица4[#All],7,FALSE)</f>
        <v>Россия</v>
      </c>
    </row>
    <row r="825" spans="1:16" x14ac:dyDescent="0.25">
      <c r="A825">
        <v>824</v>
      </c>
      <c r="B825">
        <v>491</v>
      </c>
      <c r="C825">
        <v>111</v>
      </c>
      <c r="D825">
        <v>4</v>
      </c>
      <c r="E825">
        <v>444</v>
      </c>
      <c r="F825" s="23">
        <v>45145</v>
      </c>
      <c r="G825" t="s">
        <v>9</v>
      </c>
      <c r="H825">
        <v>473</v>
      </c>
      <c r="I825" t="str">
        <f>VLOOKUP(Продажи[[#This Row],[id товара]],Товары[#All],2,FALSE)</f>
        <v>Овощи</v>
      </c>
      <c r="J825" s="19">
        <f>AVERAGEIF(Продажи[Категория товара],Продажи[[#This Row],[Категория товара]],Продажи[цена за шт в рублях])</f>
        <v>250.48780487804879</v>
      </c>
      <c r="K825" s="20">
        <f>Продажи[[#This Row],[цена за шт в рублях]]/Продажи[[#This Row],[Средняя цена в категории за шт]]-1</f>
        <v>-0.5568646543330088</v>
      </c>
      <c r="L825" t="str">
        <f>VLOOKUP(Продажи[[#This Row],[id товара]],Товары[#All],3,FALSE)</f>
        <v>Зеленая грядка</v>
      </c>
      <c r="M8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159.19999999999999</v>
      </c>
      <c r="N825" s="23">
        <f>VLOOKUP(Продажи[[#This Row],[id клиента]],Таблица4[#All],5,FALSE)</f>
        <v>44799</v>
      </c>
      <c r="O825">
        <f>Продажи[[#This Row],[дата создания чека]]-Продажи[[#This Row],[Дата регистрации клиентов]]</f>
        <v>346</v>
      </c>
      <c r="P825" t="str">
        <f>VLOOKUP(Продажи[[#This Row],[id клиента]],Таблица4[#All],7,FALSE)</f>
        <v>Россия</v>
      </c>
    </row>
    <row r="826" spans="1:16" x14ac:dyDescent="0.25">
      <c r="A826">
        <v>825</v>
      </c>
      <c r="B826">
        <v>240</v>
      </c>
      <c r="C826">
        <v>306</v>
      </c>
      <c r="D826">
        <v>5</v>
      </c>
      <c r="E826">
        <v>1530</v>
      </c>
      <c r="F826" s="23">
        <v>45319</v>
      </c>
      <c r="G826" t="s">
        <v>27</v>
      </c>
      <c r="H826">
        <v>482</v>
      </c>
      <c r="I826" t="str">
        <f>VLOOKUP(Продажи[[#This Row],[id товара]],Товары[#All],2,FALSE)</f>
        <v>Макароны</v>
      </c>
      <c r="J826" s="19">
        <f>AVERAGEIF(Продажи[Категория товара],Продажи[[#This Row],[Категория товара]],Продажи[цена за шт в рублях])</f>
        <v>265.47674418604652</v>
      </c>
      <c r="K826" s="20">
        <f>Продажи[[#This Row],[цена за шт в рублях]]/Продажи[[#This Row],[Средняя цена в категории за шт]]-1</f>
        <v>0.15264333581533873</v>
      </c>
      <c r="L826" t="str">
        <f>VLOOKUP(Продажи[[#This Row],[id товара]],Товары[#All],3,FALSE)</f>
        <v>Борилла</v>
      </c>
      <c r="M8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826" s="23">
        <f>VLOOKUP(Продажи[[#This Row],[id клиента]],Таблица4[#All],5,FALSE)</f>
        <v>44679</v>
      </c>
      <c r="O826">
        <f>Продажи[[#This Row],[дата создания чека]]-Продажи[[#This Row],[Дата регистрации клиентов]]</f>
        <v>640</v>
      </c>
      <c r="P826" t="str">
        <f>VLOOKUP(Продажи[[#This Row],[id клиента]],Таблица4[#All],7,FALSE)</f>
        <v>Украина</v>
      </c>
    </row>
    <row r="827" spans="1:16" x14ac:dyDescent="0.25">
      <c r="A827">
        <v>826</v>
      </c>
      <c r="B827">
        <v>352</v>
      </c>
      <c r="C827">
        <v>391</v>
      </c>
      <c r="D827">
        <v>1</v>
      </c>
      <c r="E827">
        <v>391</v>
      </c>
      <c r="F827" s="23">
        <v>45099</v>
      </c>
      <c r="G827" t="s">
        <v>20</v>
      </c>
      <c r="H827">
        <v>367</v>
      </c>
      <c r="I827" t="str">
        <f>VLOOKUP(Продажи[[#This Row],[id товара]],Товары[#All],2,FALSE)</f>
        <v>Йогурт</v>
      </c>
      <c r="J827" s="19">
        <f>AVERAGEIF(Продажи[Категория товара],Продажи[[#This Row],[Категория товара]],Продажи[цена за шт в рублях])</f>
        <v>263.25423728813558</v>
      </c>
      <c r="K827" s="20">
        <f>Продажи[[#This Row],[цена за шт в рублях]]/Продажи[[#This Row],[Средняя цена в категории за шт]]-1</f>
        <v>0.48525624517125943</v>
      </c>
      <c r="L827" t="str">
        <f>VLOOKUP(Продажи[[#This Row],[id товара]],Товары[#All],3,FALSE)</f>
        <v>Эрманн</v>
      </c>
      <c r="M8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827" s="23">
        <f>VLOOKUP(Продажи[[#This Row],[id клиента]],Таблица4[#All],5,FALSE)</f>
        <v>44867</v>
      </c>
      <c r="O827">
        <f>Продажи[[#This Row],[дата создания чека]]-Продажи[[#This Row],[Дата регистрации клиентов]]</f>
        <v>232</v>
      </c>
      <c r="P827" t="str">
        <f>VLOOKUP(Продажи[[#This Row],[id клиента]],Таблица4[#All],7,FALSE)</f>
        <v>Таджикистан</v>
      </c>
    </row>
    <row r="828" spans="1:16" x14ac:dyDescent="0.25">
      <c r="A828">
        <v>827</v>
      </c>
      <c r="B828">
        <v>305</v>
      </c>
      <c r="C828">
        <v>252</v>
      </c>
      <c r="D828">
        <v>1</v>
      </c>
      <c r="E828">
        <v>252</v>
      </c>
      <c r="F828" s="23">
        <v>45413</v>
      </c>
      <c r="G828" t="s">
        <v>18</v>
      </c>
      <c r="H828">
        <v>172</v>
      </c>
      <c r="I828" t="str">
        <f>VLOOKUP(Продажи[[#This Row],[id товара]],Товары[#All],2,FALSE)</f>
        <v>Печенье</v>
      </c>
      <c r="J828" s="19">
        <f>AVERAGEIF(Продажи[Категория товара],Продажи[[#This Row],[Категория товара]],Продажи[цена за шт в рублях])</f>
        <v>283.468085106383</v>
      </c>
      <c r="K828" s="20">
        <f>Продажи[[#This Row],[цена за шт в рублях]]/Продажи[[#This Row],[Средняя цена в категории за шт]]-1</f>
        <v>-0.11101103355100206</v>
      </c>
      <c r="L828" t="str">
        <f>VLOOKUP(Продажи[[#This Row],[id товара]],Товары[#All],3,FALSE)</f>
        <v>Посиделкино</v>
      </c>
      <c r="M8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828" s="23">
        <f>VLOOKUP(Продажи[[#This Row],[id клиента]],Таблица4[#All],5,FALSE)</f>
        <v>44737</v>
      </c>
      <c r="O828">
        <f>Продажи[[#This Row],[дата создания чека]]-Продажи[[#This Row],[Дата регистрации клиентов]]</f>
        <v>676</v>
      </c>
      <c r="P828" t="str">
        <f>VLOOKUP(Продажи[[#This Row],[id клиента]],Таблица4[#All],7,FALSE)</f>
        <v>Россия</v>
      </c>
    </row>
    <row r="829" spans="1:16" x14ac:dyDescent="0.25">
      <c r="A829">
        <v>828</v>
      </c>
      <c r="B829">
        <v>269</v>
      </c>
      <c r="C829">
        <v>398</v>
      </c>
      <c r="D829">
        <v>4</v>
      </c>
      <c r="E829">
        <v>1592</v>
      </c>
      <c r="F829" s="23">
        <v>45051</v>
      </c>
      <c r="G829" t="s">
        <v>23</v>
      </c>
      <c r="H829">
        <v>466</v>
      </c>
      <c r="I829" t="str">
        <f>VLOOKUP(Продажи[[#This Row],[id товара]],Товары[#All],2,FALSE)</f>
        <v>Сахар</v>
      </c>
      <c r="J829" s="19">
        <f>AVERAGEIF(Продажи[Категория товара],Продажи[[#This Row],[Категория товара]],Продажи[цена за шт в рублях])</f>
        <v>252.76271186440678</v>
      </c>
      <c r="K829" s="20">
        <f>Продажи[[#This Row],[цена за шт в рублях]]/Продажи[[#This Row],[Средняя цена в категории за шт]]-1</f>
        <v>0.57459934285522696</v>
      </c>
      <c r="L829" t="str">
        <f>VLOOKUP(Продажи[[#This Row],[id товара]],Товары[#All],3,FALSE)</f>
        <v>Русский сахар</v>
      </c>
      <c r="M8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829" s="23">
        <f>VLOOKUP(Продажи[[#This Row],[id клиента]],Таблица4[#All],5,FALSE)</f>
        <v>44772</v>
      </c>
      <c r="O829">
        <f>Продажи[[#This Row],[дата создания чека]]-Продажи[[#This Row],[Дата регистрации клиентов]]</f>
        <v>279</v>
      </c>
      <c r="P829" t="str">
        <f>VLOOKUP(Продажи[[#This Row],[id клиента]],Таблица4[#All],7,FALSE)</f>
        <v>Беларусь</v>
      </c>
    </row>
    <row r="830" spans="1:16" x14ac:dyDescent="0.25">
      <c r="A830">
        <v>829</v>
      </c>
      <c r="B830">
        <v>380</v>
      </c>
      <c r="C830">
        <v>100</v>
      </c>
      <c r="D830">
        <v>2</v>
      </c>
      <c r="E830">
        <v>200</v>
      </c>
      <c r="F830" s="23">
        <v>45082</v>
      </c>
      <c r="G830" t="s">
        <v>17</v>
      </c>
      <c r="H830">
        <v>57</v>
      </c>
      <c r="I830" t="str">
        <f>VLOOKUP(Продажи[[#This Row],[id товара]],Товары[#All],2,FALSE)</f>
        <v>Конфеты</v>
      </c>
      <c r="J830" s="19">
        <f>AVERAGEIF(Продажи[Категория товара],Продажи[[#This Row],[Категория товара]],Продажи[цена за шт в рублях])</f>
        <v>267.85483870967744</v>
      </c>
      <c r="K830" s="20">
        <f>Продажи[[#This Row],[цена за шт в рублях]]/Продажи[[#This Row],[Средняя цена в категории за шт]]-1</f>
        <v>-0.62666345516950683</v>
      </c>
      <c r="L830" t="str">
        <f>VLOOKUP(Продажи[[#This Row],[id товара]],Товары[#All],3,FALSE)</f>
        <v>Бабаевский</v>
      </c>
      <c r="M8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830" s="23">
        <f>VLOOKUP(Продажи[[#This Row],[id клиента]],Таблица4[#All],5,FALSE)</f>
        <v>44669</v>
      </c>
      <c r="O830">
        <f>Продажи[[#This Row],[дата создания чека]]-Продажи[[#This Row],[Дата регистрации клиентов]]</f>
        <v>413</v>
      </c>
      <c r="P830" t="str">
        <f>VLOOKUP(Продажи[[#This Row],[id клиента]],Таблица4[#All],7,FALSE)</f>
        <v>Россия</v>
      </c>
    </row>
    <row r="831" spans="1:16" x14ac:dyDescent="0.25">
      <c r="A831">
        <v>830</v>
      </c>
      <c r="B831">
        <v>44</v>
      </c>
      <c r="C831">
        <v>310</v>
      </c>
      <c r="D831">
        <v>3</v>
      </c>
      <c r="E831">
        <v>930</v>
      </c>
      <c r="F831" s="23">
        <v>44971</v>
      </c>
      <c r="G831" t="s">
        <v>15</v>
      </c>
      <c r="H831">
        <v>48</v>
      </c>
      <c r="I831" t="str">
        <f>VLOOKUP(Продажи[[#This Row],[id товара]],Товары[#All],2,FALSE)</f>
        <v>Молоко</v>
      </c>
      <c r="J831" s="19">
        <f>AVERAGEIF(Продажи[Категория товара],Продажи[[#This Row],[Категория товара]],Продажи[цена за шт в рублях])</f>
        <v>294.95238095238096</v>
      </c>
      <c r="K831" s="20">
        <f>Продажи[[#This Row],[цена за шт в рублях]]/Продажи[[#This Row],[Средняя цена в категории за шт]]-1</f>
        <v>5.1017113335485975E-2</v>
      </c>
      <c r="L831" t="str">
        <f>VLOOKUP(Продажи[[#This Row],[id товара]],Товары[#All],3,FALSE)</f>
        <v>Беллакт</v>
      </c>
      <c r="M8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831" s="23">
        <f>VLOOKUP(Продажи[[#This Row],[id клиента]],Таблица4[#All],5,FALSE)</f>
        <v>44856</v>
      </c>
      <c r="O831">
        <f>Продажи[[#This Row],[дата создания чека]]-Продажи[[#This Row],[Дата регистрации клиентов]]</f>
        <v>115</v>
      </c>
      <c r="P831" t="str">
        <f>VLOOKUP(Продажи[[#This Row],[id клиента]],Таблица4[#All],7,FALSE)</f>
        <v>Узбекистан</v>
      </c>
    </row>
    <row r="832" spans="1:16" x14ac:dyDescent="0.25">
      <c r="A832">
        <v>831</v>
      </c>
      <c r="B832">
        <v>183</v>
      </c>
      <c r="C832">
        <v>286</v>
      </c>
      <c r="D832">
        <v>2</v>
      </c>
      <c r="E832">
        <v>572</v>
      </c>
      <c r="F832" s="23">
        <v>44983</v>
      </c>
      <c r="G832" t="s">
        <v>22</v>
      </c>
      <c r="H832">
        <v>11</v>
      </c>
      <c r="I832" t="str">
        <f>VLOOKUP(Продажи[[#This Row],[id товара]],Товары[#All],2,FALSE)</f>
        <v>Конфеты</v>
      </c>
      <c r="J832" s="19">
        <f>AVERAGEIF(Продажи[Категория товара],Продажи[[#This Row],[Категория товара]],Продажи[цена за шт в рублях])</f>
        <v>267.85483870967744</v>
      </c>
      <c r="K832" s="20">
        <f>Продажи[[#This Row],[цена за шт в рублях]]/Продажи[[#This Row],[Средняя цена в категории за шт]]-1</f>
        <v>6.774251821521049E-2</v>
      </c>
      <c r="L832" t="str">
        <f>VLOOKUP(Продажи[[#This Row],[id товара]],Товары[#All],3,FALSE)</f>
        <v>Бабаевский</v>
      </c>
      <c r="M8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832" s="23">
        <f>VLOOKUP(Продажи[[#This Row],[id клиента]],Таблица4[#All],5,FALSE)</f>
        <v>44690</v>
      </c>
      <c r="O832">
        <f>Продажи[[#This Row],[дата создания чека]]-Продажи[[#This Row],[Дата регистрации клиентов]]</f>
        <v>293</v>
      </c>
      <c r="P832" t="str">
        <f>VLOOKUP(Продажи[[#This Row],[id клиента]],Таблица4[#All],7,FALSE)</f>
        <v>Таджикистан</v>
      </c>
    </row>
    <row r="833" spans="1:16" x14ac:dyDescent="0.25">
      <c r="A833">
        <v>832</v>
      </c>
      <c r="B833">
        <v>65</v>
      </c>
      <c r="C833">
        <v>201</v>
      </c>
      <c r="D833">
        <v>2</v>
      </c>
      <c r="E833">
        <v>402</v>
      </c>
      <c r="F833" s="23">
        <v>45296</v>
      </c>
      <c r="G833" t="s">
        <v>9</v>
      </c>
      <c r="H833">
        <v>125</v>
      </c>
      <c r="I833" t="str">
        <f>VLOOKUP(Продажи[[#This Row],[id товара]],Товары[#All],2,FALSE)</f>
        <v>Хлеб</v>
      </c>
      <c r="J833" s="19">
        <f>AVERAGEIF(Продажи[Категория товара],Продажи[[#This Row],[Категория товара]],Продажи[цена за шт в рублях])</f>
        <v>300.31818181818181</v>
      </c>
      <c r="K833" s="20">
        <f>Продажи[[#This Row],[цена за шт в рублях]]/Продажи[[#This Row],[Средняя цена в категории за шт]]-1</f>
        <v>-0.33070985318601487</v>
      </c>
      <c r="L833" t="str">
        <f>VLOOKUP(Продажи[[#This Row],[id товара]],Товары[#All],3,FALSE)</f>
        <v>Хлебный Дом</v>
      </c>
      <c r="M8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833" s="23">
        <f>VLOOKUP(Продажи[[#This Row],[id клиента]],Таблица4[#All],5,FALSE)</f>
        <v>44701</v>
      </c>
      <c r="O833">
        <f>Продажи[[#This Row],[дата создания чека]]-Продажи[[#This Row],[Дата регистрации клиентов]]</f>
        <v>595</v>
      </c>
      <c r="P833" t="str">
        <f>VLOOKUP(Продажи[[#This Row],[id клиента]],Таблица4[#All],7,FALSE)</f>
        <v>Россия</v>
      </c>
    </row>
    <row r="834" spans="1:16" x14ac:dyDescent="0.25">
      <c r="A834">
        <v>833</v>
      </c>
      <c r="B834">
        <v>425</v>
      </c>
      <c r="C834">
        <v>258</v>
      </c>
      <c r="D834">
        <v>4</v>
      </c>
      <c r="E834">
        <v>1032</v>
      </c>
      <c r="F834" s="23">
        <v>45128</v>
      </c>
      <c r="G834" t="s">
        <v>23</v>
      </c>
      <c r="H834">
        <v>72</v>
      </c>
      <c r="I834" t="str">
        <f>VLOOKUP(Продажи[[#This Row],[id товара]],Товары[#All],2,FALSE)</f>
        <v>Соль</v>
      </c>
      <c r="J834" s="19">
        <f>AVERAGEIF(Продажи[Категория товара],Продажи[[#This Row],[Категория товара]],Продажи[цена за шт в рублях])</f>
        <v>264.8679245283019</v>
      </c>
      <c r="K834" s="20">
        <f>Продажи[[#This Row],[цена за шт в рублях]]/Продажи[[#This Row],[Средняя цена в категории за шт]]-1</f>
        <v>-2.5929619603932252E-2</v>
      </c>
      <c r="L834" t="str">
        <f>VLOOKUP(Продажи[[#This Row],[id товара]],Товары[#All],3,FALSE)</f>
        <v>Экстра</v>
      </c>
      <c r="M8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320.84615384615387</v>
      </c>
      <c r="N834" s="23">
        <f>VLOOKUP(Продажи[[#This Row],[id клиента]],Таблица4[#All],5,FALSE)</f>
        <v>44906</v>
      </c>
      <c r="O834">
        <f>Продажи[[#This Row],[дата создания чека]]-Продажи[[#This Row],[Дата регистрации клиентов]]</f>
        <v>222</v>
      </c>
      <c r="P834" t="str">
        <f>VLOOKUP(Продажи[[#This Row],[id клиента]],Таблица4[#All],7,FALSE)</f>
        <v>Таджикистан</v>
      </c>
    </row>
    <row r="835" spans="1:16" x14ac:dyDescent="0.25">
      <c r="A835">
        <v>834</v>
      </c>
      <c r="B835">
        <v>230</v>
      </c>
      <c r="C835">
        <v>179</v>
      </c>
      <c r="D835">
        <v>4</v>
      </c>
      <c r="E835">
        <v>716</v>
      </c>
      <c r="F835" s="23">
        <v>45395</v>
      </c>
      <c r="G835" t="s">
        <v>27</v>
      </c>
      <c r="H835">
        <v>68</v>
      </c>
      <c r="I835" t="str">
        <f>VLOOKUP(Продажи[[#This Row],[id товара]],Товары[#All],2,FALSE)</f>
        <v>Сок</v>
      </c>
      <c r="J835" s="19">
        <f>AVERAGEIF(Продажи[Категория товара],Продажи[[#This Row],[Категория товара]],Продажи[цена за шт в рублях])</f>
        <v>268.60344827586209</v>
      </c>
      <c r="K835" s="20">
        <f>Продажи[[#This Row],[цена за шт в рублях]]/Продажи[[#This Row],[Средняя цена в категории за шт]]-1</f>
        <v>-0.33359008922267164</v>
      </c>
      <c r="L835" t="str">
        <f>VLOOKUP(Продажи[[#This Row],[id товара]],Товары[#All],3,FALSE)</f>
        <v>Фруктовый сад</v>
      </c>
      <c r="M8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35" s="23">
        <f>VLOOKUP(Продажи[[#This Row],[id клиента]],Таблица4[#All],5,FALSE)</f>
        <v>44882</v>
      </c>
      <c r="O835">
        <f>Продажи[[#This Row],[дата создания чека]]-Продажи[[#This Row],[Дата регистрации клиентов]]</f>
        <v>513</v>
      </c>
      <c r="P835" t="str">
        <f>VLOOKUP(Продажи[[#This Row],[id клиента]],Таблица4[#All],7,FALSE)</f>
        <v>Узбекистан</v>
      </c>
    </row>
    <row r="836" spans="1:16" x14ac:dyDescent="0.25">
      <c r="A836">
        <v>835</v>
      </c>
      <c r="B836">
        <v>497</v>
      </c>
      <c r="C836">
        <v>113</v>
      </c>
      <c r="D836">
        <v>2</v>
      </c>
      <c r="E836">
        <v>226</v>
      </c>
      <c r="F836" s="23">
        <v>45243</v>
      </c>
      <c r="G836" t="s">
        <v>25</v>
      </c>
      <c r="H836">
        <v>219</v>
      </c>
      <c r="I836" t="str">
        <f>VLOOKUP(Продажи[[#This Row],[id товара]],Товары[#All],2,FALSE)</f>
        <v>Конфеты</v>
      </c>
      <c r="J836" s="19">
        <f>AVERAGEIF(Продажи[Категория товара],Продажи[[#This Row],[Категория товара]],Продажи[цена за шт в рублях])</f>
        <v>267.85483870967744</v>
      </c>
      <c r="K836" s="20">
        <f>Продажи[[#This Row],[цена за шт в рублях]]/Продажи[[#This Row],[Средняя цена в категории за шт]]-1</f>
        <v>-0.57812970434154276</v>
      </c>
      <c r="L836" t="str">
        <f>VLOOKUP(Продажи[[#This Row],[id товара]],Товары[#All],3,FALSE)</f>
        <v>Бабаевский</v>
      </c>
      <c r="M8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836" s="23">
        <f>VLOOKUP(Продажи[[#This Row],[id клиента]],Таблица4[#All],5,FALSE)</f>
        <v>44585</v>
      </c>
      <c r="O836">
        <f>Продажи[[#This Row],[дата создания чека]]-Продажи[[#This Row],[Дата регистрации клиентов]]</f>
        <v>658</v>
      </c>
      <c r="P836" t="str">
        <f>VLOOKUP(Продажи[[#This Row],[id клиента]],Таблица4[#All],7,FALSE)</f>
        <v>Таджикистан</v>
      </c>
    </row>
    <row r="837" spans="1:16" x14ac:dyDescent="0.25">
      <c r="A837">
        <v>836</v>
      </c>
      <c r="B837">
        <v>82</v>
      </c>
      <c r="C837">
        <v>73</v>
      </c>
      <c r="D837">
        <v>1</v>
      </c>
      <c r="E837">
        <v>73</v>
      </c>
      <c r="F837" s="23">
        <v>45159</v>
      </c>
      <c r="G837" t="s">
        <v>16</v>
      </c>
      <c r="H837">
        <v>218</v>
      </c>
      <c r="I837" t="str">
        <f>VLOOKUP(Продажи[[#This Row],[id товара]],Товары[#All],2,FALSE)</f>
        <v>Сыр</v>
      </c>
      <c r="J837" s="19">
        <f>AVERAGEIF(Продажи[Категория товара],Продажи[[#This Row],[Категория товара]],Продажи[цена за шт в рублях])</f>
        <v>262.63492063492066</v>
      </c>
      <c r="K837" s="20">
        <f>Продажи[[#This Row],[цена за шт в рублях]]/Продажи[[#This Row],[Средняя цена в категории за шт]]-1</f>
        <v>-0.72204762480357787</v>
      </c>
      <c r="L837" t="str">
        <f>VLOOKUP(Продажи[[#This Row],[id товара]],Товары[#All],3,FALSE)</f>
        <v>Hochland</v>
      </c>
      <c r="M8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168</v>
      </c>
      <c r="N837" s="23">
        <f>VLOOKUP(Продажи[[#This Row],[id клиента]],Таблица4[#All],5,FALSE)</f>
        <v>44721</v>
      </c>
      <c r="O837">
        <f>Продажи[[#This Row],[дата создания чека]]-Продажи[[#This Row],[Дата регистрации клиентов]]</f>
        <v>438</v>
      </c>
      <c r="P837" t="str">
        <f>VLOOKUP(Продажи[[#This Row],[id клиента]],Таблица4[#All],7,FALSE)</f>
        <v>Узбекистан</v>
      </c>
    </row>
    <row r="838" spans="1:16" x14ac:dyDescent="0.25">
      <c r="A838">
        <v>837</v>
      </c>
      <c r="B838">
        <v>104</v>
      </c>
      <c r="C838">
        <v>420</v>
      </c>
      <c r="D838">
        <v>2</v>
      </c>
      <c r="E838">
        <v>840</v>
      </c>
      <c r="F838" s="23">
        <v>45427</v>
      </c>
      <c r="G838" t="s">
        <v>10</v>
      </c>
      <c r="H838">
        <v>26</v>
      </c>
      <c r="I838" t="str">
        <f>VLOOKUP(Продажи[[#This Row],[id товара]],Товары[#All],2,FALSE)</f>
        <v>Йогурт</v>
      </c>
      <c r="J838" s="19">
        <f>AVERAGEIF(Продажи[Категория товара],Продажи[[#This Row],[Категория товара]],Продажи[цена за шт в рублях])</f>
        <v>263.25423728813558</v>
      </c>
      <c r="K838" s="20">
        <f>Продажи[[#This Row],[цена за шт в рублях]]/Продажи[[#This Row],[Средняя цена в категории за шт]]-1</f>
        <v>0.59541591552923001</v>
      </c>
      <c r="L838" t="str">
        <f>VLOOKUP(Продажи[[#This Row],[id товара]],Товары[#All],3,FALSE)</f>
        <v>Ростагроэкспорт</v>
      </c>
      <c r="M8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838" s="23">
        <f>VLOOKUP(Продажи[[#This Row],[id клиента]],Таблица4[#All],5,FALSE)</f>
        <v>44819</v>
      </c>
      <c r="O838">
        <f>Продажи[[#This Row],[дата создания чека]]-Продажи[[#This Row],[Дата регистрации клиентов]]</f>
        <v>608</v>
      </c>
      <c r="P838" t="str">
        <f>VLOOKUP(Продажи[[#This Row],[id клиента]],Таблица4[#All],7,FALSE)</f>
        <v>Таджикистан</v>
      </c>
    </row>
    <row r="839" spans="1:16" x14ac:dyDescent="0.25">
      <c r="A839">
        <v>838</v>
      </c>
      <c r="B839">
        <v>364</v>
      </c>
      <c r="C839">
        <v>496</v>
      </c>
      <c r="D839">
        <v>1</v>
      </c>
      <c r="E839">
        <v>496</v>
      </c>
      <c r="F839" s="23">
        <v>45060</v>
      </c>
      <c r="G839" t="s">
        <v>10</v>
      </c>
      <c r="H839">
        <v>417</v>
      </c>
      <c r="I839" t="str">
        <f>VLOOKUP(Продажи[[#This Row],[id товара]],Товары[#All],2,FALSE)</f>
        <v>Сахар</v>
      </c>
      <c r="J839" s="19">
        <f>AVERAGEIF(Продажи[Категория товара],Продажи[[#This Row],[Категория товара]],Продажи[цена за шт в рублях])</f>
        <v>252.76271186440678</v>
      </c>
      <c r="K839" s="20">
        <f>Продажи[[#This Row],[цена за шт в рублях]]/Продажи[[#This Row],[Средняя цена в категории за шт]]-1</f>
        <v>0.96231475893515728</v>
      </c>
      <c r="L839" t="str">
        <f>VLOOKUP(Продажи[[#This Row],[id товара]],Товары[#All],3,FALSE)</f>
        <v>Русский сахар</v>
      </c>
      <c r="M8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839" s="23">
        <f>VLOOKUP(Продажи[[#This Row],[id клиента]],Таблица4[#All],5,FALSE)</f>
        <v>44608</v>
      </c>
      <c r="O839">
        <f>Продажи[[#This Row],[дата создания чека]]-Продажи[[#This Row],[Дата регистрации клиентов]]</f>
        <v>452</v>
      </c>
      <c r="P839" t="str">
        <f>VLOOKUP(Продажи[[#This Row],[id клиента]],Таблица4[#All],7,FALSE)</f>
        <v>Таджикистан</v>
      </c>
    </row>
    <row r="840" spans="1:16" x14ac:dyDescent="0.25">
      <c r="A840">
        <v>839</v>
      </c>
      <c r="B840">
        <v>334</v>
      </c>
      <c r="C840">
        <v>223</v>
      </c>
      <c r="D840">
        <v>2</v>
      </c>
      <c r="E840">
        <v>446</v>
      </c>
      <c r="F840" s="23">
        <v>45234</v>
      </c>
      <c r="G840" t="s">
        <v>12</v>
      </c>
      <c r="H840">
        <v>216</v>
      </c>
      <c r="I840" t="str">
        <f>VLOOKUP(Продажи[[#This Row],[id товара]],Товары[#All],2,FALSE)</f>
        <v>Молоко</v>
      </c>
      <c r="J840" s="19">
        <f>AVERAGEIF(Продажи[Категория товара],Продажи[[#This Row],[Категория товара]],Продажи[цена за шт в рублях])</f>
        <v>294.95238095238096</v>
      </c>
      <c r="K840" s="20">
        <f>Продажи[[#This Row],[цена за шт в рублях]]/Продажи[[#This Row],[Средняя цена в категории за шт]]-1</f>
        <v>-0.24394575395544082</v>
      </c>
      <c r="L840" t="str">
        <f>VLOOKUP(Продажи[[#This Row],[id товара]],Товары[#All],3,FALSE)</f>
        <v>Домик в деревне</v>
      </c>
      <c r="M8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840" s="23">
        <f>VLOOKUP(Продажи[[#This Row],[id клиента]],Таблица4[#All],5,FALSE)</f>
        <v>44655</v>
      </c>
      <c r="O840">
        <f>Продажи[[#This Row],[дата создания чека]]-Продажи[[#This Row],[Дата регистрации клиентов]]</f>
        <v>579</v>
      </c>
      <c r="P840" t="str">
        <f>VLOOKUP(Продажи[[#This Row],[id клиента]],Таблица4[#All],7,FALSE)</f>
        <v>Таджикистан</v>
      </c>
    </row>
    <row r="841" spans="1:16" x14ac:dyDescent="0.25">
      <c r="A841">
        <v>840</v>
      </c>
      <c r="B841">
        <v>356</v>
      </c>
      <c r="C841">
        <v>97</v>
      </c>
      <c r="D841">
        <v>2</v>
      </c>
      <c r="E841">
        <v>194</v>
      </c>
      <c r="F841" s="23">
        <v>45032</v>
      </c>
      <c r="G841" t="s">
        <v>11</v>
      </c>
      <c r="H841">
        <v>491</v>
      </c>
      <c r="I841" t="str">
        <f>VLOOKUP(Продажи[[#This Row],[id товара]],Товары[#All],2,FALSE)</f>
        <v>Печенье</v>
      </c>
      <c r="J841" s="19">
        <f>AVERAGEIF(Продажи[Категория товара],Продажи[[#This Row],[Категория товара]],Продажи[цена за шт в рублях])</f>
        <v>283.468085106383</v>
      </c>
      <c r="K841" s="20">
        <f>Продажи[[#This Row],[цена за шт в рублях]]/Продажи[[#This Row],[Средняя цена в категории за шт]]-1</f>
        <v>-0.65780980259701272</v>
      </c>
      <c r="L841" t="str">
        <f>VLOOKUP(Продажи[[#This Row],[id товара]],Товары[#All],3,FALSE)</f>
        <v>Посиделкино</v>
      </c>
      <c r="M8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841" s="23">
        <f>VLOOKUP(Продажи[[#This Row],[id клиента]],Таблица4[#All],5,FALSE)</f>
        <v>44752</v>
      </c>
      <c r="O841">
        <f>Продажи[[#This Row],[дата создания чека]]-Продажи[[#This Row],[Дата регистрации клиентов]]</f>
        <v>280</v>
      </c>
      <c r="P841" t="str">
        <f>VLOOKUP(Продажи[[#This Row],[id клиента]],Таблица4[#All],7,FALSE)</f>
        <v>Россия</v>
      </c>
    </row>
    <row r="842" spans="1:16" x14ac:dyDescent="0.25">
      <c r="A842">
        <v>841</v>
      </c>
      <c r="B842">
        <v>446</v>
      </c>
      <c r="C842">
        <v>445</v>
      </c>
      <c r="D842">
        <v>5</v>
      </c>
      <c r="E842">
        <v>2225</v>
      </c>
      <c r="F842" s="23">
        <v>44993</v>
      </c>
      <c r="G842" t="s">
        <v>23</v>
      </c>
      <c r="H842">
        <v>307</v>
      </c>
      <c r="I842" t="str">
        <f>VLOOKUP(Продажи[[#This Row],[id товара]],Товары[#All],2,FALSE)</f>
        <v>Чипсы</v>
      </c>
      <c r="J842" s="19">
        <f>AVERAGEIF(Продажи[Категория товара],Продажи[[#This Row],[Категория товара]],Продажи[цена за шт в рублях])</f>
        <v>273.72549019607845</v>
      </c>
      <c r="K842" s="20">
        <f>Продажи[[#This Row],[цена за шт в рублях]]/Продажи[[#This Row],[Средняя цена в категории за шт]]-1</f>
        <v>0.62571633237822333</v>
      </c>
      <c r="L842" t="str">
        <f>VLOOKUP(Продажи[[#This Row],[id товара]],Товары[#All],3,FALSE)</f>
        <v>Lay's</v>
      </c>
      <c r="M8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320.57142857142856</v>
      </c>
      <c r="N842" s="23">
        <f>VLOOKUP(Продажи[[#This Row],[id клиента]],Таблица4[#All],5,FALSE)</f>
        <v>44764</v>
      </c>
      <c r="O842">
        <f>Продажи[[#This Row],[дата создания чека]]-Продажи[[#This Row],[Дата регистрации клиентов]]</f>
        <v>229</v>
      </c>
      <c r="P842" t="str">
        <f>VLOOKUP(Продажи[[#This Row],[id клиента]],Таблица4[#All],7,FALSE)</f>
        <v>Беларусь</v>
      </c>
    </row>
    <row r="843" spans="1:16" x14ac:dyDescent="0.25">
      <c r="A843">
        <v>842</v>
      </c>
      <c r="B843">
        <v>88</v>
      </c>
      <c r="C843">
        <v>206</v>
      </c>
      <c r="D843">
        <v>4</v>
      </c>
      <c r="E843">
        <v>824</v>
      </c>
      <c r="F843" s="23">
        <v>45237</v>
      </c>
      <c r="G843" t="s">
        <v>23</v>
      </c>
      <c r="H843">
        <v>492</v>
      </c>
      <c r="I843" t="str">
        <f>VLOOKUP(Продажи[[#This Row],[id товара]],Товары[#All],2,FALSE)</f>
        <v>Крупа</v>
      </c>
      <c r="J843" s="19">
        <f>AVERAGEIF(Продажи[Категория товара],Продажи[[#This Row],[Категория товара]],Продажи[цена за шт в рублях])</f>
        <v>255.11627906976744</v>
      </c>
      <c r="K843" s="20">
        <f>Продажи[[#This Row],[цена за шт в рублях]]/Продажи[[#This Row],[Средняя цена в категории за шт]]-1</f>
        <v>-0.1925250683682771</v>
      </c>
      <c r="L843" t="str">
        <f>VLOOKUP(Продажи[[#This Row],[id товара]],Товары[#All],3,FALSE)</f>
        <v>Мистраль</v>
      </c>
      <c r="M8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843" s="23">
        <f>VLOOKUP(Продажи[[#This Row],[id клиента]],Таблица4[#All],5,FALSE)</f>
        <v>44688</v>
      </c>
      <c r="O843">
        <f>Продажи[[#This Row],[дата создания чека]]-Продажи[[#This Row],[Дата регистрации клиентов]]</f>
        <v>549</v>
      </c>
      <c r="P843" t="str">
        <f>VLOOKUP(Продажи[[#This Row],[id клиента]],Таблица4[#All],7,FALSE)</f>
        <v>Украина</v>
      </c>
    </row>
    <row r="844" spans="1:16" x14ac:dyDescent="0.25">
      <c r="A844">
        <v>843</v>
      </c>
      <c r="B844">
        <v>347</v>
      </c>
      <c r="C844">
        <v>265</v>
      </c>
      <c r="D844">
        <v>1</v>
      </c>
      <c r="E844">
        <v>265</v>
      </c>
      <c r="F844" s="23">
        <v>45390</v>
      </c>
      <c r="G844" t="s">
        <v>19</v>
      </c>
      <c r="H844">
        <v>264</v>
      </c>
      <c r="I844" t="str">
        <f>VLOOKUP(Продажи[[#This Row],[id товара]],Товары[#All],2,FALSE)</f>
        <v>Макароны</v>
      </c>
      <c r="J844" s="19">
        <f>AVERAGEIF(Продажи[Категория товара],Продажи[[#This Row],[Категория товара]],Продажи[цена за шт в рублях])</f>
        <v>265.47674418604652</v>
      </c>
      <c r="K844" s="20">
        <f>Продажи[[#This Row],[цена за шт в рублях]]/Продажи[[#This Row],[Средняя цена в категории за шт]]-1</f>
        <v>-1.7958039507687262E-3</v>
      </c>
      <c r="L844" t="str">
        <f>VLOOKUP(Продажи[[#This Row],[id товара]],Товары[#All],3,FALSE)</f>
        <v>Паста Зара</v>
      </c>
      <c r="M8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844" s="23">
        <f>VLOOKUP(Продажи[[#This Row],[id клиента]],Таблица4[#All],5,FALSE)</f>
        <v>44907</v>
      </c>
      <c r="O844">
        <f>Продажи[[#This Row],[дата создания чека]]-Продажи[[#This Row],[Дата регистрации клиентов]]</f>
        <v>483</v>
      </c>
      <c r="P844" t="str">
        <f>VLOOKUP(Продажи[[#This Row],[id клиента]],Таблица4[#All],7,FALSE)</f>
        <v>Беларусь</v>
      </c>
    </row>
    <row r="845" spans="1:16" x14ac:dyDescent="0.25">
      <c r="A845">
        <v>844</v>
      </c>
      <c r="B845">
        <v>342</v>
      </c>
      <c r="C845">
        <v>269</v>
      </c>
      <c r="D845">
        <v>4</v>
      </c>
      <c r="E845">
        <v>1076</v>
      </c>
      <c r="F845" s="23">
        <v>45093</v>
      </c>
      <c r="G845" t="s">
        <v>21</v>
      </c>
      <c r="H845">
        <v>190</v>
      </c>
      <c r="I845" t="str">
        <f>VLOOKUP(Продажи[[#This Row],[id товара]],Товары[#All],2,FALSE)</f>
        <v>Овощи</v>
      </c>
      <c r="J845" s="19">
        <f>AVERAGEIF(Продажи[Категория товара],Продажи[[#This Row],[Категория товара]],Продажи[цена за шт в рублях])</f>
        <v>250.48780487804879</v>
      </c>
      <c r="K845" s="20">
        <f>Продажи[[#This Row],[цена за шт в рублях]]/Продажи[[#This Row],[Средняя цена в категории за шт]]-1</f>
        <v>7.3904576436222058E-2</v>
      </c>
      <c r="L845" t="str">
        <f>VLOOKUP(Продажи[[#This Row],[id товара]],Товары[#All],3,FALSE)</f>
        <v>Овощной ряд</v>
      </c>
      <c r="M8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845" s="23">
        <f>VLOOKUP(Продажи[[#This Row],[id клиента]],Таблица4[#All],5,FALSE)</f>
        <v>44689</v>
      </c>
      <c r="O845">
        <f>Продажи[[#This Row],[дата создания чека]]-Продажи[[#This Row],[Дата регистрации клиентов]]</f>
        <v>404</v>
      </c>
      <c r="P845" t="str">
        <f>VLOOKUP(Продажи[[#This Row],[id клиента]],Таблица4[#All],7,FALSE)</f>
        <v>Беларусь</v>
      </c>
    </row>
    <row r="846" spans="1:16" x14ac:dyDescent="0.25">
      <c r="A846">
        <v>845</v>
      </c>
      <c r="B846">
        <v>474</v>
      </c>
      <c r="C846">
        <v>405</v>
      </c>
      <c r="D846">
        <v>2</v>
      </c>
      <c r="E846">
        <v>810</v>
      </c>
      <c r="F846" s="23">
        <v>45390</v>
      </c>
      <c r="G846" t="s">
        <v>16</v>
      </c>
      <c r="H846">
        <v>18</v>
      </c>
      <c r="I846" t="str">
        <f>VLOOKUP(Продажи[[#This Row],[id товара]],Товары[#All],2,FALSE)</f>
        <v>Молоко</v>
      </c>
      <c r="J846" s="19">
        <f>AVERAGEIF(Продажи[Категория товара],Продажи[[#This Row],[Категория товара]],Продажи[цена за шт в рублях])</f>
        <v>294.95238095238096</v>
      </c>
      <c r="K846" s="20">
        <f>Продажи[[#This Row],[цена за шт в рублях]]/Продажи[[#This Row],[Средняя цена в категории за шт]]-1</f>
        <v>0.37310300290603804</v>
      </c>
      <c r="L846" t="str">
        <f>VLOOKUP(Продажи[[#This Row],[id товара]],Товары[#All],3,FALSE)</f>
        <v>Простоквашино</v>
      </c>
      <c r="M8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846" s="23">
        <f>VLOOKUP(Продажи[[#This Row],[id клиента]],Таблица4[#All],5,FALSE)</f>
        <v>44578</v>
      </c>
      <c r="O846">
        <f>Продажи[[#This Row],[дата создания чека]]-Продажи[[#This Row],[Дата регистрации клиентов]]</f>
        <v>812</v>
      </c>
      <c r="P846" t="str">
        <f>VLOOKUP(Продажи[[#This Row],[id клиента]],Таблица4[#All],7,FALSE)</f>
        <v>Украина</v>
      </c>
    </row>
    <row r="847" spans="1:16" x14ac:dyDescent="0.25">
      <c r="A847">
        <v>846</v>
      </c>
      <c r="B847">
        <v>69</v>
      </c>
      <c r="C847">
        <v>197</v>
      </c>
      <c r="D847">
        <v>2</v>
      </c>
      <c r="E847">
        <v>394</v>
      </c>
      <c r="F847" s="23">
        <v>45195</v>
      </c>
      <c r="G847" t="s">
        <v>21</v>
      </c>
      <c r="H847">
        <v>125</v>
      </c>
      <c r="I847" t="str">
        <f>VLOOKUP(Продажи[[#This Row],[id товара]],Товары[#All],2,FALSE)</f>
        <v>Чипсы</v>
      </c>
      <c r="J847" s="19">
        <f>AVERAGEIF(Продажи[Категория товара],Продажи[[#This Row],[Категория товара]],Продажи[цена за шт в рублях])</f>
        <v>273.72549019607845</v>
      </c>
      <c r="K847" s="20">
        <f>Продажи[[#This Row],[цена за шт в рублях]]/Продажи[[#This Row],[Средняя цена в категории за шт]]-1</f>
        <v>-0.28030085959885398</v>
      </c>
      <c r="L847" t="str">
        <f>VLOOKUP(Продажи[[#This Row],[id товара]],Товары[#All],3,FALSE)</f>
        <v>Estrella</v>
      </c>
      <c r="M8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266.27272727272725</v>
      </c>
      <c r="N847" s="23">
        <f>VLOOKUP(Продажи[[#This Row],[id клиента]],Таблица4[#All],5,FALSE)</f>
        <v>44701</v>
      </c>
      <c r="O847">
        <f>Продажи[[#This Row],[дата создания чека]]-Продажи[[#This Row],[Дата регистрации клиентов]]</f>
        <v>494</v>
      </c>
      <c r="P847" t="str">
        <f>VLOOKUP(Продажи[[#This Row],[id клиента]],Таблица4[#All],7,FALSE)</f>
        <v>Россия</v>
      </c>
    </row>
    <row r="848" spans="1:16" x14ac:dyDescent="0.25">
      <c r="A848">
        <v>847</v>
      </c>
      <c r="B848">
        <v>206</v>
      </c>
      <c r="C848">
        <v>93</v>
      </c>
      <c r="D848">
        <v>2</v>
      </c>
      <c r="E848">
        <v>186</v>
      </c>
      <c r="F848" s="23">
        <v>45154</v>
      </c>
      <c r="G848" t="s">
        <v>17</v>
      </c>
      <c r="H848">
        <v>155</v>
      </c>
      <c r="I848" t="str">
        <f>VLOOKUP(Продажи[[#This Row],[id товара]],Товары[#All],2,FALSE)</f>
        <v>Молоко</v>
      </c>
      <c r="J848" s="19">
        <f>AVERAGEIF(Продажи[Категория товара],Продажи[[#This Row],[Категория товара]],Продажи[цена за шт в рублях])</f>
        <v>294.95238095238096</v>
      </c>
      <c r="K848" s="20">
        <f>Продажи[[#This Row],[цена за шт в рублях]]/Продажи[[#This Row],[Средняя цена в категории за шт]]-1</f>
        <v>-0.68469486599935425</v>
      </c>
      <c r="L848" t="str">
        <f>VLOOKUP(Продажи[[#This Row],[id товара]],Товары[#All],3,FALSE)</f>
        <v>Домик в деревне</v>
      </c>
      <c r="M8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848" s="23">
        <f>VLOOKUP(Продажи[[#This Row],[id клиента]],Таблица4[#All],5,FALSE)</f>
        <v>44564</v>
      </c>
      <c r="O848">
        <f>Продажи[[#This Row],[дата создания чека]]-Продажи[[#This Row],[Дата регистрации клиентов]]</f>
        <v>590</v>
      </c>
      <c r="P848" t="str">
        <f>VLOOKUP(Продажи[[#This Row],[id клиента]],Таблица4[#All],7,FALSE)</f>
        <v>Украина</v>
      </c>
    </row>
    <row r="849" spans="1:16" x14ac:dyDescent="0.25">
      <c r="A849">
        <v>848</v>
      </c>
      <c r="B849">
        <v>319</v>
      </c>
      <c r="C849">
        <v>193</v>
      </c>
      <c r="D849">
        <v>1</v>
      </c>
      <c r="E849">
        <v>193</v>
      </c>
      <c r="F849" s="23">
        <v>45396</v>
      </c>
      <c r="G849" t="s">
        <v>15</v>
      </c>
      <c r="H849">
        <v>43</v>
      </c>
      <c r="I849" t="str">
        <f>VLOOKUP(Продажи[[#This Row],[id товара]],Товары[#All],2,FALSE)</f>
        <v>Йогурт</v>
      </c>
      <c r="J849" s="19">
        <f>AVERAGEIF(Продажи[Категория товара],Продажи[[#This Row],[Категория товара]],Продажи[цена за шт в рублях])</f>
        <v>263.25423728813558</v>
      </c>
      <c r="K849" s="20">
        <f>Продажи[[#This Row],[цена за шт в рублях]]/Продажи[[#This Row],[Средняя цена в категории за шт]]-1</f>
        <v>-0.26686840072109197</v>
      </c>
      <c r="L849" t="str">
        <f>VLOOKUP(Продажи[[#This Row],[id товара]],Товары[#All],3,FALSE)</f>
        <v>Эрманн</v>
      </c>
      <c r="M8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849" s="23">
        <f>VLOOKUP(Продажи[[#This Row],[id клиента]],Таблица4[#All],5,FALSE)</f>
        <v>44912</v>
      </c>
      <c r="O849">
        <f>Продажи[[#This Row],[дата создания чека]]-Продажи[[#This Row],[Дата регистрации клиентов]]</f>
        <v>484</v>
      </c>
      <c r="P849" t="str">
        <f>VLOOKUP(Продажи[[#This Row],[id клиента]],Таблица4[#All],7,FALSE)</f>
        <v>Россия</v>
      </c>
    </row>
    <row r="850" spans="1:16" x14ac:dyDescent="0.25">
      <c r="A850">
        <v>849</v>
      </c>
      <c r="B850">
        <v>59</v>
      </c>
      <c r="C850">
        <v>150</v>
      </c>
      <c r="D850">
        <v>4</v>
      </c>
      <c r="E850">
        <v>600</v>
      </c>
      <c r="F850" s="23">
        <v>45134</v>
      </c>
      <c r="G850" t="s">
        <v>17</v>
      </c>
      <c r="H850">
        <v>343</v>
      </c>
      <c r="I850" t="str">
        <f>VLOOKUP(Продажи[[#This Row],[id товара]],Товары[#All],2,FALSE)</f>
        <v>Сахар</v>
      </c>
      <c r="J850" s="19">
        <f>AVERAGEIF(Продажи[Категория товара],Продажи[[#This Row],[Категория товара]],Продажи[цена за шт в рублях])</f>
        <v>252.76271186440678</v>
      </c>
      <c r="K850" s="20">
        <f>Продажи[[#This Row],[цена за шт в рублях]]/Продажи[[#This Row],[Средняя цена в категории за шт]]-1</f>
        <v>-0.40655803661235168</v>
      </c>
      <c r="L850" t="str">
        <f>VLOOKUP(Продажи[[#This Row],[id товара]],Товары[#All],3,FALSE)</f>
        <v>Продимекс</v>
      </c>
      <c r="M8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50" s="23">
        <f>VLOOKUP(Продажи[[#This Row],[id клиента]],Таблица4[#All],5,FALSE)</f>
        <v>44874</v>
      </c>
      <c r="O850">
        <f>Продажи[[#This Row],[дата создания чека]]-Продажи[[#This Row],[Дата регистрации клиентов]]</f>
        <v>260</v>
      </c>
      <c r="P850" t="str">
        <f>VLOOKUP(Продажи[[#This Row],[id клиента]],Таблица4[#All],7,FALSE)</f>
        <v>Украина</v>
      </c>
    </row>
    <row r="851" spans="1:16" x14ac:dyDescent="0.25">
      <c r="A851">
        <v>850</v>
      </c>
      <c r="B851">
        <v>16</v>
      </c>
      <c r="C851">
        <v>207</v>
      </c>
      <c r="D851">
        <v>2</v>
      </c>
      <c r="E851">
        <v>414</v>
      </c>
      <c r="F851" s="23">
        <v>45251</v>
      </c>
      <c r="G851" t="s">
        <v>11</v>
      </c>
      <c r="H851">
        <v>26</v>
      </c>
      <c r="I851" t="str">
        <f>VLOOKUP(Продажи[[#This Row],[id товара]],Товары[#All],2,FALSE)</f>
        <v>Сыр</v>
      </c>
      <c r="J851" s="19">
        <f>AVERAGEIF(Продажи[Категория товара],Продажи[[#This Row],[Категория товара]],Продажи[цена за шт в рублях])</f>
        <v>262.63492063492066</v>
      </c>
      <c r="K851" s="20">
        <f>Продажи[[#This Row],[цена за шт в рублях]]/Продажи[[#This Row],[Средняя цена в категории за шт]]-1</f>
        <v>-0.21183367581288537</v>
      </c>
      <c r="L851" t="str">
        <f>VLOOKUP(Продажи[[#This Row],[id товара]],Товары[#All],3,FALSE)</f>
        <v>Сырная долина</v>
      </c>
      <c r="M8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851" s="23">
        <f>VLOOKUP(Продажи[[#This Row],[id клиента]],Таблица4[#All],5,FALSE)</f>
        <v>44819</v>
      </c>
      <c r="O851">
        <f>Продажи[[#This Row],[дата создания чека]]-Продажи[[#This Row],[Дата регистрации клиентов]]</f>
        <v>432</v>
      </c>
      <c r="P851" t="str">
        <f>VLOOKUP(Продажи[[#This Row],[id клиента]],Таблица4[#All],7,FALSE)</f>
        <v>Таджикистан</v>
      </c>
    </row>
    <row r="852" spans="1:16" x14ac:dyDescent="0.25">
      <c r="A852">
        <v>851</v>
      </c>
      <c r="B852">
        <v>220</v>
      </c>
      <c r="C852">
        <v>305</v>
      </c>
      <c r="D852">
        <v>4</v>
      </c>
      <c r="E852">
        <v>1220</v>
      </c>
      <c r="F852" s="23">
        <v>45056</v>
      </c>
      <c r="G852" t="s">
        <v>14</v>
      </c>
      <c r="H852">
        <v>306</v>
      </c>
      <c r="I852" t="str">
        <f>VLOOKUP(Продажи[[#This Row],[id товара]],Товары[#All],2,FALSE)</f>
        <v>Чай</v>
      </c>
      <c r="J852" s="19">
        <f>AVERAGEIF(Продажи[Категория товара],Продажи[[#This Row],[Категория товара]],Продажи[цена за шт в рублях])</f>
        <v>271.18181818181819</v>
      </c>
      <c r="K852" s="20">
        <f>Продажи[[#This Row],[цена за шт в рублях]]/Продажи[[#This Row],[Средняя цена в категории за шт]]-1</f>
        <v>0.12470667113643974</v>
      </c>
      <c r="L852" t="str">
        <f>VLOOKUP(Продажи[[#This Row],[id товара]],Товары[#All],3,FALSE)</f>
        <v>Тесс</v>
      </c>
      <c r="M8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281.75</v>
      </c>
      <c r="N852" s="23">
        <f>VLOOKUP(Продажи[[#This Row],[id клиента]],Таблица4[#All],5,FALSE)</f>
        <v>44872</v>
      </c>
      <c r="O852">
        <f>Продажи[[#This Row],[дата создания чека]]-Продажи[[#This Row],[Дата регистрации клиентов]]</f>
        <v>184</v>
      </c>
      <c r="P852" t="str">
        <f>VLOOKUP(Продажи[[#This Row],[id клиента]],Таблица4[#All],7,FALSE)</f>
        <v>Украина</v>
      </c>
    </row>
    <row r="853" spans="1:16" x14ac:dyDescent="0.25">
      <c r="A853">
        <v>852</v>
      </c>
      <c r="B853">
        <v>474</v>
      </c>
      <c r="C853">
        <v>171</v>
      </c>
      <c r="D853">
        <v>3</v>
      </c>
      <c r="E853">
        <v>513</v>
      </c>
      <c r="F853" s="23">
        <v>44985</v>
      </c>
      <c r="G853" t="s">
        <v>11</v>
      </c>
      <c r="H853">
        <v>260</v>
      </c>
      <c r="I853" t="str">
        <f>VLOOKUP(Продажи[[#This Row],[id товара]],Товары[#All],2,FALSE)</f>
        <v>Молоко</v>
      </c>
      <c r="J853" s="19">
        <f>AVERAGEIF(Продажи[Категория товара],Продажи[[#This Row],[Категория товара]],Продажи[цена за шт в рублях])</f>
        <v>294.95238095238096</v>
      </c>
      <c r="K853" s="20">
        <f>Продажи[[#This Row],[цена за шт в рублях]]/Продажи[[#This Row],[Средняя цена в категории за шт]]-1</f>
        <v>-0.42024539877300615</v>
      </c>
      <c r="L853" t="str">
        <f>VLOOKUP(Продажи[[#This Row],[id товара]],Товары[#All],3,FALSE)</f>
        <v>Простоквашино</v>
      </c>
      <c r="M8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853" s="23">
        <f>VLOOKUP(Продажи[[#This Row],[id клиента]],Таблица4[#All],5,FALSE)</f>
        <v>44729</v>
      </c>
      <c r="O853">
        <f>Продажи[[#This Row],[дата создания чека]]-Продажи[[#This Row],[Дата регистрации клиентов]]</f>
        <v>256</v>
      </c>
      <c r="P853" t="str">
        <f>VLOOKUP(Продажи[[#This Row],[id клиента]],Таблица4[#All],7,FALSE)</f>
        <v>Украина</v>
      </c>
    </row>
    <row r="854" spans="1:16" x14ac:dyDescent="0.25">
      <c r="A854">
        <v>853</v>
      </c>
      <c r="B854">
        <v>118</v>
      </c>
      <c r="C854">
        <v>466</v>
      </c>
      <c r="D854">
        <v>3</v>
      </c>
      <c r="E854">
        <v>1398</v>
      </c>
      <c r="F854" s="23">
        <v>44980</v>
      </c>
      <c r="G854" t="s">
        <v>22</v>
      </c>
      <c r="H854">
        <v>188</v>
      </c>
      <c r="I854" t="str">
        <f>VLOOKUP(Продажи[[#This Row],[id товара]],Товары[#All],2,FALSE)</f>
        <v>Сахар</v>
      </c>
      <c r="J854" s="19">
        <f>AVERAGEIF(Продажи[Категория товара],Продажи[[#This Row],[Категория товара]],Продажи[цена за шт в рублях])</f>
        <v>252.76271186440678</v>
      </c>
      <c r="K854" s="20">
        <f>Продажи[[#This Row],[цена за шт в рублях]]/Продажи[[#This Row],[Средняя цена в категории за шт]]-1</f>
        <v>0.84362636625762755</v>
      </c>
      <c r="L854" t="str">
        <f>VLOOKUP(Продажи[[#This Row],[id товара]],Товары[#All],3,FALSE)</f>
        <v>Продимекс</v>
      </c>
      <c r="M8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54" s="23">
        <f>VLOOKUP(Продажи[[#This Row],[id клиента]],Таблица4[#All],5,FALSE)</f>
        <v>44801</v>
      </c>
      <c r="O854">
        <f>Продажи[[#This Row],[дата создания чека]]-Продажи[[#This Row],[Дата регистрации клиентов]]</f>
        <v>179</v>
      </c>
      <c r="P854" t="str">
        <f>VLOOKUP(Продажи[[#This Row],[id клиента]],Таблица4[#All],7,FALSE)</f>
        <v>Таджикистан</v>
      </c>
    </row>
    <row r="855" spans="1:16" x14ac:dyDescent="0.25">
      <c r="A855">
        <v>854</v>
      </c>
      <c r="B855">
        <v>207</v>
      </c>
      <c r="C855">
        <v>57</v>
      </c>
      <c r="D855">
        <v>2</v>
      </c>
      <c r="E855">
        <v>114</v>
      </c>
      <c r="F855" s="23">
        <v>45344</v>
      </c>
      <c r="G855" t="s">
        <v>21</v>
      </c>
      <c r="H855">
        <v>152</v>
      </c>
      <c r="I855" t="str">
        <f>VLOOKUP(Продажи[[#This Row],[id товара]],Товары[#All],2,FALSE)</f>
        <v>Сахар</v>
      </c>
      <c r="J855" s="19">
        <f>AVERAGEIF(Продажи[Категория товара],Продажи[[#This Row],[Категория товара]],Продажи[цена за шт в рублях])</f>
        <v>252.76271186440678</v>
      </c>
      <c r="K855" s="20">
        <f>Продажи[[#This Row],[цена за шт в рублях]]/Продажи[[#This Row],[Средняя цена в категории за шт]]-1</f>
        <v>-0.7744920539126936</v>
      </c>
      <c r="L855" t="str">
        <f>VLOOKUP(Продажи[[#This Row],[id товара]],Товары[#All],3,FALSE)</f>
        <v>Агросахар</v>
      </c>
      <c r="M8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855" s="23">
        <f>VLOOKUP(Продажи[[#This Row],[id клиента]],Таблица4[#All],5,FALSE)</f>
        <v>44791</v>
      </c>
      <c r="O855">
        <f>Продажи[[#This Row],[дата создания чека]]-Продажи[[#This Row],[Дата регистрации клиентов]]</f>
        <v>553</v>
      </c>
      <c r="P855" t="str">
        <f>VLOOKUP(Продажи[[#This Row],[id клиента]],Таблица4[#All],7,FALSE)</f>
        <v>Беларусь</v>
      </c>
    </row>
    <row r="856" spans="1:16" x14ac:dyDescent="0.25">
      <c r="A856">
        <v>855</v>
      </c>
      <c r="B856">
        <v>239</v>
      </c>
      <c r="C856">
        <v>397</v>
      </c>
      <c r="D856">
        <v>2</v>
      </c>
      <c r="E856">
        <v>794</v>
      </c>
      <c r="F856" s="23">
        <v>45398</v>
      </c>
      <c r="G856" t="s">
        <v>14</v>
      </c>
      <c r="H856">
        <v>65</v>
      </c>
      <c r="I856" t="str">
        <f>VLOOKUP(Продажи[[#This Row],[id товара]],Товары[#All],2,FALSE)</f>
        <v>Йогурт</v>
      </c>
      <c r="J856" s="19">
        <f>AVERAGEIF(Продажи[Категория товара],Продажи[[#This Row],[Категория товара]],Продажи[цена за шт в рублях])</f>
        <v>263.25423728813558</v>
      </c>
      <c r="K856" s="20">
        <f>Продажи[[#This Row],[цена за шт в рублях]]/Продажи[[#This Row],[Средняя цена в категории за шт]]-1</f>
        <v>0.50804790110739129</v>
      </c>
      <c r="L856" t="str">
        <f>VLOOKUP(Продажи[[#This Row],[id товара]],Товары[#All],3,FALSE)</f>
        <v>Эрманн</v>
      </c>
      <c r="M8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856" s="23">
        <f>VLOOKUP(Продажи[[#This Row],[id клиента]],Таблица4[#All],5,FALSE)</f>
        <v>44623</v>
      </c>
      <c r="O856">
        <f>Продажи[[#This Row],[дата создания чека]]-Продажи[[#This Row],[Дата регистрации клиентов]]</f>
        <v>775</v>
      </c>
      <c r="P856" t="str">
        <f>VLOOKUP(Продажи[[#This Row],[id клиента]],Таблица4[#All],7,FALSE)</f>
        <v>Украина</v>
      </c>
    </row>
    <row r="857" spans="1:16" x14ac:dyDescent="0.25">
      <c r="A857">
        <v>856</v>
      </c>
      <c r="B857">
        <v>367</v>
      </c>
      <c r="C857">
        <v>289</v>
      </c>
      <c r="D857">
        <v>1</v>
      </c>
      <c r="E857">
        <v>289</v>
      </c>
      <c r="F857" s="23">
        <v>45041</v>
      </c>
      <c r="G857" t="s">
        <v>9</v>
      </c>
      <c r="H857">
        <v>281</v>
      </c>
      <c r="I857" t="str">
        <f>VLOOKUP(Продажи[[#This Row],[id товара]],Товары[#All],2,FALSE)</f>
        <v>Колбаса</v>
      </c>
      <c r="J857" s="19">
        <f>AVERAGEIF(Продажи[Категория товара],Продажи[[#This Row],[Категория товара]],Продажи[цена за шт в рублях])</f>
        <v>286.92307692307691</v>
      </c>
      <c r="K857" s="20">
        <f>Продажи[[#This Row],[цена за шт в рублях]]/Продажи[[#This Row],[Средняя цена в категории за шт]]-1</f>
        <v>7.238605898123307E-3</v>
      </c>
      <c r="L857" t="str">
        <f>VLOOKUP(Продажи[[#This Row],[id товара]],Товары[#All],3,FALSE)</f>
        <v>Окраина</v>
      </c>
      <c r="M8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857" s="23">
        <f>VLOOKUP(Продажи[[#This Row],[id клиента]],Таблица4[#All],5,FALSE)</f>
        <v>44711</v>
      </c>
      <c r="O857">
        <f>Продажи[[#This Row],[дата создания чека]]-Продажи[[#This Row],[Дата регистрации клиентов]]</f>
        <v>330</v>
      </c>
      <c r="P857" t="str">
        <f>VLOOKUP(Продажи[[#This Row],[id клиента]],Таблица4[#All],7,FALSE)</f>
        <v>Узбекистан</v>
      </c>
    </row>
    <row r="858" spans="1:16" x14ac:dyDescent="0.25">
      <c r="A858">
        <v>857</v>
      </c>
      <c r="B858">
        <v>87</v>
      </c>
      <c r="C858">
        <v>191</v>
      </c>
      <c r="D858">
        <v>3</v>
      </c>
      <c r="E858">
        <v>573</v>
      </c>
      <c r="F858" s="23">
        <v>45125</v>
      </c>
      <c r="G858" t="s">
        <v>26</v>
      </c>
      <c r="H858">
        <v>430</v>
      </c>
      <c r="I858" t="str">
        <f>VLOOKUP(Продажи[[#This Row],[id товара]],Товары[#All],2,FALSE)</f>
        <v>Кофе</v>
      </c>
      <c r="J858" s="19">
        <f>AVERAGEIF(Продажи[Категория товара],Продажи[[#This Row],[Категория товара]],Продажи[цена за шт в рублях])</f>
        <v>249.02380952380952</v>
      </c>
      <c r="K858" s="20">
        <f>Продажи[[#This Row],[цена за шт в рублях]]/Продажи[[#This Row],[Средняя цена в категории за шт]]-1</f>
        <v>-0.23300506740606175</v>
      </c>
      <c r="L858" t="str">
        <f>VLOOKUP(Продажи[[#This Row],[id товара]],Товары[#All],3,FALSE)</f>
        <v>Jacobs</v>
      </c>
      <c r="M8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858" s="23">
        <f>VLOOKUP(Продажи[[#This Row],[id клиента]],Таблица4[#All],5,FALSE)</f>
        <v>44799</v>
      </c>
      <c r="O858">
        <f>Продажи[[#This Row],[дата создания чека]]-Продажи[[#This Row],[Дата регистрации клиентов]]</f>
        <v>326</v>
      </c>
      <c r="P858" t="str">
        <f>VLOOKUP(Продажи[[#This Row],[id клиента]],Таблица4[#All],7,FALSE)</f>
        <v>Таджикистан</v>
      </c>
    </row>
    <row r="859" spans="1:16" x14ac:dyDescent="0.25">
      <c r="A859">
        <v>858</v>
      </c>
      <c r="B859">
        <v>309</v>
      </c>
      <c r="C859">
        <v>244</v>
      </c>
      <c r="D859">
        <v>3</v>
      </c>
      <c r="E859">
        <v>732</v>
      </c>
      <c r="F859" s="23">
        <v>45374</v>
      </c>
      <c r="G859" t="s">
        <v>27</v>
      </c>
      <c r="H859">
        <v>299</v>
      </c>
      <c r="I859" t="str">
        <f>VLOOKUP(Продажи[[#This Row],[id товара]],Товары[#All],2,FALSE)</f>
        <v>Конфеты</v>
      </c>
      <c r="J859" s="19">
        <f>AVERAGEIF(Продажи[Категория товара],Продажи[[#This Row],[Категория товара]],Продажи[цена за шт в рублях])</f>
        <v>267.85483870967744</v>
      </c>
      <c r="K859" s="20">
        <f>Продажи[[#This Row],[цена за шт в рублях]]/Продажи[[#This Row],[Средняя цена в категории за шт]]-1</f>
        <v>-8.9058830613596762E-2</v>
      </c>
      <c r="L859" t="str">
        <f>VLOOKUP(Продажи[[#This Row],[id товара]],Товары[#All],3,FALSE)</f>
        <v>Рот Фронт</v>
      </c>
      <c r="M8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859" s="23">
        <f>VLOOKUP(Продажи[[#This Row],[id клиента]],Таблица4[#All],5,FALSE)</f>
        <v>44666</v>
      </c>
      <c r="O859">
        <f>Продажи[[#This Row],[дата создания чека]]-Продажи[[#This Row],[Дата регистрации клиентов]]</f>
        <v>708</v>
      </c>
      <c r="P859" t="str">
        <f>VLOOKUP(Продажи[[#This Row],[id клиента]],Таблица4[#All],7,FALSE)</f>
        <v>Украина</v>
      </c>
    </row>
    <row r="860" spans="1:16" x14ac:dyDescent="0.25">
      <c r="A860">
        <v>859</v>
      </c>
      <c r="B860">
        <v>271</v>
      </c>
      <c r="C860">
        <v>392</v>
      </c>
      <c r="D860">
        <v>3</v>
      </c>
      <c r="E860">
        <v>1176</v>
      </c>
      <c r="F860" s="23">
        <v>45103</v>
      </c>
      <c r="G860" t="s">
        <v>19</v>
      </c>
      <c r="H860">
        <v>132</v>
      </c>
      <c r="I860" t="str">
        <f>VLOOKUP(Продажи[[#This Row],[id товара]],Товары[#All],2,FALSE)</f>
        <v>Сыр</v>
      </c>
      <c r="J860" s="19">
        <f>AVERAGEIF(Продажи[Категория товара],Продажи[[#This Row],[Категория товара]],Продажи[цена за шт в рублях])</f>
        <v>262.63492063492066</v>
      </c>
      <c r="K860" s="20">
        <f>Продажи[[#This Row],[цена за шт в рублях]]/Продажи[[#This Row],[Средняя цена в категории за шт]]-1</f>
        <v>0.49256617913695133</v>
      </c>
      <c r="L860" t="str">
        <f>VLOOKUP(Продажи[[#This Row],[id товара]],Товары[#All],3,FALSE)</f>
        <v>Сырная долина</v>
      </c>
      <c r="M8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860" s="23">
        <f>VLOOKUP(Продажи[[#This Row],[id клиента]],Таблица4[#All],5,FALSE)</f>
        <v>44601</v>
      </c>
      <c r="O860">
        <f>Продажи[[#This Row],[дата создания чека]]-Продажи[[#This Row],[Дата регистрации клиентов]]</f>
        <v>502</v>
      </c>
      <c r="P860" t="str">
        <f>VLOOKUP(Продажи[[#This Row],[id клиента]],Таблица4[#All],7,FALSE)</f>
        <v>Украина</v>
      </c>
    </row>
    <row r="861" spans="1:16" x14ac:dyDescent="0.25">
      <c r="A861">
        <v>860</v>
      </c>
      <c r="B861">
        <v>354</v>
      </c>
      <c r="C861">
        <v>493</v>
      </c>
      <c r="D861">
        <v>2</v>
      </c>
      <c r="E861">
        <v>986</v>
      </c>
      <c r="F861" s="23">
        <v>45320</v>
      </c>
      <c r="G861" t="s">
        <v>24</v>
      </c>
      <c r="H861">
        <v>68</v>
      </c>
      <c r="I861" t="str">
        <f>VLOOKUP(Продажи[[#This Row],[id товара]],Товары[#All],2,FALSE)</f>
        <v>Чай</v>
      </c>
      <c r="J861" s="19">
        <f>AVERAGEIF(Продажи[Категория товара],Продажи[[#This Row],[Категория товара]],Продажи[цена за шт в рублях])</f>
        <v>271.18181818181819</v>
      </c>
      <c r="K861" s="20">
        <f>Продажи[[#This Row],[цена за шт в рублях]]/Продажи[[#This Row],[Средняя цена в категории за шт]]-1</f>
        <v>0.81796848809922884</v>
      </c>
      <c r="L861" t="str">
        <f>VLOOKUP(Продажи[[#This Row],[id товара]],Товары[#All],3,FALSE)</f>
        <v>Lipton</v>
      </c>
      <c r="M8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861" s="23">
        <f>VLOOKUP(Продажи[[#This Row],[id клиента]],Таблица4[#All],5,FALSE)</f>
        <v>44882</v>
      </c>
      <c r="O861">
        <f>Продажи[[#This Row],[дата создания чека]]-Продажи[[#This Row],[Дата регистрации клиентов]]</f>
        <v>438</v>
      </c>
      <c r="P861" t="str">
        <f>VLOOKUP(Продажи[[#This Row],[id клиента]],Таблица4[#All],7,FALSE)</f>
        <v>Узбекистан</v>
      </c>
    </row>
    <row r="862" spans="1:16" x14ac:dyDescent="0.25">
      <c r="A862">
        <v>861</v>
      </c>
      <c r="B862">
        <v>266</v>
      </c>
      <c r="C862">
        <v>339</v>
      </c>
      <c r="D862">
        <v>5</v>
      </c>
      <c r="E862">
        <v>1695</v>
      </c>
      <c r="F862" s="23">
        <v>45358</v>
      </c>
      <c r="G862" t="s">
        <v>9</v>
      </c>
      <c r="H862">
        <v>42</v>
      </c>
      <c r="I862" t="str">
        <f>VLOOKUP(Продажи[[#This Row],[id товара]],Товары[#All],2,FALSE)</f>
        <v>Рыба</v>
      </c>
      <c r="J862" s="19">
        <f>AVERAGEIF(Продажи[Категория товара],Продажи[[#This Row],[Категория товара]],Продажи[цена за шт в рублях])</f>
        <v>258.5128205128205</v>
      </c>
      <c r="K862" s="20">
        <f>Продажи[[#This Row],[цена за шт в рублях]]/Продажи[[#This Row],[Средняя цена в категории за шт]]-1</f>
        <v>0.31134695496925224</v>
      </c>
      <c r="L862" t="str">
        <f>VLOOKUP(Продажи[[#This Row],[id товара]],Товары[#All],3,FALSE)</f>
        <v>Меридиан</v>
      </c>
      <c r="M8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862" s="23">
        <f>VLOOKUP(Продажи[[#This Row],[id клиента]],Таблица4[#All],5,FALSE)</f>
        <v>44783</v>
      </c>
      <c r="O862">
        <f>Продажи[[#This Row],[дата создания чека]]-Продажи[[#This Row],[Дата регистрации клиентов]]</f>
        <v>575</v>
      </c>
      <c r="P862" t="str">
        <f>VLOOKUP(Продажи[[#This Row],[id клиента]],Таблица4[#All],7,FALSE)</f>
        <v>Таджикистан</v>
      </c>
    </row>
    <row r="863" spans="1:16" x14ac:dyDescent="0.25">
      <c r="A863">
        <v>862</v>
      </c>
      <c r="B863">
        <v>441</v>
      </c>
      <c r="C863">
        <v>316</v>
      </c>
      <c r="D863">
        <v>4</v>
      </c>
      <c r="E863">
        <v>1264</v>
      </c>
      <c r="F863" s="23">
        <v>45410</v>
      </c>
      <c r="G863" t="s">
        <v>22</v>
      </c>
      <c r="H863">
        <v>488</v>
      </c>
      <c r="I863" t="str">
        <f>VLOOKUP(Продажи[[#This Row],[id товара]],Товары[#All],2,FALSE)</f>
        <v>Чай</v>
      </c>
      <c r="J863" s="19">
        <f>AVERAGEIF(Продажи[Категория товара],Продажи[[#This Row],[Категория товара]],Продажи[цена за шт в рублях])</f>
        <v>271.18181818181819</v>
      </c>
      <c r="K863" s="20">
        <f>Продажи[[#This Row],[цена за шт в рублях]]/Продажи[[#This Row],[Средняя цена в категории за шт]]-1</f>
        <v>0.16526986255447529</v>
      </c>
      <c r="L863" t="str">
        <f>VLOOKUP(Продажи[[#This Row],[id товара]],Товары[#All],3,FALSE)</f>
        <v>Lipton</v>
      </c>
      <c r="M8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260.15789473684208</v>
      </c>
      <c r="N863" s="23">
        <f>VLOOKUP(Продажи[[#This Row],[id клиента]],Таблица4[#All],5,FALSE)</f>
        <v>44738</v>
      </c>
      <c r="O863">
        <f>Продажи[[#This Row],[дата создания чека]]-Продажи[[#This Row],[Дата регистрации клиентов]]</f>
        <v>672</v>
      </c>
      <c r="P863" t="str">
        <f>VLOOKUP(Продажи[[#This Row],[id клиента]],Таблица4[#All],7,FALSE)</f>
        <v>Беларусь</v>
      </c>
    </row>
    <row r="864" spans="1:16" x14ac:dyDescent="0.25">
      <c r="A864">
        <v>863</v>
      </c>
      <c r="B864">
        <v>245</v>
      </c>
      <c r="C864">
        <v>284</v>
      </c>
      <c r="D864">
        <v>4</v>
      </c>
      <c r="E864">
        <v>1136</v>
      </c>
      <c r="F864" s="23">
        <v>45405</v>
      </c>
      <c r="G864" t="s">
        <v>15</v>
      </c>
      <c r="H864">
        <v>324</v>
      </c>
      <c r="I864" t="str">
        <f>VLOOKUP(Продажи[[#This Row],[id товара]],Товары[#All],2,FALSE)</f>
        <v>Сахар</v>
      </c>
      <c r="J864" s="19">
        <f>AVERAGEIF(Продажи[Категория товара],Продажи[[#This Row],[Категория товара]],Продажи[цена за шт в рублях])</f>
        <v>252.76271186440678</v>
      </c>
      <c r="K864" s="20">
        <f>Продажи[[#This Row],[цена за шт в рублях]]/Продажи[[#This Row],[Средняя цена в категории за шт]]-1</f>
        <v>0.12358345068061416</v>
      </c>
      <c r="L864" t="str">
        <f>VLOOKUP(Продажи[[#This Row],[id товара]],Товары[#All],3,FALSE)</f>
        <v>Продимекс</v>
      </c>
      <c r="M8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64" s="23">
        <f>VLOOKUP(Продажи[[#This Row],[id клиента]],Таблица4[#All],5,FALSE)</f>
        <v>44761</v>
      </c>
      <c r="O864">
        <f>Продажи[[#This Row],[дата создания чека]]-Продажи[[#This Row],[Дата регистрации клиентов]]</f>
        <v>644</v>
      </c>
      <c r="P864" t="str">
        <f>VLOOKUP(Продажи[[#This Row],[id клиента]],Таблица4[#All],7,FALSE)</f>
        <v>Узбекистан</v>
      </c>
    </row>
    <row r="865" spans="1:16" x14ac:dyDescent="0.25">
      <c r="A865">
        <v>864</v>
      </c>
      <c r="B865">
        <v>369</v>
      </c>
      <c r="C865">
        <v>206</v>
      </c>
      <c r="D865">
        <v>4</v>
      </c>
      <c r="E865">
        <v>824</v>
      </c>
      <c r="F865" s="23">
        <v>45132</v>
      </c>
      <c r="G865" t="s">
        <v>17</v>
      </c>
      <c r="H865">
        <v>346</v>
      </c>
      <c r="I865" t="str">
        <f>VLOOKUP(Продажи[[#This Row],[id товара]],Товары[#All],2,FALSE)</f>
        <v>Молоко</v>
      </c>
      <c r="J865" s="19">
        <f>AVERAGEIF(Продажи[Категория товара],Продажи[[#This Row],[Категория товара]],Продажи[цена за шт в рублях])</f>
        <v>294.95238095238096</v>
      </c>
      <c r="K865" s="20">
        <f>Продажи[[#This Row],[цена за шт в рублях]]/Продажи[[#This Row],[Средняя цена в категории за шт]]-1</f>
        <v>-0.30158217629964479</v>
      </c>
      <c r="L865" t="str">
        <f>VLOOKUP(Продажи[[#This Row],[id товара]],Товары[#All],3,FALSE)</f>
        <v>Домик в деревне</v>
      </c>
      <c r="M8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865" s="23">
        <f>VLOOKUP(Продажи[[#This Row],[id клиента]],Таблица4[#All],5,FALSE)</f>
        <v>44636</v>
      </c>
      <c r="O865">
        <f>Продажи[[#This Row],[дата создания чека]]-Продажи[[#This Row],[Дата регистрации клиентов]]</f>
        <v>496</v>
      </c>
      <c r="P865" t="str">
        <f>VLOOKUP(Продажи[[#This Row],[id клиента]],Таблица4[#All],7,FALSE)</f>
        <v>Россия</v>
      </c>
    </row>
    <row r="866" spans="1:16" x14ac:dyDescent="0.25">
      <c r="A866">
        <v>865</v>
      </c>
      <c r="B866">
        <v>176</v>
      </c>
      <c r="C866">
        <v>217</v>
      </c>
      <c r="D866">
        <v>4</v>
      </c>
      <c r="E866">
        <v>868</v>
      </c>
      <c r="F866" s="23">
        <v>45135</v>
      </c>
      <c r="G866" t="s">
        <v>12</v>
      </c>
      <c r="H866">
        <v>313</v>
      </c>
      <c r="I866" t="str">
        <f>VLOOKUP(Продажи[[#This Row],[id товара]],Товары[#All],2,FALSE)</f>
        <v>Сахар</v>
      </c>
      <c r="J866" s="19">
        <f>AVERAGEIF(Продажи[Категория товара],Продажи[[#This Row],[Категория товара]],Продажи[цена за шт в рублях])</f>
        <v>252.76271186440678</v>
      </c>
      <c r="K866" s="20">
        <f>Продажи[[#This Row],[цена за шт в рублях]]/Продажи[[#This Row],[Средняя цена в категории за шт]]-1</f>
        <v>-0.14148729296586871</v>
      </c>
      <c r="L866" t="str">
        <f>VLOOKUP(Продажи[[#This Row],[id товара]],Товары[#All],3,FALSE)</f>
        <v>Продимекс</v>
      </c>
      <c r="M8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66" s="23">
        <f>VLOOKUP(Продажи[[#This Row],[id клиента]],Таблица4[#All],5,FALSE)</f>
        <v>44896</v>
      </c>
      <c r="O866">
        <f>Продажи[[#This Row],[дата создания чека]]-Продажи[[#This Row],[Дата регистрации клиентов]]</f>
        <v>239</v>
      </c>
      <c r="P866" t="str">
        <f>VLOOKUP(Продажи[[#This Row],[id клиента]],Таблица4[#All],7,FALSE)</f>
        <v>Узбекистан</v>
      </c>
    </row>
    <row r="867" spans="1:16" x14ac:dyDescent="0.25">
      <c r="A867">
        <v>866</v>
      </c>
      <c r="B867">
        <v>467</v>
      </c>
      <c r="C867">
        <v>72</v>
      </c>
      <c r="D867">
        <v>2</v>
      </c>
      <c r="E867">
        <v>144</v>
      </c>
      <c r="F867" s="23">
        <v>45050</v>
      </c>
      <c r="G867" t="s">
        <v>13</v>
      </c>
      <c r="H867">
        <v>233</v>
      </c>
      <c r="I867" t="str">
        <f>VLOOKUP(Продажи[[#This Row],[id товара]],Товары[#All],2,FALSE)</f>
        <v>Макароны</v>
      </c>
      <c r="J867" s="19">
        <f>AVERAGEIF(Продажи[Категория товара],Продажи[[#This Row],[Категория товара]],Продажи[цена за шт в рублях])</f>
        <v>265.47674418604652</v>
      </c>
      <c r="K867" s="20">
        <f>Продажи[[#This Row],[цена за шт в рублях]]/Продажи[[#This Row],[Средняя цена в категории за шт]]-1</f>
        <v>-0.72878980333756727</v>
      </c>
      <c r="L867" t="str">
        <f>VLOOKUP(Продажи[[#This Row],[id товара]],Товары[#All],3,FALSE)</f>
        <v>Борилла</v>
      </c>
      <c r="M8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867" s="23">
        <f>VLOOKUP(Продажи[[#This Row],[id клиента]],Таблица4[#All],5,FALSE)</f>
        <v>44616</v>
      </c>
      <c r="O867">
        <f>Продажи[[#This Row],[дата создания чека]]-Продажи[[#This Row],[Дата регистрации клиентов]]</f>
        <v>434</v>
      </c>
      <c r="P867" t="str">
        <f>VLOOKUP(Продажи[[#This Row],[id клиента]],Таблица4[#All],7,FALSE)</f>
        <v>Таджикистан</v>
      </c>
    </row>
    <row r="868" spans="1:16" x14ac:dyDescent="0.25">
      <c r="A868">
        <v>867</v>
      </c>
      <c r="B868">
        <v>237</v>
      </c>
      <c r="C868">
        <v>121</v>
      </c>
      <c r="D868">
        <v>3</v>
      </c>
      <c r="E868">
        <v>363</v>
      </c>
      <c r="F868" s="23">
        <v>45240</v>
      </c>
      <c r="G868" t="s">
        <v>26</v>
      </c>
      <c r="H868">
        <v>77</v>
      </c>
      <c r="I868" t="str">
        <f>VLOOKUP(Продажи[[#This Row],[id товара]],Товары[#All],2,FALSE)</f>
        <v>Конфеты</v>
      </c>
      <c r="J868" s="19">
        <f>AVERAGEIF(Продажи[Категория товара],Продажи[[#This Row],[Категория товара]],Продажи[цена за шт в рублях])</f>
        <v>267.85483870967744</v>
      </c>
      <c r="K868" s="20">
        <f>Продажи[[#This Row],[цена за шт в рублях]]/Продажи[[#This Row],[Средняя цена в категории за шт]]-1</f>
        <v>-0.54826278075510326</v>
      </c>
      <c r="L868" t="str">
        <f>VLOOKUP(Продажи[[#This Row],[id товара]],Товары[#All],3,FALSE)</f>
        <v>Рот Фронт</v>
      </c>
      <c r="M8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868" s="23">
        <f>VLOOKUP(Продажи[[#This Row],[id клиента]],Таблица4[#All],5,FALSE)</f>
        <v>44644</v>
      </c>
      <c r="O868">
        <f>Продажи[[#This Row],[дата создания чека]]-Продажи[[#This Row],[Дата регистрации клиентов]]</f>
        <v>596</v>
      </c>
      <c r="P868" t="str">
        <f>VLOOKUP(Продажи[[#This Row],[id клиента]],Таблица4[#All],7,FALSE)</f>
        <v>Россия</v>
      </c>
    </row>
    <row r="869" spans="1:16" x14ac:dyDescent="0.25">
      <c r="A869">
        <v>868</v>
      </c>
      <c r="B869">
        <v>300</v>
      </c>
      <c r="C869">
        <v>140</v>
      </c>
      <c r="D869">
        <v>4</v>
      </c>
      <c r="E869">
        <v>560</v>
      </c>
      <c r="F869" s="23">
        <v>45317</v>
      </c>
      <c r="G869" t="s">
        <v>17</v>
      </c>
      <c r="H869">
        <v>107</v>
      </c>
      <c r="I869" t="str">
        <f>VLOOKUP(Продажи[[#This Row],[id товара]],Товары[#All],2,FALSE)</f>
        <v>Сахар</v>
      </c>
      <c r="J869" s="19">
        <f>AVERAGEIF(Продажи[Категория товара],Продажи[[#This Row],[Категория товара]],Продажи[цена за шт в рублях])</f>
        <v>252.76271186440678</v>
      </c>
      <c r="K869" s="20">
        <f>Продажи[[#This Row],[цена за шт в рублях]]/Продажи[[#This Row],[Средняя цена в категории за шт]]-1</f>
        <v>-0.44612083417152815</v>
      </c>
      <c r="L869" t="str">
        <f>VLOOKUP(Продажи[[#This Row],[id товара]],Товары[#All],3,FALSE)</f>
        <v>Продимекс</v>
      </c>
      <c r="M8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869" s="23">
        <f>VLOOKUP(Продажи[[#This Row],[id клиента]],Таблица4[#All],5,FALSE)</f>
        <v>44744</v>
      </c>
      <c r="O869">
        <f>Продажи[[#This Row],[дата создания чека]]-Продажи[[#This Row],[Дата регистрации клиентов]]</f>
        <v>573</v>
      </c>
      <c r="P869" t="str">
        <f>VLOOKUP(Продажи[[#This Row],[id клиента]],Таблица4[#All],7,FALSE)</f>
        <v>Таджикистан</v>
      </c>
    </row>
    <row r="870" spans="1:16" x14ac:dyDescent="0.25">
      <c r="A870">
        <v>869</v>
      </c>
      <c r="B870">
        <v>137</v>
      </c>
      <c r="C870">
        <v>295</v>
      </c>
      <c r="D870">
        <v>2</v>
      </c>
      <c r="E870">
        <v>590</v>
      </c>
      <c r="F870" s="23">
        <v>45111</v>
      </c>
      <c r="G870" t="s">
        <v>21</v>
      </c>
      <c r="H870">
        <v>375</v>
      </c>
      <c r="I870" t="str">
        <f>VLOOKUP(Продажи[[#This Row],[id товара]],Товары[#All],2,FALSE)</f>
        <v>Фрукты</v>
      </c>
      <c r="J870" s="19">
        <f>AVERAGEIF(Продажи[Категория товара],Продажи[[#This Row],[Категория товара]],Продажи[цена за шт в рублях])</f>
        <v>274.16279069767444</v>
      </c>
      <c r="K870" s="20">
        <f>Продажи[[#This Row],[цена за шт в рублях]]/Продажи[[#This Row],[Средняя цена в категории за шт]]-1</f>
        <v>7.6003053694121636E-2</v>
      </c>
      <c r="L870" t="str">
        <f>VLOOKUP(Продажи[[#This Row],[id товара]],Товары[#All],3,FALSE)</f>
        <v>Экзотик</v>
      </c>
      <c r="M8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870" s="23">
        <f>VLOOKUP(Продажи[[#This Row],[id клиента]],Таблица4[#All],5,FALSE)</f>
        <v>44674</v>
      </c>
      <c r="O870">
        <f>Продажи[[#This Row],[дата создания чека]]-Продажи[[#This Row],[Дата регистрации клиентов]]</f>
        <v>437</v>
      </c>
      <c r="P870" t="str">
        <f>VLOOKUP(Продажи[[#This Row],[id клиента]],Таблица4[#All],7,FALSE)</f>
        <v>Россия</v>
      </c>
    </row>
    <row r="871" spans="1:16" x14ac:dyDescent="0.25">
      <c r="A871">
        <v>870</v>
      </c>
      <c r="B871">
        <v>194</v>
      </c>
      <c r="C871">
        <v>325</v>
      </c>
      <c r="D871">
        <v>4</v>
      </c>
      <c r="E871">
        <v>1300</v>
      </c>
      <c r="F871" s="23">
        <v>45319</v>
      </c>
      <c r="G871" t="s">
        <v>20</v>
      </c>
      <c r="H871">
        <v>62</v>
      </c>
      <c r="I871" t="str">
        <f>VLOOKUP(Продажи[[#This Row],[id товара]],Товары[#All],2,FALSE)</f>
        <v>Соль</v>
      </c>
      <c r="J871" s="19">
        <f>AVERAGEIF(Продажи[Категория товара],Продажи[[#This Row],[Категория товара]],Продажи[цена за шт в рублях])</f>
        <v>264.8679245283019</v>
      </c>
      <c r="K871" s="20">
        <f>Продажи[[#This Row],[цена за шт в рублях]]/Продажи[[#This Row],[Средняя цена в категории за шт]]-1</f>
        <v>0.22702664197179079</v>
      </c>
      <c r="L871" t="str">
        <f>VLOOKUP(Продажи[[#This Row],[id товара]],Товары[#All],3,FALSE)</f>
        <v>Салта</v>
      </c>
      <c r="M8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871" s="23">
        <f>VLOOKUP(Продажи[[#This Row],[id клиента]],Таблица4[#All],5,FALSE)</f>
        <v>44671</v>
      </c>
      <c r="O871">
        <f>Продажи[[#This Row],[дата создания чека]]-Продажи[[#This Row],[Дата регистрации клиентов]]</f>
        <v>648</v>
      </c>
      <c r="P871" t="str">
        <f>VLOOKUP(Продажи[[#This Row],[id клиента]],Таблица4[#All],7,FALSE)</f>
        <v>Россия</v>
      </c>
    </row>
    <row r="872" spans="1:16" x14ac:dyDescent="0.25">
      <c r="A872">
        <v>871</v>
      </c>
      <c r="B872">
        <v>215</v>
      </c>
      <c r="C872">
        <v>147</v>
      </c>
      <c r="D872">
        <v>3</v>
      </c>
      <c r="E872">
        <v>441</v>
      </c>
      <c r="F872" s="23">
        <v>45173</v>
      </c>
      <c r="G872" t="s">
        <v>13</v>
      </c>
      <c r="H872">
        <v>368</v>
      </c>
      <c r="I872" t="str">
        <f>VLOOKUP(Продажи[[#This Row],[id товара]],Товары[#All],2,FALSE)</f>
        <v>Сок</v>
      </c>
      <c r="J872" s="19">
        <f>AVERAGEIF(Продажи[Категория товара],Продажи[[#This Row],[Категория товара]],Продажи[цена за шт в рублях])</f>
        <v>268.60344827586209</v>
      </c>
      <c r="K872" s="20">
        <f>Продажи[[#This Row],[цена за шт в рублях]]/Продажи[[#This Row],[Средняя цена в категории за шт]]-1</f>
        <v>-0.45272482187560181</v>
      </c>
      <c r="L872" t="str">
        <f>VLOOKUP(Продажи[[#This Row],[id товара]],Товары[#All],3,FALSE)</f>
        <v>Фруктовый сад</v>
      </c>
      <c r="M8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72" s="23">
        <f>VLOOKUP(Продажи[[#This Row],[id клиента]],Таблица4[#All],5,FALSE)</f>
        <v>44872</v>
      </c>
      <c r="O872">
        <f>Продажи[[#This Row],[дата создания чека]]-Продажи[[#This Row],[Дата регистрации клиентов]]</f>
        <v>301</v>
      </c>
      <c r="P872" t="str">
        <f>VLOOKUP(Продажи[[#This Row],[id клиента]],Таблица4[#All],7,FALSE)</f>
        <v>Узбекистан</v>
      </c>
    </row>
    <row r="873" spans="1:16" x14ac:dyDescent="0.25">
      <c r="A873">
        <v>872</v>
      </c>
      <c r="B873">
        <v>307</v>
      </c>
      <c r="C873">
        <v>419</v>
      </c>
      <c r="D873">
        <v>1</v>
      </c>
      <c r="E873">
        <v>419</v>
      </c>
      <c r="F873" s="23">
        <v>45189</v>
      </c>
      <c r="G873" t="s">
        <v>25</v>
      </c>
      <c r="H873">
        <v>64</v>
      </c>
      <c r="I873" t="str">
        <f>VLOOKUP(Продажи[[#This Row],[id товара]],Товары[#All],2,FALSE)</f>
        <v>Сыр</v>
      </c>
      <c r="J873" s="19">
        <f>AVERAGEIF(Продажи[Категория товара],Продажи[[#This Row],[Категория товара]],Продажи[цена за шт в рублях])</f>
        <v>262.63492063492066</v>
      </c>
      <c r="K873" s="20">
        <f>Продажи[[#This Row],[цена за шт в рублях]]/Продажи[[#This Row],[Средняя цена в категории за шт]]-1</f>
        <v>0.59537048229179246</v>
      </c>
      <c r="L873" t="str">
        <f>VLOOKUP(Продажи[[#This Row],[id товара]],Товары[#All],3,FALSE)</f>
        <v>Карат</v>
      </c>
      <c r="M8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311.33333333333331</v>
      </c>
      <c r="N873" s="23">
        <f>VLOOKUP(Продажи[[#This Row],[id клиента]],Таблица4[#All],5,FALSE)</f>
        <v>44707</v>
      </c>
      <c r="O873">
        <f>Продажи[[#This Row],[дата создания чека]]-Продажи[[#This Row],[Дата регистрации клиентов]]</f>
        <v>482</v>
      </c>
      <c r="P873" t="str">
        <f>VLOOKUP(Продажи[[#This Row],[id клиента]],Таблица4[#All],7,FALSE)</f>
        <v>Узбекистан</v>
      </c>
    </row>
    <row r="874" spans="1:16" x14ac:dyDescent="0.25">
      <c r="A874">
        <v>873</v>
      </c>
      <c r="B874">
        <v>424</v>
      </c>
      <c r="C874">
        <v>457</v>
      </c>
      <c r="D874">
        <v>1</v>
      </c>
      <c r="E874">
        <v>457</v>
      </c>
      <c r="F874" s="23">
        <v>45099</v>
      </c>
      <c r="G874" t="s">
        <v>18</v>
      </c>
      <c r="H874">
        <v>286</v>
      </c>
      <c r="I874" t="str">
        <f>VLOOKUP(Продажи[[#This Row],[id товара]],Товары[#All],2,FALSE)</f>
        <v>Печенье</v>
      </c>
      <c r="J874" s="19">
        <f>AVERAGEIF(Продажи[Категория товара],Продажи[[#This Row],[Категория товара]],Продажи[цена за шт в рублях])</f>
        <v>283.468085106383</v>
      </c>
      <c r="K874" s="20">
        <f>Продажи[[#This Row],[цена за шт в рублях]]/Продажи[[#This Row],[Средняя цена в категории за шт]]-1</f>
        <v>0.61217443518726999</v>
      </c>
      <c r="L874" t="str">
        <f>VLOOKUP(Продажи[[#This Row],[id товара]],Товары[#All],3,FALSE)</f>
        <v>КДВ</v>
      </c>
      <c r="M8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874" s="23">
        <f>VLOOKUP(Продажи[[#This Row],[id клиента]],Таблица4[#All],5,FALSE)</f>
        <v>44563</v>
      </c>
      <c r="O874">
        <f>Продажи[[#This Row],[дата создания чека]]-Продажи[[#This Row],[Дата регистрации клиентов]]</f>
        <v>536</v>
      </c>
      <c r="P874" t="str">
        <f>VLOOKUP(Продажи[[#This Row],[id клиента]],Таблица4[#All],7,FALSE)</f>
        <v>Таджикистан</v>
      </c>
    </row>
    <row r="875" spans="1:16" x14ac:dyDescent="0.25">
      <c r="A875">
        <v>874</v>
      </c>
      <c r="B875">
        <v>439</v>
      </c>
      <c r="C875">
        <v>392</v>
      </c>
      <c r="D875">
        <v>2</v>
      </c>
      <c r="E875">
        <v>784</v>
      </c>
      <c r="F875" s="23">
        <v>45135</v>
      </c>
      <c r="G875" t="s">
        <v>15</v>
      </c>
      <c r="H875">
        <v>74</v>
      </c>
      <c r="I875" t="str">
        <f>VLOOKUP(Продажи[[#This Row],[id товара]],Товары[#All],2,FALSE)</f>
        <v>Сок</v>
      </c>
      <c r="J875" s="19">
        <f>AVERAGEIF(Продажи[Категория товара],Продажи[[#This Row],[Категория товара]],Продажи[цена за шт в рублях])</f>
        <v>268.60344827586209</v>
      </c>
      <c r="K875" s="20">
        <f>Продажи[[#This Row],[цена за шт в рублях]]/Продажи[[#This Row],[Средняя цена в категории за шт]]-1</f>
        <v>0.45940047499839509</v>
      </c>
      <c r="L875" t="str">
        <f>VLOOKUP(Продажи[[#This Row],[id товара]],Товары[#All],3,FALSE)</f>
        <v>Добрый</v>
      </c>
      <c r="M8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875" s="23">
        <f>VLOOKUP(Продажи[[#This Row],[id клиента]],Таблица4[#All],5,FALSE)</f>
        <v>44857</v>
      </c>
      <c r="O875">
        <f>Продажи[[#This Row],[дата создания чека]]-Продажи[[#This Row],[Дата регистрации клиентов]]</f>
        <v>278</v>
      </c>
      <c r="P875" t="str">
        <f>VLOOKUP(Продажи[[#This Row],[id клиента]],Таблица4[#All],7,FALSE)</f>
        <v>Россия</v>
      </c>
    </row>
    <row r="876" spans="1:16" x14ac:dyDescent="0.25">
      <c r="A876">
        <v>875</v>
      </c>
      <c r="B876">
        <v>83</v>
      </c>
      <c r="C876">
        <v>282</v>
      </c>
      <c r="D876">
        <v>5</v>
      </c>
      <c r="E876">
        <v>1410</v>
      </c>
      <c r="F876" s="23">
        <v>44970</v>
      </c>
      <c r="G876" t="s">
        <v>12</v>
      </c>
      <c r="H876">
        <v>6</v>
      </c>
      <c r="I876" t="str">
        <f>VLOOKUP(Продажи[[#This Row],[id товара]],Товары[#All],2,FALSE)</f>
        <v>Сок</v>
      </c>
      <c r="J876" s="19">
        <f>AVERAGEIF(Продажи[Категория товара],Продажи[[#This Row],[Категория товара]],Продажи[цена за шт в рублях])</f>
        <v>268.60344827586209</v>
      </c>
      <c r="K876" s="20">
        <f>Продажи[[#This Row],[цена за шт в рублях]]/Продажи[[#This Row],[Средняя цена в категории за шт]]-1</f>
        <v>4.9874831503947448E-2</v>
      </c>
      <c r="L876" t="str">
        <f>VLOOKUP(Продажи[[#This Row],[id товара]],Товары[#All],3,FALSE)</f>
        <v>Сады Придонья</v>
      </c>
      <c r="M8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876" s="23">
        <f>VLOOKUP(Продажи[[#This Row],[id клиента]],Таблица4[#All],5,FALSE)</f>
        <v>44710</v>
      </c>
      <c r="O876">
        <f>Продажи[[#This Row],[дата создания чека]]-Продажи[[#This Row],[Дата регистрации клиентов]]</f>
        <v>260</v>
      </c>
      <c r="P876" t="str">
        <f>VLOOKUP(Продажи[[#This Row],[id клиента]],Таблица4[#All],7,FALSE)</f>
        <v>Украина</v>
      </c>
    </row>
    <row r="877" spans="1:16" x14ac:dyDescent="0.25">
      <c r="A877">
        <v>876</v>
      </c>
      <c r="B877">
        <v>329</v>
      </c>
      <c r="C877">
        <v>265</v>
      </c>
      <c r="D877">
        <v>2</v>
      </c>
      <c r="E877">
        <v>530</v>
      </c>
      <c r="F877" s="23">
        <v>45413</v>
      </c>
      <c r="G877" t="s">
        <v>22</v>
      </c>
      <c r="H877">
        <v>258</v>
      </c>
      <c r="I877" t="str">
        <f>VLOOKUP(Продажи[[#This Row],[id товара]],Товары[#All],2,FALSE)</f>
        <v>Соль</v>
      </c>
      <c r="J877" s="19">
        <f>AVERAGEIF(Продажи[Категория товара],Продажи[[#This Row],[Категория товара]],Продажи[цена за шт в рублях])</f>
        <v>264.8679245283019</v>
      </c>
      <c r="K877" s="20">
        <f>Продажи[[#This Row],[цена за шт в рублях]]/Продажи[[#This Row],[Средняя цена в категории за шт]]-1</f>
        <v>4.9864653084474853E-4</v>
      </c>
      <c r="L877" t="str">
        <f>VLOOKUP(Продажи[[#This Row],[id товара]],Товары[#All],3,FALSE)</f>
        <v>Славянская</v>
      </c>
      <c r="M8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877" s="23">
        <f>VLOOKUP(Продажи[[#This Row],[id клиента]],Таблица4[#All],5,FALSE)</f>
        <v>44717</v>
      </c>
      <c r="O877">
        <f>Продажи[[#This Row],[дата создания чека]]-Продажи[[#This Row],[Дата регистрации клиентов]]</f>
        <v>696</v>
      </c>
      <c r="P877" t="str">
        <f>VLOOKUP(Продажи[[#This Row],[id клиента]],Таблица4[#All],7,FALSE)</f>
        <v>Украина</v>
      </c>
    </row>
    <row r="878" spans="1:16" x14ac:dyDescent="0.25">
      <c r="A878">
        <v>877</v>
      </c>
      <c r="B878">
        <v>91</v>
      </c>
      <c r="C878">
        <v>146</v>
      </c>
      <c r="D878">
        <v>1</v>
      </c>
      <c r="E878">
        <v>146</v>
      </c>
      <c r="F878" s="23">
        <v>45022</v>
      </c>
      <c r="G878" t="s">
        <v>24</v>
      </c>
      <c r="H878">
        <v>138</v>
      </c>
      <c r="I878" t="str">
        <f>VLOOKUP(Продажи[[#This Row],[id товара]],Товары[#All],2,FALSE)</f>
        <v>Сыр</v>
      </c>
      <c r="J878" s="19">
        <f>AVERAGEIF(Продажи[Категория товара],Продажи[[#This Row],[Категория товара]],Продажи[цена за шт в рублях])</f>
        <v>262.63492063492066</v>
      </c>
      <c r="K878" s="20">
        <f>Продажи[[#This Row],[цена за шт в рублях]]/Продажи[[#This Row],[Средняя цена в категории за шт]]-1</f>
        <v>-0.44409524960715585</v>
      </c>
      <c r="L878" t="str">
        <f>VLOOKUP(Продажи[[#This Row],[id товара]],Товары[#All],3,FALSE)</f>
        <v>Сырная долина</v>
      </c>
      <c r="M8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878" s="23">
        <f>VLOOKUP(Продажи[[#This Row],[id клиента]],Таблица4[#All],5,FALSE)</f>
        <v>44723</v>
      </c>
      <c r="O878">
        <f>Продажи[[#This Row],[дата создания чека]]-Продажи[[#This Row],[Дата регистрации клиентов]]</f>
        <v>299</v>
      </c>
      <c r="P878" t="str">
        <f>VLOOKUP(Продажи[[#This Row],[id клиента]],Таблица4[#All],7,FALSE)</f>
        <v>Украина</v>
      </c>
    </row>
    <row r="879" spans="1:16" x14ac:dyDescent="0.25">
      <c r="A879">
        <v>878</v>
      </c>
      <c r="B879">
        <v>296</v>
      </c>
      <c r="C879">
        <v>58</v>
      </c>
      <c r="D879">
        <v>2</v>
      </c>
      <c r="E879">
        <v>116</v>
      </c>
      <c r="F879" s="23">
        <v>45401</v>
      </c>
      <c r="G879" t="s">
        <v>8</v>
      </c>
      <c r="H879">
        <v>419</v>
      </c>
      <c r="I879" t="str">
        <f>VLOOKUP(Продажи[[#This Row],[id товара]],Товары[#All],2,FALSE)</f>
        <v>Крупа</v>
      </c>
      <c r="J879" s="19">
        <f>AVERAGEIF(Продажи[Категория товара],Продажи[[#This Row],[Категория товара]],Продажи[цена за шт в рублях])</f>
        <v>255.11627906976744</v>
      </c>
      <c r="K879" s="20">
        <f>Продажи[[#This Row],[цена за шт в рублях]]/Продажи[[#This Row],[Средняя цена в категории за шт]]-1</f>
        <v>-0.7726526891522334</v>
      </c>
      <c r="L879" t="str">
        <f>VLOOKUP(Продажи[[#This Row],[id товара]],Товары[#All],3,FALSE)</f>
        <v>Мистраль</v>
      </c>
      <c r="M8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879" s="23">
        <f>VLOOKUP(Продажи[[#This Row],[id клиента]],Таблица4[#All],5,FALSE)</f>
        <v>44869</v>
      </c>
      <c r="O879">
        <f>Продажи[[#This Row],[дата создания чека]]-Продажи[[#This Row],[Дата регистрации клиентов]]</f>
        <v>532</v>
      </c>
      <c r="P879" t="str">
        <f>VLOOKUP(Продажи[[#This Row],[id клиента]],Таблица4[#All],7,FALSE)</f>
        <v>Таджикистан</v>
      </c>
    </row>
    <row r="880" spans="1:16" x14ac:dyDescent="0.25">
      <c r="A880">
        <v>879</v>
      </c>
      <c r="B880">
        <v>437</v>
      </c>
      <c r="C880">
        <v>379</v>
      </c>
      <c r="D880">
        <v>2</v>
      </c>
      <c r="E880">
        <v>758</v>
      </c>
      <c r="F880" s="23">
        <v>45381</v>
      </c>
      <c r="G880" t="s">
        <v>25</v>
      </c>
      <c r="H880">
        <v>148</v>
      </c>
      <c r="I880" t="str">
        <f>VLOOKUP(Продажи[[#This Row],[id товара]],Товары[#All],2,FALSE)</f>
        <v>Чай</v>
      </c>
      <c r="J880" s="19">
        <f>AVERAGEIF(Продажи[Категория товара],Продажи[[#This Row],[Категория товара]],Продажи[цена за шт в рублях])</f>
        <v>271.18181818181819</v>
      </c>
      <c r="K880" s="20">
        <f>Продажи[[#This Row],[цена за шт в рублях]]/Продажи[[#This Row],[Средняя цена в категории за шт]]-1</f>
        <v>0.39758632249413339</v>
      </c>
      <c r="L880" t="str">
        <f>VLOOKUP(Продажи[[#This Row],[id товара]],Товары[#All],3,FALSE)</f>
        <v>Тесс</v>
      </c>
      <c r="M8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281.75</v>
      </c>
      <c r="N880" s="23">
        <f>VLOOKUP(Продажи[[#This Row],[id клиента]],Таблица4[#All],5,FALSE)</f>
        <v>44700</v>
      </c>
      <c r="O880">
        <f>Продажи[[#This Row],[дата создания чека]]-Продажи[[#This Row],[Дата регистрации клиентов]]</f>
        <v>681</v>
      </c>
      <c r="P880" t="str">
        <f>VLOOKUP(Продажи[[#This Row],[id клиента]],Таблица4[#All],7,FALSE)</f>
        <v>Россия</v>
      </c>
    </row>
    <row r="881" spans="1:16" x14ac:dyDescent="0.25">
      <c r="A881">
        <v>880</v>
      </c>
      <c r="B881">
        <v>193</v>
      </c>
      <c r="C881">
        <v>201</v>
      </c>
      <c r="D881">
        <v>4</v>
      </c>
      <c r="E881">
        <v>804</v>
      </c>
      <c r="F881" s="23">
        <v>45203</v>
      </c>
      <c r="G881" t="s">
        <v>14</v>
      </c>
      <c r="H881">
        <v>105</v>
      </c>
      <c r="I881" t="str">
        <f>VLOOKUP(Продажи[[#This Row],[id товара]],Товары[#All],2,FALSE)</f>
        <v>Соль</v>
      </c>
      <c r="J881" s="19">
        <f>AVERAGEIF(Продажи[Категория товара],Продажи[[#This Row],[Категория товара]],Продажи[цена за шт в рублях])</f>
        <v>264.8679245283019</v>
      </c>
      <c r="K881" s="20">
        <f>Продажи[[#This Row],[цена за шт в рублях]]/Продажи[[#This Row],[Средняя цена в категории за шт]]-1</f>
        <v>-0.24113121527283088</v>
      </c>
      <c r="L881" t="str">
        <f>VLOOKUP(Продажи[[#This Row],[id товара]],Товары[#All],3,FALSE)</f>
        <v>Салта</v>
      </c>
      <c r="M8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881" s="23">
        <f>VLOOKUP(Продажи[[#This Row],[id клиента]],Таблица4[#All],5,FALSE)</f>
        <v>44918</v>
      </c>
      <c r="O881">
        <f>Продажи[[#This Row],[дата создания чека]]-Продажи[[#This Row],[Дата регистрации клиентов]]</f>
        <v>285</v>
      </c>
      <c r="P881" t="str">
        <f>VLOOKUP(Продажи[[#This Row],[id клиента]],Таблица4[#All],7,FALSE)</f>
        <v>Узбекистан</v>
      </c>
    </row>
    <row r="882" spans="1:16" x14ac:dyDescent="0.25">
      <c r="A882">
        <v>881</v>
      </c>
      <c r="B882">
        <v>144</v>
      </c>
      <c r="C882">
        <v>337</v>
      </c>
      <c r="D882">
        <v>3</v>
      </c>
      <c r="E882">
        <v>1011</v>
      </c>
      <c r="F882" s="23">
        <v>45039</v>
      </c>
      <c r="G882" t="s">
        <v>24</v>
      </c>
      <c r="H882">
        <v>365</v>
      </c>
      <c r="I882" t="str">
        <f>VLOOKUP(Продажи[[#This Row],[id товара]],Товары[#All],2,FALSE)</f>
        <v>Макароны</v>
      </c>
      <c r="J882" s="19">
        <f>AVERAGEIF(Продажи[Категория товара],Продажи[[#This Row],[Категория товара]],Продажи[цена за шт в рублях])</f>
        <v>265.47674418604652</v>
      </c>
      <c r="K882" s="20">
        <f>Продажи[[#This Row],[цена за шт в рублях]]/Продажи[[#This Row],[Средняя цена в категории за шт]]-1</f>
        <v>0.2694143927116639</v>
      </c>
      <c r="L882" t="str">
        <f>VLOOKUP(Продажи[[#This Row],[id товара]],Товары[#All],3,FALSE)</f>
        <v>Роллтон</v>
      </c>
      <c r="M8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235.55555555555554</v>
      </c>
      <c r="N882" s="23">
        <f>VLOOKUP(Продажи[[#This Row],[id клиента]],Таблица4[#All],5,FALSE)</f>
        <v>44841</v>
      </c>
      <c r="O882">
        <f>Продажи[[#This Row],[дата создания чека]]-Продажи[[#This Row],[Дата регистрации клиентов]]</f>
        <v>198</v>
      </c>
      <c r="P882" t="str">
        <f>VLOOKUP(Продажи[[#This Row],[id клиента]],Таблица4[#All],7,FALSE)</f>
        <v>Беларусь</v>
      </c>
    </row>
    <row r="883" spans="1:16" x14ac:dyDescent="0.25">
      <c r="A883">
        <v>882</v>
      </c>
      <c r="B883">
        <v>27</v>
      </c>
      <c r="C883">
        <v>160</v>
      </c>
      <c r="D883">
        <v>1</v>
      </c>
      <c r="E883">
        <v>160</v>
      </c>
      <c r="F883" s="23">
        <v>45276</v>
      </c>
      <c r="G883" t="s">
        <v>16</v>
      </c>
      <c r="H883">
        <v>416</v>
      </c>
      <c r="I883" t="str">
        <f>VLOOKUP(Продажи[[#This Row],[id товара]],Товары[#All],2,FALSE)</f>
        <v>Макароны</v>
      </c>
      <c r="J883" s="19">
        <f>AVERAGEIF(Продажи[Категория товара],Продажи[[#This Row],[Категория товара]],Продажи[цена за шт в рублях])</f>
        <v>265.47674418604652</v>
      </c>
      <c r="K883" s="20">
        <f>Продажи[[#This Row],[цена за шт в рублях]]/Продажи[[#This Row],[Средняя цена в категории за шт]]-1</f>
        <v>-0.39731067408348297</v>
      </c>
      <c r="L883" t="str">
        <f>VLOOKUP(Продажи[[#This Row],[id товара]],Товары[#All],3,FALSE)</f>
        <v>Паста Зара</v>
      </c>
      <c r="M8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883" s="23">
        <f>VLOOKUP(Продажи[[#This Row],[id клиента]],Таблица4[#All],5,FALSE)</f>
        <v>44703</v>
      </c>
      <c r="O883">
        <f>Продажи[[#This Row],[дата создания чека]]-Продажи[[#This Row],[Дата регистрации клиентов]]</f>
        <v>573</v>
      </c>
      <c r="P883" t="str">
        <f>VLOOKUP(Продажи[[#This Row],[id клиента]],Таблица4[#All],7,FALSE)</f>
        <v>Таджикистан</v>
      </c>
    </row>
    <row r="884" spans="1:16" x14ac:dyDescent="0.25">
      <c r="A884">
        <v>883</v>
      </c>
      <c r="B884">
        <v>375</v>
      </c>
      <c r="C884">
        <v>197</v>
      </c>
      <c r="D884">
        <v>5</v>
      </c>
      <c r="E884">
        <v>985</v>
      </c>
      <c r="F884" s="23">
        <v>45368</v>
      </c>
      <c r="G884" t="s">
        <v>15</v>
      </c>
      <c r="H884">
        <v>315</v>
      </c>
      <c r="I884" t="str">
        <f>VLOOKUP(Продажи[[#This Row],[id товара]],Товары[#All],2,FALSE)</f>
        <v>Макароны</v>
      </c>
      <c r="J884" s="19">
        <f>AVERAGEIF(Продажи[Категория товара],Продажи[[#This Row],[Категория товара]],Продажи[цена за шт в рублях])</f>
        <v>265.47674418604652</v>
      </c>
      <c r="K884" s="20">
        <f>Продажи[[#This Row],[цена за шт в рублях]]/Продажи[[#This Row],[Средняя цена в категории за шт]]-1</f>
        <v>-0.25793876746528843</v>
      </c>
      <c r="L884" t="str">
        <f>VLOOKUP(Продажи[[#This Row],[id товара]],Товары[#All],3,FALSE)</f>
        <v>Борилла</v>
      </c>
      <c r="M8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884" s="23">
        <f>VLOOKUP(Продажи[[#This Row],[id клиента]],Таблица4[#All],5,FALSE)</f>
        <v>44747</v>
      </c>
      <c r="O884">
        <f>Продажи[[#This Row],[дата создания чека]]-Продажи[[#This Row],[Дата регистрации клиентов]]</f>
        <v>621</v>
      </c>
      <c r="P884" t="str">
        <f>VLOOKUP(Продажи[[#This Row],[id клиента]],Таблица4[#All],7,FALSE)</f>
        <v>Узбекистан</v>
      </c>
    </row>
    <row r="885" spans="1:16" x14ac:dyDescent="0.25">
      <c r="A885">
        <v>884</v>
      </c>
      <c r="B885">
        <v>453</v>
      </c>
      <c r="C885">
        <v>437</v>
      </c>
      <c r="D885">
        <v>2</v>
      </c>
      <c r="E885">
        <v>874</v>
      </c>
      <c r="F885" s="23">
        <v>45394</v>
      </c>
      <c r="G885" t="s">
        <v>25</v>
      </c>
      <c r="H885">
        <v>81</v>
      </c>
      <c r="I885" t="str">
        <f>VLOOKUP(Продажи[[#This Row],[id товара]],Товары[#All],2,FALSE)</f>
        <v>Макароны</v>
      </c>
      <c r="J885" s="19">
        <f>AVERAGEIF(Продажи[Категория товара],Продажи[[#This Row],[Категория товара]],Продажи[цена за шт в рублях])</f>
        <v>265.47674418604652</v>
      </c>
      <c r="K885" s="20">
        <f>Продажи[[#This Row],[цена за шт в рублях]]/Продажи[[#This Row],[Средняя цена в категории за шт]]-1</f>
        <v>0.64609522140948705</v>
      </c>
      <c r="L885" t="str">
        <f>VLOOKUP(Продажи[[#This Row],[id товара]],Товары[#All],3,FALSE)</f>
        <v>Макфа</v>
      </c>
      <c r="M8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329.27272727272725</v>
      </c>
      <c r="N885" s="23">
        <f>VLOOKUP(Продажи[[#This Row],[id клиента]],Таблица4[#All],5,FALSE)</f>
        <v>44825</v>
      </c>
      <c r="O885">
        <f>Продажи[[#This Row],[дата создания чека]]-Продажи[[#This Row],[Дата регистрации клиентов]]</f>
        <v>569</v>
      </c>
      <c r="P885" t="str">
        <f>VLOOKUP(Продажи[[#This Row],[id клиента]],Таблица4[#All],7,FALSE)</f>
        <v>Россия</v>
      </c>
    </row>
    <row r="886" spans="1:16" x14ac:dyDescent="0.25">
      <c r="A886">
        <v>885</v>
      </c>
      <c r="B886">
        <v>388</v>
      </c>
      <c r="C886">
        <v>205</v>
      </c>
      <c r="D886">
        <v>2</v>
      </c>
      <c r="E886">
        <v>410</v>
      </c>
      <c r="F886" s="23">
        <v>45404</v>
      </c>
      <c r="G886" t="s">
        <v>21</v>
      </c>
      <c r="H886">
        <v>262</v>
      </c>
      <c r="I886" t="str">
        <f>VLOOKUP(Продажи[[#This Row],[id товара]],Товары[#All],2,FALSE)</f>
        <v>Рыба</v>
      </c>
      <c r="J886" s="19">
        <f>AVERAGEIF(Продажи[Категория товара],Продажи[[#This Row],[Категория товара]],Продажи[цена за шт в рублях])</f>
        <v>258.5128205128205</v>
      </c>
      <c r="K886" s="20">
        <f>Продажи[[#This Row],[цена за шт в рублях]]/Продажи[[#This Row],[Средняя цена в категории за шт]]-1</f>
        <v>-0.20700257885340201</v>
      </c>
      <c r="L886" t="str">
        <f>VLOOKUP(Продажи[[#This Row],[id товара]],Товары[#All],3,FALSE)</f>
        <v>Меридиан</v>
      </c>
      <c r="M8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886" s="23">
        <f>VLOOKUP(Продажи[[#This Row],[id клиента]],Таблица4[#All],5,FALSE)</f>
        <v>44778</v>
      </c>
      <c r="O886">
        <f>Продажи[[#This Row],[дата создания чека]]-Продажи[[#This Row],[Дата регистрации клиентов]]</f>
        <v>626</v>
      </c>
      <c r="P886" t="str">
        <f>VLOOKUP(Продажи[[#This Row],[id клиента]],Таблица4[#All],7,FALSE)</f>
        <v>Таджикистан</v>
      </c>
    </row>
    <row r="887" spans="1:16" x14ac:dyDescent="0.25">
      <c r="A887">
        <v>886</v>
      </c>
      <c r="B887">
        <v>312</v>
      </c>
      <c r="C887">
        <v>476</v>
      </c>
      <c r="D887">
        <v>2</v>
      </c>
      <c r="E887">
        <v>952</v>
      </c>
      <c r="F887" s="23">
        <v>45113</v>
      </c>
      <c r="G887" t="s">
        <v>24</v>
      </c>
      <c r="H887">
        <v>239</v>
      </c>
      <c r="I887" t="str">
        <f>VLOOKUP(Продажи[[#This Row],[id товара]],Товары[#All],2,FALSE)</f>
        <v>Хлеб</v>
      </c>
      <c r="J887" s="19">
        <f>AVERAGEIF(Продажи[Категория товара],Продажи[[#This Row],[Категория товара]],Продажи[цена за шт в рублях])</f>
        <v>300.31818181818181</v>
      </c>
      <c r="K887" s="20">
        <f>Продажи[[#This Row],[цена за шт в рублях]]/Продажи[[#This Row],[Средняя цена в категории за шт]]-1</f>
        <v>0.58498562131073117</v>
      </c>
      <c r="L887" t="str">
        <f>VLOOKUP(Продажи[[#This Row],[id товара]],Товары[#All],3,FALSE)</f>
        <v>Каравай</v>
      </c>
      <c r="M8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887" s="23">
        <f>VLOOKUP(Продажи[[#This Row],[id клиента]],Таблица4[#All],5,FALSE)</f>
        <v>44767</v>
      </c>
      <c r="O887">
        <f>Продажи[[#This Row],[дата создания чека]]-Продажи[[#This Row],[Дата регистрации клиентов]]</f>
        <v>346</v>
      </c>
      <c r="P887" t="str">
        <f>VLOOKUP(Продажи[[#This Row],[id клиента]],Таблица4[#All],7,FALSE)</f>
        <v>Узбекистан</v>
      </c>
    </row>
    <row r="888" spans="1:16" x14ac:dyDescent="0.25">
      <c r="A888">
        <v>887</v>
      </c>
      <c r="B888">
        <v>486</v>
      </c>
      <c r="C888">
        <v>230</v>
      </c>
      <c r="D888">
        <v>2</v>
      </c>
      <c r="E888">
        <v>460</v>
      </c>
      <c r="F888" s="23">
        <v>45207</v>
      </c>
      <c r="G888" t="s">
        <v>9</v>
      </c>
      <c r="H888">
        <v>358</v>
      </c>
      <c r="I888" t="str">
        <f>VLOOKUP(Продажи[[#This Row],[id товара]],Товары[#All],2,FALSE)</f>
        <v>Соль</v>
      </c>
      <c r="J888" s="19">
        <f>AVERAGEIF(Продажи[Категория товара],Продажи[[#This Row],[Категория товара]],Продажи[цена за шт в рублях])</f>
        <v>264.8679245283019</v>
      </c>
      <c r="K888" s="20">
        <f>Продажи[[#This Row],[цена за шт в рублях]]/Продажи[[#This Row],[Средняя цена в категории за шт]]-1</f>
        <v>-0.13164268414304037</v>
      </c>
      <c r="L888" t="str">
        <f>VLOOKUP(Продажи[[#This Row],[id товара]],Товары[#All],3,FALSE)</f>
        <v>Илецкая</v>
      </c>
      <c r="M8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888" s="23">
        <f>VLOOKUP(Продажи[[#This Row],[id клиента]],Таблица4[#All],5,FALSE)</f>
        <v>44771</v>
      </c>
      <c r="O888">
        <f>Продажи[[#This Row],[дата создания чека]]-Продажи[[#This Row],[Дата регистрации клиентов]]</f>
        <v>436</v>
      </c>
      <c r="P888" t="str">
        <f>VLOOKUP(Продажи[[#This Row],[id клиента]],Таблица4[#All],7,FALSE)</f>
        <v>Украина</v>
      </c>
    </row>
    <row r="889" spans="1:16" x14ac:dyDescent="0.25">
      <c r="A889">
        <v>888</v>
      </c>
      <c r="B889">
        <v>295</v>
      </c>
      <c r="C889">
        <v>219</v>
      </c>
      <c r="D889">
        <v>5</v>
      </c>
      <c r="E889">
        <v>1095</v>
      </c>
      <c r="F889" s="23">
        <v>45165</v>
      </c>
      <c r="G889" t="s">
        <v>19</v>
      </c>
      <c r="H889">
        <v>331</v>
      </c>
      <c r="I889" t="str">
        <f>VLOOKUP(Продажи[[#This Row],[id товара]],Товары[#All],2,FALSE)</f>
        <v>Печенье</v>
      </c>
      <c r="J889" s="19">
        <f>AVERAGEIF(Продажи[Категория товара],Продажи[[#This Row],[Категория товара]],Продажи[цена за шт в рублях])</f>
        <v>283.468085106383</v>
      </c>
      <c r="K889" s="20">
        <f>Продажи[[#This Row],[цена за шт в рублях]]/Продажи[[#This Row],[Средняя цена в категории за шт]]-1</f>
        <v>-0.22742625534789462</v>
      </c>
      <c r="L889" t="str">
        <f>VLOOKUP(Продажи[[#This Row],[id товара]],Товары[#All],3,FALSE)</f>
        <v>Белогорье</v>
      </c>
      <c r="M8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889" s="23">
        <f>VLOOKUP(Продажи[[#This Row],[id клиента]],Таблица4[#All],5,FALSE)</f>
        <v>44813</v>
      </c>
      <c r="O889">
        <f>Продажи[[#This Row],[дата создания чека]]-Продажи[[#This Row],[Дата регистрации клиентов]]</f>
        <v>352</v>
      </c>
      <c r="P889" t="str">
        <f>VLOOKUP(Продажи[[#This Row],[id клиента]],Таблица4[#All],7,FALSE)</f>
        <v>Узбекистан</v>
      </c>
    </row>
    <row r="890" spans="1:16" x14ac:dyDescent="0.25">
      <c r="A890">
        <v>889</v>
      </c>
      <c r="B890">
        <v>1</v>
      </c>
      <c r="C890">
        <v>206</v>
      </c>
      <c r="D890">
        <v>3</v>
      </c>
      <c r="E890">
        <v>618</v>
      </c>
      <c r="F890" s="23">
        <v>44986</v>
      </c>
      <c r="G890" t="s">
        <v>13</v>
      </c>
      <c r="H890">
        <v>31</v>
      </c>
      <c r="I890" t="str">
        <f>VLOOKUP(Продажи[[#This Row],[id товара]],Товары[#All],2,FALSE)</f>
        <v>Крупа</v>
      </c>
      <c r="J890" s="19">
        <f>AVERAGEIF(Продажи[Категория товара],Продажи[[#This Row],[Категория товара]],Продажи[цена за шт в рублях])</f>
        <v>255.11627906976744</v>
      </c>
      <c r="K890" s="20">
        <f>Продажи[[#This Row],[цена за шт в рублях]]/Продажи[[#This Row],[Средняя цена в категории за шт]]-1</f>
        <v>-0.1925250683682771</v>
      </c>
      <c r="L890" t="str">
        <f>VLOOKUP(Продажи[[#This Row],[id товара]],Товары[#All],3,FALSE)</f>
        <v>Ярмарка</v>
      </c>
      <c r="M8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890" s="23">
        <f>VLOOKUP(Продажи[[#This Row],[id клиента]],Таблица4[#All],5,FALSE)</f>
        <v>44580</v>
      </c>
      <c r="O890">
        <f>Продажи[[#This Row],[дата создания чека]]-Продажи[[#This Row],[Дата регистрации клиентов]]</f>
        <v>406</v>
      </c>
      <c r="P890" t="str">
        <f>VLOOKUP(Продажи[[#This Row],[id клиента]],Таблица4[#All],7,FALSE)</f>
        <v>Украина</v>
      </c>
    </row>
    <row r="891" spans="1:16" x14ac:dyDescent="0.25">
      <c r="A891">
        <v>890</v>
      </c>
      <c r="B891">
        <v>347</v>
      </c>
      <c r="C891">
        <v>343</v>
      </c>
      <c r="D891">
        <v>3</v>
      </c>
      <c r="E891">
        <v>1029</v>
      </c>
      <c r="F891" s="23">
        <v>44937</v>
      </c>
      <c r="G891" t="s">
        <v>10</v>
      </c>
      <c r="H891">
        <v>74</v>
      </c>
      <c r="I891" t="str">
        <f>VLOOKUP(Продажи[[#This Row],[id товара]],Товары[#All],2,FALSE)</f>
        <v>Макароны</v>
      </c>
      <c r="J891" s="19">
        <f>AVERAGEIF(Продажи[Категория товара],Продажи[[#This Row],[Категория товара]],Продажи[цена за шт в рублях])</f>
        <v>265.47674418604652</v>
      </c>
      <c r="K891" s="20">
        <f>Продажи[[#This Row],[цена за шт в рублях]]/Продажи[[#This Row],[Средняя цена в категории за шт]]-1</f>
        <v>0.29201524243353338</v>
      </c>
      <c r="L891" t="str">
        <f>VLOOKUP(Продажи[[#This Row],[id товара]],Товары[#All],3,FALSE)</f>
        <v>Паста Зара</v>
      </c>
      <c r="M8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891" s="23">
        <f>VLOOKUP(Продажи[[#This Row],[id клиента]],Таблица4[#All],5,FALSE)</f>
        <v>44857</v>
      </c>
      <c r="O891">
        <f>Продажи[[#This Row],[дата создания чека]]-Продажи[[#This Row],[Дата регистрации клиентов]]</f>
        <v>80</v>
      </c>
      <c r="P891" t="str">
        <f>VLOOKUP(Продажи[[#This Row],[id клиента]],Таблица4[#All],7,FALSE)</f>
        <v>Россия</v>
      </c>
    </row>
    <row r="892" spans="1:16" x14ac:dyDescent="0.25">
      <c r="A892">
        <v>891</v>
      </c>
      <c r="B892">
        <v>308</v>
      </c>
      <c r="C892">
        <v>147</v>
      </c>
      <c r="D892">
        <v>2</v>
      </c>
      <c r="E892">
        <v>294</v>
      </c>
      <c r="F892" s="23">
        <v>45261</v>
      </c>
      <c r="G892" t="s">
        <v>19</v>
      </c>
      <c r="H892">
        <v>80</v>
      </c>
      <c r="I892" t="str">
        <f>VLOOKUP(Продажи[[#This Row],[id товара]],Товары[#All],2,FALSE)</f>
        <v>Конфеты</v>
      </c>
      <c r="J892" s="19">
        <f>AVERAGEIF(Продажи[Категория товара],Продажи[[#This Row],[Категория товара]],Продажи[цена за шт в рублях])</f>
        <v>267.85483870967744</v>
      </c>
      <c r="K892" s="20">
        <f>Продажи[[#This Row],[цена за шт в рублях]]/Продажи[[#This Row],[Средняя цена в категории за шт]]-1</f>
        <v>-0.45119527909917512</v>
      </c>
      <c r="L892" t="str">
        <f>VLOOKUP(Продажи[[#This Row],[id товара]],Товары[#All],3,FALSE)</f>
        <v>Бабаевский</v>
      </c>
      <c r="M8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892" s="23">
        <f>VLOOKUP(Продажи[[#This Row],[id клиента]],Таблица4[#All],5,FALSE)</f>
        <v>44623</v>
      </c>
      <c r="O892">
        <f>Продажи[[#This Row],[дата создания чека]]-Продажи[[#This Row],[Дата регистрации клиентов]]</f>
        <v>638</v>
      </c>
      <c r="P892" t="str">
        <f>VLOOKUP(Продажи[[#This Row],[id клиента]],Таблица4[#All],7,FALSE)</f>
        <v>Беларусь</v>
      </c>
    </row>
    <row r="893" spans="1:16" x14ac:dyDescent="0.25">
      <c r="A893">
        <v>892</v>
      </c>
      <c r="B893">
        <v>52</v>
      </c>
      <c r="C893">
        <v>423</v>
      </c>
      <c r="D893">
        <v>3</v>
      </c>
      <c r="E893">
        <v>1269</v>
      </c>
      <c r="F893" s="23">
        <v>45378</v>
      </c>
      <c r="G893" t="s">
        <v>14</v>
      </c>
      <c r="H893">
        <v>496</v>
      </c>
      <c r="I893" t="str">
        <f>VLOOKUP(Продажи[[#This Row],[id товара]],Товары[#All],2,FALSE)</f>
        <v>Соль</v>
      </c>
      <c r="J893" s="19">
        <f>AVERAGEIF(Продажи[Категория товара],Продажи[[#This Row],[Категория товара]],Продажи[цена за шт в рублях])</f>
        <v>264.8679245283019</v>
      </c>
      <c r="K893" s="20">
        <f>Продажи[[#This Row],[цена за шт в рублях]]/Продажи[[#This Row],[Средняя цена в категории за шт]]-1</f>
        <v>0.59702236785866925</v>
      </c>
      <c r="L893" t="str">
        <f>VLOOKUP(Продажи[[#This Row],[id товара]],Товары[#All],3,FALSE)</f>
        <v>Илецкая</v>
      </c>
      <c r="M8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893" s="23">
        <f>VLOOKUP(Продажи[[#This Row],[id клиента]],Таблица4[#All],5,FALSE)</f>
        <v>44867</v>
      </c>
      <c r="O893">
        <f>Продажи[[#This Row],[дата создания чека]]-Продажи[[#This Row],[Дата регистрации клиентов]]</f>
        <v>511</v>
      </c>
      <c r="P893" t="str">
        <f>VLOOKUP(Продажи[[#This Row],[id клиента]],Таблица4[#All],7,FALSE)</f>
        <v>Украина</v>
      </c>
    </row>
    <row r="894" spans="1:16" x14ac:dyDescent="0.25">
      <c r="A894">
        <v>893</v>
      </c>
      <c r="B894">
        <v>75</v>
      </c>
      <c r="C894">
        <v>494</v>
      </c>
      <c r="D894">
        <v>4</v>
      </c>
      <c r="E894">
        <v>1976</v>
      </c>
      <c r="F894" s="23">
        <v>45030</v>
      </c>
      <c r="G894" t="s">
        <v>11</v>
      </c>
      <c r="H894">
        <v>477</v>
      </c>
      <c r="I894" t="str">
        <f>VLOOKUP(Продажи[[#This Row],[id товара]],Товары[#All],2,FALSE)</f>
        <v>Печенье</v>
      </c>
      <c r="J894" s="19">
        <f>AVERAGEIF(Продажи[Категория товара],Продажи[[#This Row],[Категория товара]],Продажи[цена за шт в рублях])</f>
        <v>283.468085106383</v>
      </c>
      <c r="K894" s="20">
        <f>Продажи[[#This Row],[цена за шт в рублях]]/Продажи[[#This Row],[Средняя цена в категории за шт]]-1</f>
        <v>0.7427005929595436</v>
      </c>
      <c r="L894" t="str">
        <f>VLOOKUP(Продажи[[#This Row],[id товара]],Товары[#All],3,FALSE)</f>
        <v>Белогорье</v>
      </c>
      <c r="M8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249.5</v>
      </c>
      <c r="N894" s="23">
        <f>VLOOKUP(Продажи[[#This Row],[id клиента]],Таблица4[#All],5,FALSE)</f>
        <v>44738</v>
      </c>
      <c r="O894">
        <f>Продажи[[#This Row],[дата создания чека]]-Продажи[[#This Row],[Дата регистрации клиентов]]</f>
        <v>292</v>
      </c>
      <c r="P894" t="str">
        <f>VLOOKUP(Продажи[[#This Row],[id клиента]],Таблица4[#All],7,FALSE)</f>
        <v>Узбекистан</v>
      </c>
    </row>
    <row r="895" spans="1:16" x14ac:dyDescent="0.25">
      <c r="A895">
        <v>894</v>
      </c>
      <c r="B895">
        <v>148</v>
      </c>
      <c r="C895">
        <v>270</v>
      </c>
      <c r="D895">
        <v>2</v>
      </c>
      <c r="E895">
        <v>540</v>
      </c>
      <c r="F895" s="23">
        <v>45206</v>
      </c>
      <c r="G895" t="s">
        <v>13</v>
      </c>
      <c r="H895">
        <v>196</v>
      </c>
      <c r="I895" t="str">
        <f>VLOOKUP(Продажи[[#This Row],[id товара]],Товары[#All],2,FALSE)</f>
        <v>Сок</v>
      </c>
      <c r="J895" s="19">
        <f>AVERAGEIF(Продажи[Категория товара],Продажи[[#This Row],[Категория товара]],Продажи[цена за шт в рублях])</f>
        <v>268.60344827586209</v>
      </c>
      <c r="K895" s="20">
        <f>Продажи[[#This Row],[цена за шт в рублях]]/Продажи[[#This Row],[Средняя цена в категории за шт]]-1</f>
        <v>5.199306759098743E-3</v>
      </c>
      <c r="L895" t="str">
        <f>VLOOKUP(Продажи[[#This Row],[id товара]],Товары[#All],3,FALSE)</f>
        <v>Фруктовый сад</v>
      </c>
      <c r="M8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895" s="23">
        <f>VLOOKUP(Продажи[[#This Row],[id клиента]],Таблица4[#All],5,FALSE)</f>
        <v>44835</v>
      </c>
      <c r="O895">
        <f>Продажи[[#This Row],[дата создания чека]]-Продажи[[#This Row],[Дата регистрации клиентов]]</f>
        <v>371</v>
      </c>
      <c r="P895" t="str">
        <f>VLOOKUP(Продажи[[#This Row],[id клиента]],Таблица4[#All],7,FALSE)</f>
        <v>Россия</v>
      </c>
    </row>
    <row r="896" spans="1:16" x14ac:dyDescent="0.25">
      <c r="A896">
        <v>895</v>
      </c>
      <c r="B896">
        <v>481</v>
      </c>
      <c r="C896">
        <v>470</v>
      </c>
      <c r="D896">
        <v>2</v>
      </c>
      <c r="E896">
        <v>940</v>
      </c>
      <c r="F896" s="23">
        <v>45101</v>
      </c>
      <c r="G896" t="s">
        <v>9</v>
      </c>
      <c r="H896">
        <v>400</v>
      </c>
      <c r="I896" t="str">
        <f>VLOOKUP(Продажи[[#This Row],[id товара]],Товары[#All],2,FALSE)</f>
        <v>Чипсы</v>
      </c>
      <c r="J896" s="19">
        <f>AVERAGEIF(Продажи[Категория товара],Продажи[[#This Row],[Категория товара]],Продажи[цена за шт в рублях])</f>
        <v>273.72549019607845</v>
      </c>
      <c r="K896" s="20">
        <f>Продажи[[#This Row],[цена за шт в рублях]]/Продажи[[#This Row],[Средняя цена в категории за шт]]-1</f>
        <v>0.71704871060171915</v>
      </c>
      <c r="L896" t="str">
        <f>VLOOKUP(Продажи[[#This Row],[id товара]],Товары[#All],3,FALSE)</f>
        <v>Pringles</v>
      </c>
      <c r="M8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896" s="23">
        <f>VLOOKUP(Продажи[[#This Row],[id клиента]],Таблица4[#All],5,FALSE)</f>
        <v>44765</v>
      </c>
      <c r="O896">
        <f>Продажи[[#This Row],[дата создания чека]]-Продажи[[#This Row],[Дата регистрации клиентов]]</f>
        <v>336</v>
      </c>
      <c r="P896" t="str">
        <f>VLOOKUP(Продажи[[#This Row],[id клиента]],Таблица4[#All],7,FALSE)</f>
        <v>Беларусь</v>
      </c>
    </row>
    <row r="897" spans="1:16" x14ac:dyDescent="0.25">
      <c r="A897">
        <v>896</v>
      </c>
      <c r="B897">
        <v>194</v>
      </c>
      <c r="C897">
        <v>278</v>
      </c>
      <c r="D897">
        <v>4</v>
      </c>
      <c r="E897">
        <v>1112</v>
      </c>
      <c r="F897" s="23">
        <v>45286</v>
      </c>
      <c r="G897" t="s">
        <v>17</v>
      </c>
      <c r="H897">
        <v>271</v>
      </c>
      <c r="I897" t="str">
        <f>VLOOKUP(Продажи[[#This Row],[id товара]],Товары[#All],2,FALSE)</f>
        <v>Соль</v>
      </c>
      <c r="J897" s="19">
        <f>AVERAGEIF(Продажи[Категория товара],Продажи[[#This Row],[Категория товара]],Продажи[цена за шт в рублях])</f>
        <v>264.8679245283019</v>
      </c>
      <c r="K897" s="20">
        <f>Продажи[[#This Row],[цена за шт в рублях]]/Продажи[[#This Row],[Средняя цена в категории за шт]]-1</f>
        <v>4.9579712209716353E-2</v>
      </c>
      <c r="L897" t="str">
        <f>VLOOKUP(Продажи[[#This Row],[id товара]],Товары[#All],3,FALSE)</f>
        <v>Салта</v>
      </c>
      <c r="M8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273.7</v>
      </c>
      <c r="N897" s="23">
        <f>VLOOKUP(Продажи[[#This Row],[id клиента]],Таблица4[#All],5,FALSE)</f>
        <v>44892</v>
      </c>
      <c r="O897">
        <f>Продажи[[#This Row],[дата создания чека]]-Продажи[[#This Row],[Дата регистрации клиентов]]</f>
        <v>394</v>
      </c>
      <c r="P897" t="str">
        <f>VLOOKUP(Продажи[[#This Row],[id клиента]],Таблица4[#All],7,FALSE)</f>
        <v>Беларусь</v>
      </c>
    </row>
    <row r="898" spans="1:16" x14ac:dyDescent="0.25">
      <c r="A898">
        <v>897</v>
      </c>
      <c r="B898">
        <v>422</v>
      </c>
      <c r="C898">
        <v>244</v>
      </c>
      <c r="D898">
        <v>3</v>
      </c>
      <c r="E898">
        <v>732</v>
      </c>
      <c r="F898" s="23">
        <v>45370</v>
      </c>
      <c r="G898" t="s">
        <v>13</v>
      </c>
      <c r="H898">
        <v>265</v>
      </c>
      <c r="I898" t="str">
        <f>VLOOKUP(Продажи[[#This Row],[id товара]],Товары[#All],2,FALSE)</f>
        <v>Кофе</v>
      </c>
      <c r="J898" s="19">
        <f>AVERAGEIF(Продажи[Категория товара],Продажи[[#This Row],[Категория товара]],Продажи[цена за шт в рублях])</f>
        <v>249.02380952380952</v>
      </c>
      <c r="K898" s="20">
        <f>Продажи[[#This Row],[цена за шт в рублях]]/Продажи[[#This Row],[Средняя цена в категории за шт]]-1</f>
        <v>-2.0174012811932318E-2</v>
      </c>
      <c r="L898" t="str">
        <f>VLOOKUP(Продажи[[#This Row],[id товара]],Товары[#All],3,FALSE)</f>
        <v>Nescafe</v>
      </c>
      <c r="M8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256.89999999999998</v>
      </c>
      <c r="N898" s="23">
        <f>VLOOKUP(Продажи[[#This Row],[id клиента]],Таблица4[#All],5,FALSE)</f>
        <v>44756</v>
      </c>
      <c r="O898">
        <f>Продажи[[#This Row],[дата создания чека]]-Продажи[[#This Row],[Дата регистрации клиентов]]</f>
        <v>614</v>
      </c>
      <c r="P898" t="str">
        <f>VLOOKUP(Продажи[[#This Row],[id клиента]],Таблица4[#All],7,FALSE)</f>
        <v>Узбекистан</v>
      </c>
    </row>
    <row r="899" spans="1:16" x14ac:dyDescent="0.25">
      <c r="A899">
        <v>898</v>
      </c>
      <c r="B899">
        <v>52</v>
      </c>
      <c r="C899">
        <v>142</v>
      </c>
      <c r="D899">
        <v>3</v>
      </c>
      <c r="E899">
        <v>426</v>
      </c>
      <c r="F899" s="23">
        <v>44929</v>
      </c>
      <c r="G899" t="s">
        <v>18</v>
      </c>
      <c r="H899">
        <v>366</v>
      </c>
      <c r="I899" t="str">
        <f>VLOOKUP(Продажи[[#This Row],[id товара]],Товары[#All],2,FALSE)</f>
        <v>Соль</v>
      </c>
      <c r="J899" s="19">
        <f>AVERAGEIF(Продажи[Категория товара],Продажи[[#This Row],[Категория товара]],Продажи[цена за шт в рублях])</f>
        <v>264.8679245283019</v>
      </c>
      <c r="K899" s="20">
        <f>Продажи[[#This Row],[цена за шт в рублях]]/Продажи[[#This Row],[Средняя цена в категории за шт]]-1</f>
        <v>-0.46388374412309452</v>
      </c>
      <c r="L899" t="str">
        <f>VLOOKUP(Продажи[[#This Row],[id товара]],Товары[#All],3,FALSE)</f>
        <v>Илецкая</v>
      </c>
      <c r="M8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238.16666666666666</v>
      </c>
      <c r="N899" s="23">
        <f>VLOOKUP(Продажи[[#This Row],[id клиента]],Таблица4[#All],5,FALSE)</f>
        <v>44827</v>
      </c>
      <c r="O899">
        <f>Продажи[[#This Row],[дата создания чека]]-Продажи[[#This Row],[Дата регистрации клиентов]]</f>
        <v>102</v>
      </c>
      <c r="P899" t="str">
        <f>VLOOKUP(Продажи[[#This Row],[id клиента]],Таблица4[#All],7,FALSE)</f>
        <v>Узбекистан</v>
      </c>
    </row>
    <row r="900" spans="1:16" x14ac:dyDescent="0.25">
      <c r="A900">
        <v>899</v>
      </c>
      <c r="B900">
        <v>73</v>
      </c>
      <c r="C900">
        <v>160</v>
      </c>
      <c r="D900">
        <v>4</v>
      </c>
      <c r="E900">
        <v>640</v>
      </c>
      <c r="F900" s="23">
        <v>45163</v>
      </c>
      <c r="G900" t="s">
        <v>12</v>
      </c>
      <c r="H900">
        <v>302</v>
      </c>
      <c r="I900" t="str">
        <f>VLOOKUP(Продажи[[#This Row],[id товара]],Товары[#All],2,FALSE)</f>
        <v>Хлеб</v>
      </c>
      <c r="J900" s="19">
        <f>AVERAGEIF(Продажи[Категория товара],Продажи[[#This Row],[Категория товара]],Продажи[цена за шт в рублях])</f>
        <v>300.31818181818181</v>
      </c>
      <c r="K900" s="20">
        <f>Продажи[[#This Row],[цена за шт в рублях]]/Продажи[[#This Row],[Средняя цена в категории за шт]]-1</f>
        <v>-0.46723172392916601</v>
      </c>
      <c r="L900" t="str">
        <f>VLOOKUP(Продажи[[#This Row],[id товара]],Товары[#All],3,FALSE)</f>
        <v>Дарница</v>
      </c>
      <c r="M9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900" s="23">
        <f>VLOOKUP(Продажи[[#This Row],[id клиента]],Таблица4[#All],5,FALSE)</f>
        <v>44859</v>
      </c>
      <c r="O900">
        <f>Продажи[[#This Row],[дата создания чека]]-Продажи[[#This Row],[Дата регистрации клиентов]]</f>
        <v>304</v>
      </c>
      <c r="P900" t="str">
        <f>VLOOKUP(Продажи[[#This Row],[id клиента]],Таблица4[#All],7,FALSE)</f>
        <v>Россия</v>
      </c>
    </row>
    <row r="901" spans="1:16" x14ac:dyDescent="0.25">
      <c r="A901">
        <v>900</v>
      </c>
      <c r="B901">
        <v>208</v>
      </c>
      <c r="C901">
        <v>476</v>
      </c>
      <c r="D901">
        <v>5</v>
      </c>
      <c r="E901">
        <v>2380</v>
      </c>
      <c r="F901" s="23">
        <v>45262</v>
      </c>
      <c r="G901" t="s">
        <v>26</v>
      </c>
      <c r="H901">
        <v>326</v>
      </c>
      <c r="I901" t="str">
        <f>VLOOKUP(Продажи[[#This Row],[id товара]],Товары[#All],2,FALSE)</f>
        <v>Конфеты</v>
      </c>
      <c r="J901" s="19">
        <f>AVERAGEIF(Продажи[Категория товара],Продажи[[#This Row],[Категория товара]],Продажи[цена за шт в рублях])</f>
        <v>267.85483870967744</v>
      </c>
      <c r="K901" s="20">
        <f>Продажи[[#This Row],[цена за шт в рублях]]/Продажи[[#This Row],[Средняя цена в категории за шт]]-1</f>
        <v>0.77708195339314745</v>
      </c>
      <c r="L901" t="str">
        <f>VLOOKUP(Продажи[[#This Row],[id товара]],Товары[#All],3,FALSE)</f>
        <v>Славянка</v>
      </c>
      <c r="M9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901" s="23">
        <f>VLOOKUP(Продажи[[#This Row],[id клиента]],Таблица4[#All],5,FALSE)</f>
        <v>44655</v>
      </c>
      <c r="O901">
        <f>Продажи[[#This Row],[дата создания чека]]-Продажи[[#This Row],[Дата регистрации клиентов]]</f>
        <v>607</v>
      </c>
      <c r="P901" t="str">
        <f>VLOOKUP(Продажи[[#This Row],[id клиента]],Таблица4[#All],7,FALSE)</f>
        <v>Россия</v>
      </c>
    </row>
    <row r="902" spans="1:16" x14ac:dyDescent="0.25">
      <c r="A902">
        <v>901</v>
      </c>
      <c r="B902">
        <v>458</v>
      </c>
      <c r="C902">
        <v>343</v>
      </c>
      <c r="D902">
        <v>3</v>
      </c>
      <c r="E902">
        <v>1029</v>
      </c>
      <c r="F902" s="23">
        <v>45005</v>
      </c>
      <c r="G902" t="s">
        <v>20</v>
      </c>
      <c r="H902">
        <v>282</v>
      </c>
      <c r="I902" t="str">
        <f>VLOOKUP(Продажи[[#This Row],[id товара]],Товары[#All],2,FALSE)</f>
        <v>Макароны</v>
      </c>
      <c r="J902" s="19">
        <f>AVERAGEIF(Продажи[Категория товара],Продажи[[#This Row],[Категория товара]],Продажи[цена за шт в рублях])</f>
        <v>265.47674418604652</v>
      </c>
      <c r="K902" s="20">
        <f>Продажи[[#This Row],[цена за шт в рублях]]/Продажи[[#This Row],[Средняя цена в категории за шт]]-1</f>
        <v>0.29201524243353338</v>
      </c>
      <c r="L902" t="str">
        <f>VLOOKUP(Продажи[[#This Row],[id товара]],Товары[#All],3,FALSE)</f>
        <v>Борилла</v>
      </c>
      <c r="M90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02" s="23">
        <f>VLOOKUP(Продажи[[#This Row],[id клиента]],Таблица4[#All],5,FALSE)</f>
        <v>44735</v>
      </c>
      <c r="O902">
        <f>Продажи[[#This Row],[дата создания чека]]-Продажи[[#This Row],[Дата регистрации клиентов]]</f>
        <v>270</v>
      </c>
      <c r="P902" t="str">
        <f>VLOOKUP(Продажи[[#This Row],[id клиента]],Таблица4[#All],7,FALSE)</f>
        <v>Узбекистан</v>
      </c>
    </row>
    <row r="903" spans="1:16" x14ac:dyDescent="0.25">
      <c r="A903">
        <v>902</v>
      </c>
      <c r="B903">
        <v>444</v>
      </c>
      <c r="C903">
        <v>328</v>
      </c>
      <c r="D903">
        <v>3</v>
      </c>
      <c r="E903">
        <v>984</v>
      </c>
      <c r="F903" s="23">
        <v>45102</v>
      </c>
      <c r="G903" t="s">
        <v>27</v>
      </c>
      <c r="H903">
        <v>292</v>
      </c>
      <c r="I903" t="str">
        <f>VLOOKUP(Продажи[[#This Row],[id товара]],Товары[#All],2,FALSE)</f>
        <v>Йогурт</v>
      </c>
      <c r="J903" s="19">
        <f>AVERAGEIF(Продажи[Категория товара],Продажи[[#This Row],[Категория товара]],Продажи[цена за шт в рублях])</f>
        <v>263.25423728813558</v>
      </c>
      <c r="K903" s="20">
        <f>Продажи[[#This Row],[цена за шт в рублях]]/Продажи[[#This Row],[Средняя цена в категории за шт]]-1</f>
        <v>0.24594385784187489</v>
      </c>
      <c r="L903" t="str">
        <f>VLOOKUP(Продажи[[#This Row],[id товара]],Товары[#All],3,FALSE)</f>
        <v>Эрманн</v>
      </c>
      <c r="M90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903" s="23">
        <f>VLOOKUP(Продажи[[#This Row],[id клиента]],Таблица4[#All],5,FALSE)</f>
        <v>44608</v>
      </c>
      <c r="O903">
        <f>Продажи[[#This Row],[дата создания чека]]-Продажи[[#This Row],[Дата регистрации клиентов]]</f>
        <v>494</v>
      </c>
      <c r="P903" t="str">
        <f>VLOOKUP(Продажи[[#This Row],[id клиента]],Таблица4[#All],7,FALSE)</f>
        <v>Россия</v>
      </c>
    </row>
    <row r="904" spans="1:16" x14ac:dyDescent="0.25">
      <c r="A904">
        <v>903</v>
      </c>
      <c r="B904">
        <v>369</v>
      </c>
      <c r="C904">
        <v>379</v>
      </c>
      <c r="D904">
        <v>5</v>
      </c>
      <c r="E904">
        <v>1895</v>
      </c>
      <c r="F904" s="23">
        <v>45189</v>
      </c>
      <c r="G904" t="s">
        <v>24</v>
      </c>
      <c r="H904">
        <v>267</v>
      </c>
      <c r="I904" t="str">
        <f>VLOOKUP(Продажи[[#This Row],[id товара]],Товары[#All],2,FALSE)</f>
        <v>Молоко</v>
      </c>
      <c r="J904" s="19">
        <f>AVERAGEIF(Продажи[Категория товара],Продажи[[#This Row],[Категория товара]],Продажи[цена за шт в рублях])</f>
        <v>294.95238095238096</v>
      </c>
      <c r="K904" s="20">
        <f>Продажи[[#This Row],[цена за шт в рублях]]/Продажи[[#This Row],[Средняя цена в категории за шт]]-1</f>
        <v>0.28495318049725538</v>
      </c>
      <c r="L904" t="str">
        <f>VLOOKUP(Продажи[[#This Row],[id товара]],Товары[#All],3,FALSE)</f>
        <v>Домик в деревне</v>
      </c>
      <c r="M90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904" s="23">
        <f>VLOOKUP(Продажи[[#This Row],[id клиента]],Таблица4[#All],5,FALSE)</f>
        <v>44910</v>
      </c>
      <c r="O904">
        <f>Продажи[[#This Row],[дата создания чека]]-Продажи[[#This Row],[Дата регистрации клиентов]]</f>
        <v>279</v>
      </c>
      <c r="P904" t="str">
        <f>VLOOKUP(Продажи[[#This Row],[id клиента]],Таблица4[#All],7,FALSE)</f>
        <v>Россия</v>
      </c>
    </row>
    <row r="905" spans="1:16" x14ac:dyDescent="0.25">
      <c r="A905">
        <v>904</v>
      </c>
      <c r="B905">
        <v>6</v>
      </c>
      <c r="C905">
        <v>70</v>
      </c>
      <c r="D905">
        <v>5</v>
      </c>
      <c r="E905">
        <v>350</v>
      </c>
      <c r="F905" s="23">
        <v>45364</v>
      </c>
      <c r="G905" t="s">
        <v>12</v>
      </c>
      <c r="H905">
        <v>433</v>
      </c>
      <c r="I905" t="str">
        <f>VLOOKUP(Продажи[[#This Row],[id товара]],Товары[#All],2,FALSE)</f>
        <v>Фрукты</v>
      </c>
      <c r="J905" s="19">
        <f>AVERAGEIF(Продажи[Категория товара],Продажи[[#This Row],[Категория товара]],Продажи[цена за шт в рублях])</f>
        <v>274.16279069767444</v>
      </c>
      <c r="K905" s="20">
        <f>Продажи[[#This Row],[цена за шт в рублях]]/Продажи[[#This Row],[Средняя цена в категории за шт]]-1</f>
        <v>-0.74467724149631009</v>
      </c>
      <c r="L905" t="str">
        <f>VLOOKUP(Продажи[[#This Row],[id товара]],Товары[#All],3,FALSE)</f>
        <v>Фрукты-Ягоды</v>
      </c>
      <c r="M90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280.66666666666669</v>
      </c>
      <c r="N905" s="23">
        <f>VLOOKUP(Продажи[[#This Row],[id клиента]],Таблица4[#All],5,FALSE)</f>
        <v>44832</v>
      </c>
      <c r="O905">
        <f>Продажи[[#This Row],[дата создания чека]]-Продажи[[#This Row],[Дата регистрации клиентов]]</f>
        <v>532</v>
      </c>
      <c r="P905" t="str">
        <f>VLOOKUP(Продажи[[#This Row],[id клиента]],Таблица4[#All],7,FALSE)</f>
        <v>Таджикистан</v>
      </c>
    </row>
    <row r="906" spans="1:16" x14ac:dyDescent="0.25">
      <c r="A906">
        <v>905</v>
      </c>
      <c r="B906">
        <v>318</v>
      </c>
      <c r="C906">
        <v>280</v>
      </c>
      <c r="D906">
        <v>1</v>
      </c>
      <c r="E906">
        <v>280</v>
      </c>
      <c r="F906" s="23">
        <v>45213</v>
      </c>
      <c r="G906" t="s">
        <v>9</v>
      </c>
      <c r="H906">
        <v>382</v>
      </c>
      <c r="I906" t="str">
        <f>VLOOKUP(Продажи[[#This Row],[id товара]],Товары[#All],2,FALSE)</f>
        <v>Молоко</v>
      </c>
      <c r="J906" s="19">
        <f>AVERAGEIF(Продажи[Категория товара],Продажи[[#This Row],[Категория товара]],Продажи[цена за шт в рублях])</f>
        <v>294.95238095238096</v>
      </c>
      <c r="K906" s="20">
        <f>Продажи[[#This Row],[цена за шт в рублях]]/Продажи[[#This Row],[Средняя цена в категории за шт]]-1</f>
        <v>-5.0694220213109542E-2</v>
      </c>
      <c r="L906" t="str">
        <f>VLOOKUP(Продажи[[#This Row],[id товара]],Товары[#All],3,FALSE)</f>
        <v>Домик в деревне</v>
      </c>
      <c r="M90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906" s="23">
        <f>VLOOKUP(Продажи[[#This Row],[id клиента]],Таблица4[#All],5,FALSE)</f>
        <v>44850</v>
      </c>
      <c r="O906">
        <f>Продажи[[#This Row],[дата создания чека]]-Продажи[[#This Row],[Дата регистрации клиентов]]</f>
        <v>363</v>
      </c>
      <c r="P906" t="str">
        <f>VLOOKUP(Продажи[[#This Row],[id клиента]],Таблица4[#All],7,FALSE)</f>
        <v>Беларусь</v>
      </c>
    </row>
    <row r="907" spans="1:16" x14ac:dyDescent="0.25">
      <c r="A907">
        <v>906</v>
      </c>
      <c r="B907">
        <v>269</v>
      </c>
      <c r="C907">
        <v>315</v>
      </c>
      <c r="D907">
        <v>1</v>
      </c>
      <c r="E907">
        <v>315</v>
      </c>
      <c r="F907" s="23">
        <v>45355</v>
      </c>
      <c r="G907" t="s">
        <v>10</v>
      </c>
      <c r="H907">
        <v>41</v>
      </c>
      <c r="I907" t="str">
        <f>VLOOKUP(Продажи[[#This Row],[id товара]],Товары[#All],2,FALSE)</f>
        <v>Сахар</v>
      </c>
      <c r="J907" s="19">
        <f>AVERAGEIF(Продажи[Категория товара],Продажи[[#This Row],[Категория товара]],Продажи[цена за шт в рублях])</f>
        <v>252.76271186440678</v>
      </c>
      <c r="K907" s="20">
        <f>Продажи[[#This Row],[цена за шт в рублях]]/Продажи[[#This Row],[Средняя цена в категории за шт]]-1</f>
        <v>0.2462281231140615</v>
      </c>
      <c r="L907" t="str">
        <f>VLOOKUP(Продажи[[#This Row],[id товара]],Товары[#All],3,FALSE)</f>
        <v>Русский сахар</v>
      </c>
      <c r="M90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907" s="23">
        <f>VLOOKUP(Продажи[[#This Row],[id клиента]],Таблица4[#All],5,FALSE)</f>
        <v>44842</v>
      </c>
      <c r="O907">
        <f>Продажи[[#This Row],[дата создания чека]]-Продажи[[#This Row],[Дата регистрации клиентов]]</f>
        <v>513</v>
      </c>
      <c r="P907" t="str">
        <f>VLOOKUP(Продажи[[#This Row],[id клиента]],Таблица4[#All],7,FALSE)</f>
        <v>Россия</v>
      </c>
    </row>
    <row r="908" spans="1:16" x14ac:dyDescent="0.25">
      <c r="A908">
        <v>907</v>
      </c>
      <c r="B908">
        <v>55</v>
      </c>
      <c r="C908">
        <v>353</v>
      </c>
      <c r="D908">
        <v>1</v>
      </c>
      <c r="E908">
        <v>353</v>
      </c>
      <c r="F908" s="23">
        <v>45413</v>
      </c>
      <c r="G908" t="s">
        <v>27</v>
      </c>
      <c r="H908">
        <v>129</v>
      </c>
      <c r="I908" t="str">
        <f>VLOOKUP(Продажи[[#This Row],[id товара]],Товары[#All],2,FALSE)</f>
        <v>Крупа</v>
      </c>
      <c r="J908" s="19">
        <f>AVERAGEIF(Продажи[Категория товара],Продажи[[#This Row],[Категория товара]],Продажи[цена за шт в рублях])</f>
        <v>255.11627906976744</v>
      </c>
      <c r="K908" s="20">
        <f>Продажи[[#This Row],[цена за шт в рублях]]/Продажи[[#This Row],[Средняя цена в категории за шт]]-1</f>
        <v>0.38368277119416594</v>
      </c>
      <c r="L908" t="str">
        <f>VLOOKUP(Продажи[[#This Row],[id товара]],Товары[#All],3,FALSE)</f>
        <v>Националь</v>
      </c>
      <c r="M90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274.28571428571428</v>
      </c>
      <c r="N908" s="23">
        <f>VLOOKUP(Продажи[[#This Row],[id клиента]],Таблица4[#All],5,FALSE)</f>
        <v>44868</v>
      </c>
      <c r="O908">
        <f>Продажи[[#This Row],[дата создания чека]]-Продажи[[#This Row],[Дата регистрации клиентов]]</f>
        <v>545</v>
      </c>
      <c r="P908" t="str">
        <f>VLOOKUP(Продажи[[#This Row],[id клиента]],Таблица4[#All],7,FALSE)</f>
        <v>Беларусь</v>
      </c>
    </row>
    <row r="909" spans="1:16" x14ac:dyDescent="0.25">
      <c r="A909">
        <v>908</v>
      </c>
      <c r="B909">
        <v>327</v>
      </c>
      <c r="C909">
        <v>342</v>
      </c>
      <c r="D909">
        <v>2</v>
      </c>
      <c r="E909">
        <v>684</v>
      </c>
      <c r="F909" s="23">
        <v>45284</v>
      </c>
      <c r="G909" t="s">
        <v>9</v>
      </c>
      <c r="H909">
        <v>335</v>
      </c>
      <c r="I909" t="str">
        <f>VLOOKUP(Продажи[[#This Row],[id товара]],Товары[#All],2,FALSE)</f>
        <v>Колбаса</v>
      </c>
      <c r="J909" s="19">
        <f>AVERAGEIF(Продажи[Категория товара],Продажи[[#This Row],[Категория товара]],Продажи[цена за шт в рублях])</f>
        <v>286.92307692307691</v>
      </c>
      <c r="K909" s="20">
        <f>Продажи[[#This Row],[цена за шт в рублях]]/Продажи[[#This Row],[Средняя цена в категории за шт]]-1</f>
        <v>0.19195710455764092</v>
      </c>
      <c r="L909" t="str">
        <f>VLOOKUP(Продажи[[#This Row],[id товара]],Товары[#All],3,FALSE)</f>
        <v>Черкизово</v>
      </c>
      <c r="M90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320.25</v>
      </c>
      <c r="N909" s="23">
        <f>VLOOKUP(Продажи[[#This Row],[id клиента]],Таблица4[#All],5,FALSE)</f>
        <v>44619</v>
      </c>
      <c r="O909">
        <f>Продажи[[#This Row],[дата создания чека]]-Продажи[[#This Row],[Дата регистрации клиентов]]</f>
        <v>665</v>
      </c>
      <c r="P909" t="str">
        <f>VLOOKUP(Продажи[[#This Row],[id клиента]],Таблица4[#All],7,FALSE)</f>
        <v>Узбекистан</v>
      </c>
    </row>
    <row r="910" spans="1:16" x14ac:dyDescent="0.25">
      <c r="A910">
        <v>909</v>
      </c>
      <c r="B910">
        <v>364</v>
      </c>
      <c r="C910">
        <v>299</v>
      </c>
      <c r="D910">
        <v>3</v>
      </c>
      <c r="E910">
        <v>897</v>
      </c>
      <c r="F910" s="23">
        <v>44932</v>
      </c>
      <c r="G910" t="s">
        <v>22</v>
      </c>
      <c r="H910">
        <v>194</v>
      </c>
      <c r="I910" t="str">
        <f>VLOOKUP(Продажи[[#This Row],[id товара]],Товары[#All],2,FALSE)</f>
        <v>Сахар</v>
      </c>
      <c r="J910" s="19">
        <f>AVERAGEIF(Продажи[Категория товара],Продажи[[#This Row],[Категория товара]],Продажи[цена за шт в рублях])</f>
        <v>252.76271186440678</v>
      </c>
      <c r="K910" s="20">
        <f>Продажи[[#This Row],[цена за шт в рублях]]/Продажи[[#This Row],[Средняя цена в категории за шт]]-1</f>
        <v>0.18292764701937902</v>
      </c>
      <c r="L910" t="str">
        <f>VLOOKUP(Продажи[[#This Row],[id товара]],Товары[#All],3,FALSE)</f>
        <v>Русский сахар</v>
      </c>
      <c r="M91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910" s="23">
        <f>VLOOKUP(Продажи[[#This Row],[id клиента]],Таблица4[#All],5,FALSE)</f>
        <v>44924</v>
      </c>
      <c r="O910">
        <f>Продажи[[#This Row],[дата создания чека]]-Продажи[[#This Row],[Дата регистрации клиентов]]</f>
        <v>8</v>
      </c>
      <c r="P910" t="str">
        <f>VLOOKUP(Продажи[[#This Row],[id клиента]],Таблица4[#All],7,FALSE)</f>
        <v>Россия</v>
      </c>
    </row>
    <row r="911" spans="1:16" x14ac:dyDescent="0.25">
      <c r="A911">
        <v>910</v>
      </c>
      <c r="B911">
        <v>378</v>
      </c>
      <c r="C911">
        <v>397</v>
      </c>
      <c r="D911">
        <v>1</v>
      </c>
      <c r="E911">
        <v>397</v>
      </c>
      <c r="F911" s="23">
        <v>45000</v>
      </c>
      <c r="G911" t="s">
        <v>13</v>
      </c>
      <c r="H911">
        <v>56</v>
      </c>
      <c r="I911" t="str">
        <f>VLOOKUP(Продажи[[#This Row],[id товара]],Товары[#All],2,FALSE)</f>
        <v>Сок</v>
      </c>
      <c r="J911" s="19">
        <f>AVERAGEIF(Продажи[Категория товара],Продажи[[#This Row],[Категория товара]],Продажи[цена за шт в рублях])</f>
        <v>268.60344827586209</v>
      </c>
      <c r="K911" s="20">
        <f>Продажи[[#This Row],[цена за шт в рублях]]/Продажи[[#This Row],[Средняя цена в категории за шт]]-1</f>
        <v>0.47801527697541557</v>
      </c>
      <c r="L911" t="str">
        <f>VLOOKUP(Продажи[[#This Row],[id товара]],Товары[#All],3,FALSE)</f>
        <v>Фруктовый сад</v>
      </c>
      <c r="M91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911" s="23">
        <f>VLOOKUP(Продажи[[#This Row],[id клиента]],Таблица4[#All],5,FALSE)</f>
        <v>44662</v>
      </c>
      <c r="O911">
        <f>Продажи[[#This Row],[дата создания чека]]-Продажи[[#This Row],[Дата регистрации клиентов]]</f>
        <v>338</v>
      </c>
      <c r="P911" t="str">
        <f>VLOOKUP(Продажи[[#This Row],[id клиента]],Таблица4[#All],7,FALSE)</f>
        <v>Таджикистан</v>
      </c>
    </row>
    <row r="912" spans="1:16" x14ac:dyDescent="0.25">
      <c r="A912">
        <v>911</v>
      </c>
      <c r="B912">
        <v>462</v>
      </c>
      <c r="C912">
        <v>231</v>
      </c>
      <c r="D912">
        <v>2</v>
      </c>
      <c r="E912">
        <v>462</v>
      </c>
      <c r="F912" s="23">
        <v>44950</v>
      </c>
      <c r="G912" t="s">
        <v>26</v>
      </c>
      <c r="H912">
        <v>493</v>
      </c>
      <c r="I912" t="str">
        <f>VLOOKUP(Продажи[[#This Row],[id товара]],Товары[#All],2,FALSE)</f>
        <v>Рис</v>
      </c>
      <c r="J912" s="19">
        <f>AVERAGEIF(Продажи[Категория товара],Продажи[[#This Row],[Категория товара]],Продажи[цена за шт в рублях])</f>
        <v>258.375</v>
      </c>
      <c r="K912" s="20">
        <f>Продажи[[#This Row],[цена за шт в рублях]]/Продажи[[#This Row],[Средняя цена в категории за шт]]-1</f>
        <v>-0.10595065312046448</v>
      </c>
      <c r="L912" t="str">
        <f>VLOOKUP(Продажи[[#This Row],[id товара]],Товары[#All],3,FALSE)</f>
        <v>Белый Злат</v>
      </c>
      <c r="M91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269.70588235294116</v>
      </c>
      <c r="N912" s="23">
        <f>VLOOKUP(Продажи[[#This Row],[id клиента]],Таблица4[#All],5,FALSE)</f>
        <v>44855</v>
      </c>
      <c r="O912">
        <f>Продажи[[#This Row],[дата создания чека]]-Продажи[[#This Row],[Дата регистрации клиентов]]</f>
        <v>95</v>
      </c>
      <c r="P912" t="str">
        <f>VLOOKUP(Продажи[[#This Row],[id клиента]],Таблица4[#All],7,FALSE)</f>
        <v>Украина</v>
      </c>
    </row>
    <row r="913" spans="1:16" x14ac:dyDescent="0.25">
      <c r="A913">
        <v>912</v>
      </c>
      <c r="B913">
        <v>89</v>
      </c>
      <c r="C913">
        <v>120</v>
      </c>
      <c r="D913">
        <v>5</v>
      </c>
      <c r="E913">
        <v>600</v>
      </c>
      <c r="F913" s="23">
        <v>44962</v>
      </c>
      <c r="G913" t="s">
        <v>27</v>
      </c>
      <c r="H913">
        <v>222</v>
      </c>
      <c r="I913" t="str">
        <f>VLOOKUP(Продажи[[#This Row],[id товара]],Товары[#All],2,FALSE)</f>
        <v>Конфеты</v>
      </c>
      <c r="J913" s="19">
        <f>AVERAGEIF(Продажи[Категория товара],Продажи[[#This Row],[Категория товара]],Продажи[цена за шт в рублях])</f>
        <v>267.85483870967744</v>
      </c>
      <c r="K913" s="20">
        <f>Продажи[[#This Row],[цена за шт в рублях]]/Продажи[[#This Row],[Средняя цена в категории за шт]]-1</f>
        <v>-0.5519961462034082</v>
      </c>
      <c r="L913" t="str">
        <f>VLOOKUP(Продажи[[#This Row],[id товара]],Товары[#All],3,FALSE)</f>
        <v>Рот Фронт</v>
      </c>
      <c r="M91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288.23809523809524</v>
      </c>
      <c r="N913" s="23">
        <f>VLOOKUP(Продажи[[#This Row],[id клиента]],Таблица4[#All],5,FALSE)</f>
        <v>44694</v>
      </c>
      <c r="O913">
        <f>Продажи[[#This Row],[дата создания чека]]-Продажи[[#This Row],[Дата регистрации клиентов]]</f>
        <v>268</v>
      </c>
      <c r="P913" t="str">
        <f>VLOOKUP(Продажи[[#This Row],[id клиента]],Таблица4[#All],7,FALSE)</f>
        <v>Украина</v>
      </c>
    </row>
    <row r="914" spans="1:16" x14ac:dyDescent="0.25">
      <c r="A914">
        <v>913</v>
      </c>
      <c r="B914">
        <v>465</v>
      </c>
      <c r="C914">
        <v>177</v>
      </c>
      <c r="D914">
        <v>1</v>
      </c>
      <c r="E914">
        <v>177</v>
      </c>
      <c r="F914" s="23">
        <v>45122</v>
      </c>
      <c r="G914" t="s">
        <v>16</v>
      </c>
      <c r="H914">
        <v>167</v>
      </c>
      <c r="I914" t="str">
        <f>VLOOKUP(Продажи[[#This Row],[id товара]],Товары[#All],2,FALSE)</f>
        <v>Йогурт</v>
      </c>
      <c r="J914" s="19">
        <f>AVERAGEIF(Продажи[Категория товара],Продажи[[#This Row],[Категория товара]],Продажи[цена за шт в рублях])</f>
        <v>263.25423728813558</v>
      </c>
      <c r="K914" s="20">
        <f>Продажи[[#This Row],[цена за шт в рублях]]/Продажи[[#This Row],[Средняя цена в категории за шт]]-1</f>
        <v>-0.32764614988411023</v>
      </c>
      <c r="L914" t="str">
        <f>VLOOKUP(Продажи[[#This Row],[id товара]],Товары[#All],3,FALSE)</f>
        <v>Ростагроэкспорт</v>
      </c>
      <c r="M91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914" s="23">
        <f>VLOOKUP(Продажи[[#This Row],[id клиента]],Таблица4[#All],5,FALSE)</f>
        <v>44563</v>
      </c>
      <c r="O914">
        <f>Продажи[[#This Row],[дата создания чека]]-Продажи[[#This Row],[Дата регистрации клиентов]]</f>
        <v>559</v>
      </c>
      <c r="P914" t="str">
        <f>VLOOKUP(Продажи[[#This Row],[id клиента]],Таблица4[#All],7,FALSE)</f>
        <v>Узбекистан</v>
      </c>
    </row>
    <row r="915" spans="1:16" x14ac:dyDescent="0.25">
      <c r="A915">
        <v>914</v>
      </c>
      <c r="B915">
        <v>208</v>
      </c>
      <c r="C915">
        <v>412</v>
      </c>
      <c r="D915">
        <v>4</v>
      </c>
      <c r="E915">
        <v>1648</v>
      </c>
      <c r="F915" s="23">
        <v>45319</v>
      </c>
      <c r="G915" t="s">
        <v>14</v>
      </c>
      <c r="H915">
        <v>212</v>
      </c>
      <c r="I915" t="str">
        <f>VLOOKUP(Продажи[[#This Row],[id товара]],Товары[#All],2,FALSE)</f>
        <v>Конфеты</v>
      </c>
      <c r="J915" s="19">
        <f>AVERAGEIF(Продажи[Категория товара],Продажи[[#This Row],[Категория товара]],Продажи[цена за шт в рублях])</f>
        <v>267.85483870967744</v>
      </c>
      <c r="K915" s="20">
        <f>Продажи[[#This Row],[цена за шт в рублях]]/Продажи[[#This Row],[Средняя цена в категории за шт]]-1</f>
        <v>0.53814656470163169</v>
      </c>
      <c r="L915" t="str">
        <f>VLOOKUP(Продажи[[#This Row],[id товара]],Товары[#All],3,FALSE)</f>
        <v>Славянка</v>
      </c>
      <c r="M91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915" s="23">
        <f>VLOOKUP(Продажи[[#This Row],[id клиента]],Таблица4[#All],5,FALSE)</f>
        <v>44815</v>
      </c>
      <c r="O915">
        <f>Продажи[[#This Row],[дата создания чека]]-Продажи[[#This Row],[Дата регистрации клиентов]]</f>
        <v>504</v>
      </c>
      <c r="P915" t="str">
        <f>VLOOKUP(Продажи[[#This Row],[id клиента]],Таблица4[#All],7,FALSE)</f>
        <v>Узбекистан</v>
      </c>
    </row>
    <row r="916" spans="1:16" x14ac:dyDescent="0.25">
      <c r="A916">
        <v>915</v>
      </c>
      <c r="B916">
        <v>357</v>
      </c>
      <c r="C916">
        <v>279</v>
      </c>
      <c r="D916">
        <v>2</v>
      </c>
      <c r="E916">
        <v>558</v>
      </c>
      <c r="F916" s="23">
        <v>45266</v>
      </c>
      <c r="G916" t="s">
        <v>23</v>
      </c>
      <c r="H916">
        <v>499</v>
      </c>
      <c r="I916" t="str">
        <f>VLOOKUP(Продажи[[#This Row],[id товара]],Товары[#All],2,FALSE)</f>
        <v>Мясо</v>
      </c>
      <c r="J916" s="19">
        <f>AVERAGEIF(Продажи[Категория товара],Продажи[[#This Row],[Категория товара]],Продажи[цена за шт в рублях])</f>
        <v>271.74545454545455</v>
      </c>
      <c r="K916" s="20">
        <f>Продажи[[#This Row],[цена за шт в рублях]]/Продажи[[#This Row],[Средняя цена в категории за шт]]-1</f>
        <v>2.6696105981533602E-2</v>
      </c>
      <c r="L916" t="str">
        <f>VLOOKUP(Продажи[[#This Row],[id товара]],Товары[#All],3,FALSE)</f>
        <v>Снежана</v>
      </c>
      <c r="M91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916" s="23">
        <f>VLOOKUP(Продажи[[#This Row],[id клиента]],Таблица4[#All],5,FALSE)</f>
        <v>44798</v>
      </c>
      <c r="O916">
        <f>Продажи[[#This Row],[дата создания чека]]-Продажи[[#This Row],[Дата регистрации клиентов]]</f>
        <v>468</v>
      </c>
      <c r="P916" t="str">
        <f>VLOOKUP(Продажи[[#This Row],[id клиента]],Таблица4[#All],7,FALSE)</f>
        <v>Беларусь</v>
      </c>
    </row>
    <row r="917" spans="1:16" x14ac:dyDescent="0.25">
      <c r="A917">
        <v>916</v>
      </c>
      <c r="B917">
        <v>416</v>
      </c>
      <c r="C917">
        <v>472</v>
      </c>
      <c r="D917">
        <v>1</v>
      </c>
      <c r="E917">
        <v>472</v>
      </c>
      <c r="F917" s="23">
        <v>45339</v>
      </c>
      <c r="G917" t="s">
        <v>27</v>
      </c>
      <c r="H917">
        <v>401</v>
      </c>
      <c r="I917" t="str">
        <f>VLOOKUP(Продажи[[#This Row],[id товара]],Товары[#All],2,FALSE)</f>
        <v>Рыба</v>
      </c>
      <c r="J917" s="19">
        <f>AVERAGEIF(Продажи[Категория товара],Продажи[[#This Row],[Категория товара]],Продажи[цена за шт в рублях])</f>
        <v>258.5128205128205</v>
      </c>
      <c r="K917" s="20">
        <f>Продажи[[#This Row],[цена за шт в рублях]]/Продажи[[#This Row],[Средняя цена в категории за шт]]-1</f>
        <v>0.82582820868875229</v>
      </c>
      <c r="L917" t="str">
        <f>VLOOKUP(Продажи[[#This Row],[id товара]],Товары[#All],3,FALSE)</f>
        <v>Меридиан</v>
      </c>
      <c r="M91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917" s="23">
        <f>VLOOKUP(Продажи[[#This Row],[id клиента]],Таблица4[#All],5,FALSE)</f>
        <v>44856</v>
      </c>
      <c r="O917">
        <f>Продажи[[#This Row],[дата создания чека]]-Продажи[[#This Row],[Дата регистрации клиентов]]</f>
        <v>483</v>
      </c>
      <c r="P917" t="str">
        <f>VLOOKUP(Продажи[[#This Row],[id клиента]],Таблица4[#All],7,FALSE)</f>
        <v>Россия</v>
      </c>
    </row>
    <row r="918" spans="1:16" x14ac:dyDescent="0.25">
      <c r="A918">
        <v>917</v>
      </c>
      <c r="B918">
        <v>374</v>
      </c>
      <c r="C918">
        <v>52</v>
      </c>
      <c r="D918">
        <v>3</v>
      </c>
      <c r="E918">
        <v>156</v>
      </c>
      <c r="F918" s="23">
        <v>45026</v>
      </c>
      <c r="G918" t="s">
        <v>26</v>
      </c>
      <c r="H918">
        <v>463</v>
      </c>
      <c r="I918" t="str">
        <f>VLOOKUP(Продажи[[#This Row],[id товара]],Товары[#All],2,FALSE)</f>
        <v>Кофе</v>
      </c>
      <c r="J918" s="19">
        <f>AVERAGEIF(Продажи[Категория товара],Продажи[[#This Row],[Категория товара]],Продажи[цена за шт в рублях])</f>
        <v>249.02380952380952</v>
      </c>
      <c r="K918" s="20">
        <f>Продажи[[#This Row],[цена за шт в рублях]]/Продажи[[#This Row],[Средняя цена в категории за шт]]-1</f>
        <v>-0.79118462568123149</v>
      </c>
      <c r="L918" t="str">
        <f>VLOOKUP(Продажи[[#This Row],[id товара]],Товары[#All],3,FALSE)</f>
        <v>Tchibo</v>
      </c>
      <c r="M91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140</v>
      </c>
      <c r="N918" s="23">
        <f>VLOOKUP(Продажи[[#This Row],[id клиента]],Таблица4[#All],5,FALSE)</f>
        <v>44869</v>
      </c>
      <c r="O918">
        <f>Продажи[[#This Row],[дата создания чека]]-Продажи[[#This Row],[Дата регистрации клиентов]]</f>
        <v>157</v>
      </c>
      <c r="P918" t="str">
        <f>VLOOKUP(Продажи[[#This Row],[id клиента]],Таблица4[#All],7,FALSE)</f>
        <v>Украина</v>
      </c>
    </row>
    <row r="919" spans="1:16" x14ac:dyDescent="0.25">
      <c r="A919">
        <v>918</v>
      </c>
      <c r="B919">
        <v>145</v>
      </c>
      <c r="C919">
        <v>144</v>
      </c>
      <c r="D919">
        <v>5</v>
      </c>
      <c r="E919">
        <v>720</v>
      </c>
      <c r="F919" s="23">
        <v>45312</v>
      </c>
      <c r="G919" t="s">
        <v>8</v>
      </c>
      <c r="H919">
        <v>347</v>
      </c>
      <c r="I919" t="str">
        <f>VLOOKUP(Продажи[[#This Row],[id товара]],Товары[#All],2,FALSE)</f>
        <v>Овощи</v>
      </c>
      <c r="J919" s="19">
        <f>AVERAGEIF(Продажи[Категория товара],Продажи[[#This Row],[Категория товара]],Продажи[цена за шт в рублях])</f>
        <v>250.48780487804879</v>
      </c>
      <c r="K919" s="20">
        <f>Продажи[[#This Row],[цена за шт в рублях]]/Продажи[[#This Row],[Средняя цена в категории за шт]]-1</f>
        <v>-0.42512171372930874</v>
      </c>
      <c r="L919" t="str">
        <f>VLOOKUP(Продажи[[#This Row],[id товара]],Товары[#All],3,FALSE)</f>
        <v>Семко</v>
      </c>
      <c r="M91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919" s="23">
        <f>VLOOKUP(Продажи[[#This Row],[id клиента]],Таблица4[#All],5,FALSE)</f>
        <v>44588</v>
      </c>
      <c r="O919">
        <f>Продажи[[#This Row],[дата создания чека]]-Продажи[[#This Row],[Дата регистрации клиентов]]</f>
        <v>724</v>
      </c>
      <c r="P919" t="str">
        <f>VLOOKUP(Продажи[[#This Row],[id клиента]],Таблица4[#All],7,FALSE)</f>
        <v>Таджикистан</v>
      </c>
    </row>
    <row r="920" spans="1:16" x14ac:dyDescent="0.25">
      <c r="A920">
        <v>919</v>
      </c>
      <c r="B920">
        <v>289</v>
      </c>
      <c r="C920">
        <v>258</v>
      </c>
      <c r="D920">
        <v>2</v>
      </c>
      <c r="E920">
        <v>516</v>
      </c>
      <c r="F920" s="23">
        <v>45392</v>
      </c>
      <c r="G920" t="s">
        <v>9</v>
      </c>
      <c r="H920">
        <v>54</v>
      </c>
      <c r="I920" t="str">
        <f>VLOOKUP(Продажи[[#This Row],[id товара]],Товары[#All],2,FALSE)</f>
        <v>Сок</v>
      </c>
      <c r="J920" s="19">
        <f>AVERAGEIF(Продажи[Категория товара],Продажи[[#This Row],[Категория товара]],Продажи[цена за шт в рублях])</f>
        <v>268.60344827586209</v>
      </c>
      <c r="K920" s="20">
        <f>Продажи[[#This Row],[цена за шт в рублях]]/Продажи[[#This Row],[Средняя цена в категории за шт]]-1</f>
        <v>-3.9476217985750184E-2</v>
      </c>
      <c r="L920" t="str">
        <f>VLOOKUP(Продажи[[#This Row],[id товара]],Товары[#All],3,FALSE)</f>
        <v>Добрый</v>
      </c>
      <c r="M92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920" s="23">
        <f>VLOOKUP(Продажи[[#This Row],[id клиента]],Таблица4[#All],5,FALSE)</f>
        <v>44847</v>
      </c>
      <c r="O920">
        <f>Продажи[[#This Row],[дата создания чека]]-Продажи[[#This Row],[Дата регистрации клиентов]]</f>
        <v>545</v>
      </c>
      <c r="P920" t="str">
        <f>VLOOKUP(Продажи[[#This Row],[id клиента]],Таблица4[#All],7,FALSE)</f>
        <v>Беларусь</v>
      </c>
    </row>
    <row r="921" spans="1:16" x14ac:dyDescent="0.25">
      <c r="A921">
        <v>920</v>
      </c>
      <c r="B921">
        <v>173</v>
      </c>
      <c r="C921">
        <v>173</v>
      </c>
      <c r="D921">
        <v>2</v>
      </c>
      <c r="E921">
        <v>346</v>
      </c>
      <c r="F921" s="23">
        <v>45097</v>
      </c>
      <c r="G921" t="s">
        <v>26</v>
      </c>
      <c r="H921">
        <v>246</v>
      </c>
      <c r="I921" t="str">
        <f>VLOOKUP(Продажи[[#This Row],[id товара]],Товары[#All],2,FALSE)</f>
        <v>Сок</v>
      </c>
      <c r="J921" s="19">
        <f>AVERAGEIF(Продажи[Категория товара],Продажи[[#This Row],[Категория товара]],Продажи[цена за шт в рублях])</f>
        <v>268.60344827586209</v>
      </c>
      <c r="K921" s="20">
        <f>Продажи[[#This Row],[цена за шт в рублях]]/Продажи[[#This Row],[Средняя цена в категории за шт]]-1</f>
        <v>-0.35592785159509599</v>
      </c>
      <c r="L921" t="str">
        <f>VLOOKUP(Продажи[[#This Row],[id товара]],Товары[#All],3,FALSE)</f>
        <v>Фруктовый сад</v>
      </c>
      <c r="M92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921" s="23">
        <f>VLOOKUP(Продажи[[#This Row],[id клиента]],Таблица4[#All],5,FALSE)</f>
        <v>44805</v>
      </c>
      <c r="O921">
        <f>Продажи[[#This Row],[дата создания чека]]-Продажи[[#This Row],[Дата регистрации клиентов]]</f>
        <v>292</v>
      </c>
      <c r="P921" t="str">
        <f>VLOOKUP(Продажи[[#This Row],[id клиента]],Таблица4[#All],7,FALSE)</f>
        <v>Узбекистан</v>
      </c>
    </row>
    <row r="922" spans="1:16" x14ac:dyDescent="0.25">
      <c r="A922">
        <v>921</v>
      </c>
      <c r="B922">
        <v>390</v>
      </c>
      <c r="C922">
        <v>494</v>
      </c>
      <c r="D922">
        <v>3</v>
      </c>
      <c r="E922">
        <v>1482</v>
      </c>
      <c r="F922" s="23">
        <v>45196</v>
      </c>
      <c r="G922" t="s">
        <v>19</v>
      </c>
      <c r="H922">
        <v>65</v>
      </c>
      <c r="I922" t="str">
        <f>VLOOKUP(Продажи[[#This Row],[id товара]],Товары[#All],2,FALSE)</f>
        <v>Сок</v>
      </c>
      <c r="J922" s="19">
        <f>AVERAGEIF(Продажи[Категория товара],Продажи[[#This Row],[Категория товара]],Продажи[цена за шт в рублях])</f>
        <v>268.60344827586209</v>
      </c>
      <c r="K922" s="20">
        <f>Продажи[[#This Row],[цена за шт в рублях]]/Продажи[[#This Row],[Средняя цена в категории за шт]]-1</f>
        <v>0.83914243532961019</v>
      </c>
      <c r="L922" t="str">
        <f>VLOOKUP(Продажи[[#This Row],[id товара]],Товары[#All],3,FALSE)</f>
        <v>Сады Придонья</v>
      </c>
      <c r="M92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254.18181818181819</v>
      </c>
      <c r="N922" s="23">
        <f>VLOOKUP(Продажи[[#This Row],[id клиента]],Таблица4[#All],5,FALSE)</f>
        <v>44623</v>
      </c>
      <c r="O922">
        <f>Продажи[[#This Row],[дата создания чека]]-Продажи[[#This Row],[Дата регистрации клиентов]]</f>
        <v>573</v>
      </c>
      <c r="P922" t="str">
        <f>VLOOKUP(Продажи[[#This Row],[id клиента]],Таблица4[#All],7,FALSE)</f>
        <v>Украина</v>
      </c>
    </row>
    <row r="923" spans="1:16" x14ac:dyDescent="0.25">
      <c r="A923">
        <v>922</v>
      </c>
      <c r="B923">
        <v>482</v>
      </c>
      <c r="C923">
        <v>198</v>
      </c>
      <c r="D923">
        <v>2</v>
      </c>
      <c r="E923">
        <v>396</v>
      </c>
      <c r="F923" s="23">
        <v>45197</v>
      </c>
      <c r="G923" t="s">
        <v>26</v>
      </c>
      <c r="H923">
        <v>44</v>
      </c>
      <c r="I923" t="str">
        <f>VLOOKUP(Продажи[[#This Row],[id товара]],Товары[#All],2,FALSE)</f>
        <v>Крупа</v>
      </c>
      <c r="J923" s="19">
        <f>AVERAGEIF(Продажи[Категория товара],Продажи[[#This Row],[Категория товара]],Продажи[цена за шт в рублях])</f>
        <v>255.11627906976744</v>
      </c>
      <c r="K923" s="20">
        <f>Продажи[[#This Row],[цена за шт в рублях]]/Продажи[[#This Row],[Средняя цена в категории за шт]]-1</f>
        <v>-0.22388331814038287</v>
      </c>
      <c r="L923" t="str">
        <f>VLOOKUP(Продажи[[#This Row],[id товара]],Товары[#All],3,FALSE)</f>
        <v>Мистраль</v>
      </c>
      <c r="M92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923" s="23">
        <f>VLOOKUP(Продажи[[#This Row],[id клиента]],Таблица4[#All],5,FALSE)</f>
        <v>44701</v>
      </c>
      <c r="O923">
        <f>Продажи[[#This Row],[дата создания чека]]-Продажи[[#This Row],[Дата регистрации клиентов]]</f>
        <v>496</v>
      </c>
      <c r="P923" t="str">
        <f>VLOOKUP(Продажи[[#This Row],[id клиента]],Таблица4[#All],7,FALSE)</f>
        <v>Беларусь</v>
      </c>
    </row>
    <row r="924" spans="1:16" x14ac:dyDescent="0.25">
      <c r="A924">
        <v>923</v>
      </c>
      <c r="B924">
        <v>465</v>
      </c>
      <c r="C924">
        <v>71</v>
      </c>
      <c r="D924">
        <v>5</v>
      </c>
      <c r="E924">
        <v>355</v>
      </c>
      <c r="F924" s="23">
        <v>45253</v>
      </c>
      <c r="G924" t="s">
        <v>16</v>
      </c>
      <c r="H924">
        <v>321</v>
      </c>
      <c r="I924" t="str">
        <f>VLOOKUP(Продажи[[#This Row],[id товара]],Товары[#All],2,FALSE)</f>
        <v>Йогурт</v>
      </c>
      <c r="J924" s="19">
        <f>AVERAGEIF(Продажи[Категория товара],Продажи[[#This Row],[Категория товара]],Продажи[цена за шт в рублях])</f>
        <v>263.25423728813558</v>
      </c>
      <c r="K924" s="20">
        <f>Продажи[[#This Row],[цена за шт в рублях]]/Продажи[[#This Row],[Средняя цена в категории за шт]]-1</f>
        <v>-0.73029873808910639</v>
      </c>
      <c r="L924" t="str">
        <f>VLOOKUP(Продажи[[#This Row],[id товара]],Товары[#All],3,FALSE)</f>
        <v>Ростагроэкспорт</v>
      </c>
      <c r="M92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924" s="23">
        <f>VLOOKUP(Продажи[[#This Row],[id клиента]],Таблица4[#All],5,FALSE)</f>
        <v>44756</v>
      </c>
      <c r="O924">
        <f>Продажи[[#This Row],[дата создания чека]]-Продажи[[#This Row],[Дата регистрации клиентов]]</f>
        <v>497</v>
      </c>
      <c r="P924" t="str">
        <f>VLOOKUP(Продажи[[#This Row],[id клиента]],Таблица4[#All],7,FALSE)</f>
        <v>Таджикистан</v>
      </c>
    </row>
    <row r="925" spans="1:16" x14ac:dyDescent="0.25">
      <c r="A925">
        <v>924</v>
      </c>
      <c r="B925">
        <v>114</v>
      </c>
      <c r="C925">
        <v>228</v>
      </c>
      <c r="D925">
        <v>2</v>
      </c>
      <c r="E925">
        <v>456</v>
      </c>
      <c r="F925" s="23">
        <v>45175</v>
      </c>
      <c r="G925" t="s">
        <v>22</v>
      </c>
      <c r="H925">
        <v>50</v>
      </c>
      <c r="I925" t="str">
        <f>VLOOKUP(Продажи[[#This Row],[id товара]],Товары[#All],2,FALSE)</f>
        <v>Сыр</v>
      </c>
      <c r="J925" s="19">
        <f>AVERAGEIF(Продажи[Категория товара],Продажи[[#This Row],[Категория товара]],Продажи[цена за шт в рублях])</f>
        <v>262.63492063492066</v>
      </c>
      <c r="K925" s="20">
        <f>Продажи[[#This Row],[цена за шт в рублях]]/Продажи[[#This Row],[Средняя цена в категории за шт]]-1</f>
        <v>-0.13187477335912012</v>
      </c>
      <c r="L925" t="str">
        <f>VLOOKUP(Продажи[[#This Row],[id товара]],Товары[#All],3,FALSE)</f>
        <v>Сырная долина</v>
      </c>
      <c r="M92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925" s="23">
        <f>VLOOKUP(Продажи[[#This Row],[id клиента]],Таблица4[#All],5,FALSE)</f>
        <v>44576</v>
      </c>
      <c r="O925">
        <f>Продажи[[#This Row],[дата создания чека]]-Продажи[[#This Row],[Дата регистрации клиентов]]</f>
        <v>599</v>
      </c>
      <c r="P925" t="str">
        <f>VLOOKUP(Продажи[[#This Row],[id клиента]],Таблица4[#All],7,FALSE)</f>
        <v>Узбекистан</v>
      </c>
    </row>
    <row r="926" spans="1:16" x14ac:dyDescent="0.25">
      <c r="A926">
        <v>925</v>
      </c>
      <c r="B926">
        <v>46</v>
      </c>
      <c r="C926">
        <v>290</v>
      </c>
      <c r="D926">
        <v>3</v>
      </c>
      <c r="E926">
        <v>870</v>
      </c>
      <c r="F926" s="23">
        <v>45059</v>
      </c>
      <c r="G926" t="s">
        <v>13</v>
      </c>
      <c r="H926">
        <v>460</v>
      </c>
      <c r="I926" t="str">
        <f>VLOOKUP(Продажи[[#This Row],[id товара]],Товары[#All],2,FALSE)</f>
        <v>Йогурт</v>
      </c>
      <c r="J926" s="19">
        <f>AVERAGEIF(Продажи[Категория товара],Продажи[[#This Row],[Категория товара]],Продажи[цена за шт в рублях])</f>
        <v>263.25423728813558</v>
      </c>
      <c r="K926" s="20">
        <f>Продажи[[#This Row],[цена за шт в рублях]]/Продажи[[#This Row],[Средняя цена в категории за шт]]-1</f>
        <v>0.10159670357970652</v>
      </c>
      <c r="L926" t="str">
        <f>VLOOKUP(Продажи[[#This Row],[id товара]],Товары[#All],3,FALSE)</f>
        <v>Активиа</v>
      </c>
      <c r="M92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293.66666666666669</v>
      </c>
      <c r="N926" s="23">
        <f>VLOOKUP(Продажи[[#This Row],[id клиента]],Таблица4[#All],5,FALSE)</f>
        <v>44821</v>
      </c>
      <c r="O926">
        <f>Продажи[[#This Row],[дата создания чека]]-Продажи[[#This Row],[Дата регистрации клиентов]]</f>
        <v>238</v>
      </c>
      <c r="P926" t="str">
        <f>VLOOKUP(Продажи[[#This Row],[id клиента]],Таблица4[#All],7,FALSE)</f>
        <v>Россия</v>
      </c>
    </row>
    <row r="927" spans="1:16" x14ac:dyDescent="0.25">
      <c r="A927">
        <v>926</v>
      </c>
      <c r="B927">
        <v>222</v>
      </c>
      <c r="C927">
        <v>168</v>
      </c>
      <c r="D927">
        <v>3</v>
      </c>
      <c r="E927">
        <v>504</v>
      </c>
      <c r="F927" s="23">
        <v>45313</v>
      </c>
      <c r="G927" t="s">
        <v>21</v>
      </c>
      <c r="H927">
        <v>79</v>
      </c>
      <c r="I927" t="str">
        <f>VLOOKUP(Продажи[[#This Row],[id товара]],Товары[#All],2,FALSE)</f>
        <v>Молоко</v>
      </c>
      <c r="J927" s="19">
        <f>AVERAGEIF(Продажи[Категория товара],Продажи[[#This Row],[Категория товара]],Продажи[цена за шт в рублях])</f>
        <v>294.95238095238096</v>
      </c>
      <c r="K927" s="20">
        <f>Продажи[[#This Row],[цена за шт в рублях]]/Продажи[[#This Row],[Средняя цена в категории за шт]]-1</f>
        <v>-0.43041653212786568</v>
      </c>
      <c r="L927" t="str">
        <f>VLOOKUP(Продажи[[#This Row],[id товара]],Товары[#All],3,FALSE)</f>
        <v>Простоквашино</v>
      </c>
      <c r="M92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318.81818181818181</v>
      </c>
      <c r="N927" s="23">
        <f>VLOOKUP(Продажи[[#This Row],[id клиента]],Таблица4[#All],5,FALSE)</f>
        <v>44716</v>
      </c>
      <c r="O927">
        <f>Продажи[[#This Row],[дата создания чека]]-Продажи[[#This Row],[Дата регистрации клиентов]]</f>
        <v>597</v>
      </c>
      <c r="P927" t="str">
        <f>VLOOKUP(Продажи[[#This Row],[id клиента]],Таблица4[#All],7,FALSE)</f>
        <v>Таджикистан</v>
      </c>
    </row>
    <row r="928" spans="1:16" x14ac:dyDescent="0.25">
      <c r="A928">
        <v>927</v>
      </c>
      <c r="B928">
        <v>210</v>
      </c>
      <c r="C928">
        <v>374</v>
      </c>
      <c r="D928">
        <v>2</v>
      </c>
      <c r="E928">
        <v>748</v>
      </c>
      <c r="F928" s="23">
        <v>45052</v>
      </c>
      <c r="G928" t="s">
        <v>16</v>
      </c>
      <c r="H928">
        <v>209</v>
      </c>
      <c r="I928" t="str">
        <f>VLOOKUP(Продажи[[#This Row],[id товара]],Товары[#All],2,FALSE)</f>
        <v>Колбаса</v>
      </c>
      <c r="J928" s="19">
        <f>AVERAGEIF(Продажи[Категория товара],Продажи[[#This Row],[Категория товара]],Продажи[цена за шт в рублях])</f>
        <v>286.92307692307691</v>
      </c>
      <c r="K928" s="20">
        <f>Продажи[[#This Row],[цена за шт в рублях]]/Продажи[[#This Row],[Средняя цена в категории за шт]]-1</f>
        <v>0.30348525469168908</v>
      </c>
      <c r="L928" t="str">
        <f>VLOOKUP(Продажи[[#This Row],[id товара]],Товары[#All],3,FALSE)</f>
        <v>Окраина</v>
      </c>
      <c r="M92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273.58333333333331</v>
      </c>
      <c r="N928" s="23">
        <f>VLOOKUP(Продажи[[#This Row],[id клиента]],Таблица4[#All],5,FALSE)</f>
        <v>44628</v>
      </c>
      <c r="O928">
        <f>Продажи[[#This Row],[дата создания чека]]-Продажи[[#This Row],[Дата регистрации клиентов]]</f>
        <v>424</v>
      </c>
      <c r="P928" t="str">
        <f>VLOOKUP(Продажи[[#This Row],[id клиента]],Таблица4[#All],7,FALSE)</f>
        <v>Россия</v>
      </c>
    </row>
    <row r="929" spans="1:16" x14ac:dyDescent="0.25">
      <c r="A929">
        <v>928</v>
      </c>
      <c r="B929">
        <v>399</v>
      </c>
      <c r="C929">
        <v>67</v>
      </c>
      <c r="D929">
        <v>2</v>
      </c>
      <c r="E929">
        <v>134</v>
      </c>
      <c r="F929" s="23">
        <v>44951</v>
      </c>
      <c r="G929" t="s">
        <v>26</v>
      </c>
      <c r="H929">
        <v>451</v>
      </c>
      <c r="I929" t="str">
        <f>VLOOKUP(Продажи[[#This Row],[id товара]],Товары[#All],2,FALSE)</f>
        <v>Хлеб</v>
      </c>
      <c r="J929" s="19">
        <f>AVERAGEIF(Продажи[Категория товара],Продажи[[#This Row],[Категория товара]],Продажи[цена за шт в рублях])</f>
        <v>300.31818181818181</v>
      </c>
      <c r="K929" s="20">
        <f>Продажи[[#This Row],[цена за шт в рублях]]/Продажи[[#This Row],[Средняя цена в категории за шт]]-1</f>
        <v>-0.77690328439533829</v>
      </c>
      <c r="L929" t="str">
        <f>VLOOKUP(Продажи[[#This Row],[id товара]],Товары[#All],3,FALSE)</f>
        <v>Хлебный Дом</v>
      </c>
      <c r="M92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281.73333333333335</v>
      </c>
      <c r="N929" s="23">
        <f>VLOOKUP(Продажи[[#This Row],[id клиента]],Таблица4[#All],5,FALSE)</f>
        <v>44584</v>
      </c>
      <c r="O929">
        <f>Продажи[[#This Row],[дата создания чека]]-Продажи[[#This Row],[Дата регистрации клиентов]]</f>
        <v>367</v>
      </c>
      <c r="P929" t="str">
        <f>VLOOKUP(Продажи[[#This Row],[id клиента]],Таблица4[#All],7,FALSE)</f>
        <v>Россия</v>
      </c>
    </row>
    <row r="930" spans="1:16" x14ac:dyDescent="0.25">
      <c r="A930">
        <v>929</v>
      </c>
      <c r="B930">
        <v>498</v>
      </c>
      <c r="C930">
        <v>244</v>
      </c>
      <c r="D930">
        <v>2</v>
      </c>
      <c r="E930">
        <v>488</v>
      </c>
      <c r="F930" s="23">
        <v>45238</v>
      </c>
      <c r="G930" t="s">
        <v>11</v>
      </c>
      <c r="H930">
        <v>49</v>
      </c>
      <c r="I930" t="str">
        <f>VLOOKUP(Продажи[[#This Row],[id товара]],Товары[#All],2,FALSE)</f>
        <v>Молоко</v>
      </c>
      <c r="J930" s="19">
        <f>AVERAGEIF(Продажи[Категория товара],Продажи[[#This Row],[Категория товара]],Продажи[цена за шт в рублях])</f>
        <v>294.95238095238096</v>
      </c>
      <c r="K930" s="20">
        <f>Продажи[[#This Row],[цена за шт в рублях]]/Продажи[[#This Row],[Средняя цена в категории за шт]]-1</f>
        <v>-0.17274782047142401</v>
      </c>
      <c r="L930" t="str">
        <f>VLOOKUP(Продажи[[#This Row],[id товара]],Товары[#All],3,FALSE)</f>
        <v>Домик в деревне</v>
      </c>
      <c r="M93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930" s="23">
        <f>VLOOKUP(Продажи[[#This Row],[id клиента]],Таблица4[#All],5,FALSE)</f>
        <v>44672</v>
      </c>
      <c r="O930">
        <f>Продажи[[#This Row],[дата создания чека]]-Продажи[[#This Row],[Дата регистрации клиентов]]</f>
        <v>566</v>
      </c>
      <c r="P930" t="str">
        <f>VLOOKUP(Продажи[[#This Row],[id клиента]],Таблица4[#All],7,FALSE)</f>
        <v>Таджикистан</v>
      </c>
    </row>
    <row r="931" spans="1:16" x14ac:dyDescent="0.25">
      <c r="A931">
        <v>930</v>
      </c>
      <c r="B931">
        <v>170</v>
      </c>
      <c r="C931">
        <v>312</v>
      </c>
      <c r="D931">
        <v>1</v>
      </c>
      <c r="E931">
        <v>312</v>
      </c>
      <c r="F931" s="23">
        <v>45072</v>
      </c>
      <c r="G931" t="s">
        <v>19</v>
      </c>
      <c r="H931">
        <v>162</v>
      </c>
      <c r="I931" t="str">
        <f>VLOOKUP(Продажи[[#This Row],[id товара]],Товары[#All],2,FALSE)</f>
        <v>Конфеты</v>
      </c>
      <c r="J931" s="19">
        <f>AVERAGEIF(Продажи[Категория товара],Продажи[[#This Row],[Категория товара]],Продажи[цена за шт в рублях])</f>
        <v>267.85483870967744</v>
      </c>
      <c r="K931" s="20">
        <f>Продажи[[#This Row],[цена за шт в рублях]]/Продажи[[#This Row],[Средняя цена в категории за шт]]-1</f>
        <v>0.16481001987113864</v>
      </c>
      <c r="L931" t="str">
        <f>VLOOKUP(Продажи[[#This Row],[id товара]],Товары[#All],3,FALSE)</f>
        <v>Славянка</v>
      </c>
      <c r="M93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268</v>
      </c>
      <c r="N931" s="23">
        <f>VLOOKUP(Продажи[[#This Row],[id клиента]],Таблица4[#All],5,FALSE)</f>
        <v>44639</v>
      </c>
      <c r="O931">
        <f>Продажи[[#This Row],[дата создания чека]]-Продажи[[#This Row],[Дата регистрации клиентов]]</f>
        <v>433</v>
      </c>
      <c r="P931" t="str">
        <f>VLOOKUP(Продажи[[#This Row],[id клиента]],Таблица4[#All],7,FALSE)</f>
        <v>Таджикистан</v>
      </c>
    </row>
    <row r="932" spans="1:16" x14ac:dyDescent="0.25">
      <c r="A932">
        <v>931</v>
      </c>
      <c r="B932">
        <v>205</v>
      </c>
      <c r="C932">
        <v>212</v>
      </c>
      <c r="D932">
        <v>4</v>
      </c>
      <c r="E932">
        <v>848</v>
      </c>
      <c r="F932" s="23">
        <v>45020</v>
      </c>
      <c r="G932" t="s">
        <v>17</v>
      </c>
      <c r="H932">
        <v>414</v>
      </c>
      <c r="I932" t="str">
        <f>VLOOKUP(Продажи[[#This Row],[id товара]],Товары[#All],2,FALSE)</f>
        <v>Макароны</v>
      </c>
      <c r="J932" s="19">
        <f>AVERAGEIF(Продажи[Категория товара],Продажи[[#This Row],[Категория товара]],Продажи[цена за шт в рублях])</f>
        <v>265.47674418604652</v>
      </c>
      <c r="K932" s="20">
        <f>Продажи[[#This Row],[цена за шт в рублях]]/Продажи[[#This Row],[Средняя цена в категории за шт]]-1</f>
        <v>-0.20143664316061494</v>
      </c>
      <c r="L932" t="str">
        <f>VLOOKUP(Продажи[[#This Row],[id товара]],Товары[#All],3,FALSE)</f>
        <v>Борилла</v>
      </c>
      <c r="M93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32" s="23">
        <f>VLOOKUP(Продажи[[#This Row],[id клиента]],Таблица4[#All],5,FALSE)</f>
        <v>44794</v>
      </c>
      <c r="O932">
        <f>Продажи[[#This Row],[дата создания чека]]-Продажи[[#This Row],[Дата регистрации клиентов]]</f>
        <v>226</v>
      </c>
      <c r="P932" t="str">
        <f>VLOOKUP(Продажи[[#This Row],[id клиента]],Таблица4[#All],7,FALSE)</f>
        <v>Беларусь</v>
      </c>
    </row>
    <row r="933" spans="1:16" x14ac:dyDescent="0.25">
      <c r="A933">
        <v>932</v>
      </c>
      <c r="B933">
        <v>188</v>
      </c>
      <c r="C933">
        <v>233</v>
      </c>
      <c r="D933">
        <v>2</v>
      </c>
      <c r="E933">
        <v>466</v>
      </c>
      <c r="F933" s="23">
        <v>45214</v>
      </c>
      <c r="G933" t="s">
        <v>18</v>
      </c>
      <c r="H933">
        <v>445</v>
      </c>
      <c r="I933" t="str">
        <f>VLOOKUP(Продажи[[#This Row],[id товара]],Товары[#All],2,FALSE)</f>
        <v>Молоко</v>
      </c>
      <c r="J933" s="19">
        <f>AVERAGEIF(Продажи[Категория товара],Продажи[[#This Row],[Категория товара]],Продажи[цена за шт в рублях])</f>
        <v>294.95238095238096</v>
      </c>
      <c r="K933" s="20">
        <f>Продажи[[#This Row],[цена за шт в рублях]]/Продажи[[#This Row],[Средняя цена в категории за шт]]-1</f>
        <v>-0.21004197610590902</v>
      </c>
      <c r="L933" t="str">
        <f>VLOOKUP(Продажи[[#This Row],[id товара]],Товары[#All],3,FALSE)</f>
        <v>Вимм-Билль-Данн</v>
      </c>
      <c r="M93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193.5</v>
      </c>
      <c r="N933" s="23">
        <f>VLOOKUP(Продажи[[#This Row],[id клиента]],Таблица4[#All],5,FALSE)</f>
        <v>44676</v>
      </c>
      <c r="O933">
        <f>Продажи[[#This Row],[дата создания чека]]-Продажи[[#This Row],[Дата регистрации клиентов]]</f>
        <v>538</v>
      </c>
      <c r="P933" t="str">
        <f>VLOOKUP(Продажи[[#This Row],[id клиента]],Таблица4[#All],7,FALSE)</f>
        <v>Россия</v>
      </c>
    </row>
    <row r="934" spans="1:16" x14ac:dyDescent="0.25">
      <c r="A934">
        <v>933</v>
      </c>
      <c r="B934">
        <v>246</v>
      </c>
      <c r="C934">
        <v>400</v>
      </c>
      <c r="D934">
        <v>4</v>
      </c>
      <c r="E934">
        <v>1600</v>
      </c>
      <c r="F934" s="23">
        <v>45376</v>
      </c>
      <c r="G934" t="s">
        <v>23</v>
      </c>
      <c r="H934">
        <v>191</v>
      </c>
      <c r="I934" t="str">
        <f>VLOOKUP(Продажи[[#This Row],[id товара]],Товары[#All],2,FALSE)</f>
        <v>Сыр</v>
      </c>
      <c r="J934" s="19">
        <f>AVERAGEIF(Продажи[Категория товара],Продажи[[#This Row],[Категория товара]],Продажи[цена за шт в рублях])</f>
        <v>262.63492063492066</v>
      </c>
      <c r="K934" s="20">
        <f>Продажи[[#This Row],[цена за шт в рублях]]/Продажи[[#This Row],[Средняя цена в категории за шт]]-1</f>
        <v>0.52302671340505236</v>
      </c>
      <c r="L934" t="str">
        <f>VLOOKUP(Продажи[[#This Row],[id товара]],Товары[#All],3,FALSE)</f>
        <v>President</v>
      </c>
      <c r="M93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934" s="23">
        <f>VLOOKUP(Продажи[[#This Row],[id клиента]],Таблица4[#All],5,FALSE)</f>
        <v>44866</v>
      </c>
      <c r="O934">
        <f>Продажи[[#This Row],[дата создания чека]]-Продажи[[#This Row],[Дата регистрации клиентов]]</f>
        <v>510</v>
      </c>
      <c r="P934" t="str">
        <f>VLOOKUP(Продажи[[#This Row],[id клиента]],Таблица4[#All],7,FALSE)</f>
        <v>Украина</v>
      </c>
    </row>
    <row r="935" spans="1:16" x14ac:dyDescent="0.25">
      <c r="A935">
        <v>934</v>
      </c>
      <c r="B935">
        <v>187</v>
      </c>
      <c r="C935">
        <v>168</v>
      </c>
      <c r="D935">
        <v>3</v>
      </c>
      <c r="E935">
        <v>504</v>
      </c>
      <c r="F935" s="23">
        <v>44946</v>
      </c>
      <c r="G935" t="s">
        <v>22</v>
      </c>
      <c r="H935">
        <v>126</v>
      </c>
      <c r="I935" t="str">
        <f>VLOOKUP(Продажи[[#This Row],[id товара]],Товары[#All],2,FALSE)</f>
        <v>Макароны</v>
      </c>
      <c r="J935" s="19">
        <f>AVERAGEIF(Продажи[Категория товара],Продажи[[#This Row],[Категория товара]],Продажи[цена за шт в рублях])</f>
        <v>265.47674418604652</v>
      </c>
      <c r="K935" s="20">
        <f>Продажи[[#This Row],[цена за шт в рублях]]/Продажи[[#This Row],[Средняя цена в категории за шт]]-1</f>
        <v>-0.36717620778765714</v>
      </c>
      <c r="L935" t="str">
        <f>VLOOKUP(Продажи[[#This Row],[id товара]],Товары[#All],3,FALSE)</f>
        <v>Паста Зара</v>
      </c>
      <c r="M93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935" s="23">
        <f>VLOOKUP(Продажи[[#This Row],[id клиента]],Таблица4[#All],5,FALSE)</f>
        <v>44822</v>
      </c>
      <c r="O935">
        <f>Продажи[[#This Row],[дата создания чека]]-Продажи[[#This Row],[Дата регистрации клиентов]]</f>
        <v>124</v>
      </c>
      <c r="P935" t="str">
        <f>VLOOKUP(Продажи[[#This Row],[id клиента]],Таблица4[#All],7,FALSE)</f>
        <v>Узбекистан</v>
      </c>
    </row>
    <row r="936" spans="1:16" x14ac:dyDescent="0.25">
      <c r="A936">
        <v>935</v>
      </c>
      <c r="B936">
        <v>9</v>
      </c>
      <c r="C936">
        <v>321</v>
      </c>
      <c r="D936">
        <v>1</v>
      </c>
      <c r="E936">
        <v>321</v>
      </c>
      <c r="F936" s="23">
        <v>45173</v>
      </c>
      <c r="G936" t="s">
        <v>23</v>
      </c>
      <c r="H936">
        <v>217</v>
      </c>
      <c r="I936" t="str">
        <f>VLOOKUP(Продажи[[#This Row],[id товара]],Товары[#All],2,FALSE)</f>
        <v>Йогурт</v>
      </c>
      <c r="J936" s="19">
        <f>AVERAGEIF(Продажи[Категория товара],Продажи[[#This Row],[Категория товара]],Продажи[цена за шт в рублях])</f>
        <v>263.25423728813558</v>
      </c>
      <c r="K936" s="20">
        <f>Продажи[[#This Row],[цена за шт в рублях]]/Продажи[[#This Row],[Средняя цена в категории за шт]]-1</f>
        <v>0.21935359258305431</v>
      </c>
      <c r="L936" t="str">
        <f>VLOOKUP(Продажи[[#This Row],[id товара]],Товары[#All],3,FALSE)</f>
        <v>Чудо</v>
      </c>
      <c r="M93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287.10000000000002</v>
      </c>
      <c r="N936" s="23">
        <f>VLOOKUP(Продажи[[#This Row],[id клиента]],Таблица4[#All],5,FALSE)</f>
        <v>44826</v>
      </c>
      <c r="O936">
        <f>Продажи[[#This Row],[дата создания чека]]-Продажи[[#This Row],[Дата регистрации клиентов]]</f>
        <v>347</v>
      </c>
      <c r="P936" t="str">
        <f>VLOOKUP(Продажи[[#This Row],[id клиента]],Таблица4[#All],7,FALSE)</f>
        <v>Россия</v>
      </c>
    </row>
    <row r="937" spans="1:16" x14ac:dyDescent="0.25">
      <c r="A937">
        <v>936</v>
      </c>
      <c r="B937">
        <v>302</v>
      </c>
      <c r="C937">
        <v>229</v>
      </c>
      <c r="D937">
        <v>5</v>
      </c>
      <c r="E937">
        <v>1145</v>
      </c>
      <c r="F937" s="23">
        <v>45372</v>
      </c>
      <c r="G937" t="s">
        <v>12</v>
      </c>
      <c r="H937">
        <v>42</v>
      </c>
      <c r="I937" t="str">
        <f>VLOOKUP(Продажи[[#This Row],[id товара]],Товары[#All],2,FALSE)</f>
        <v>Молоко</v>
      </c>
      <c r="J937" s="19">
        <f>AVERAGEIF(Продажи[Категория товара],Продажи[[#This Row],[Категория товара]],Продажи[цена за шт в рублях])</f>
        <v>294.95238095238096</v>
      </c>
      <c r="K937" s="20">
        <f>Продажи[[#This Row],[цена за шт в рублях]]/Продажи[[#This Row],[Средняя цена в категории за шт]]-1</f>
        <v>-0.22360348724572165</v>
      </c>
      <c r="L937" t="str">
        <f>VLOOKUP(Продажи[[#This Row],[id товара]],Товары[#All],3,FALSE)</f>
        <v>Домик в деревне</v>
      </c>
      <c r="M93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274.77777777777777</v>
      </c>
      <c r="N937" s="23">
        <f>VLOOKUP(Продажи[[#This Row],[id клиента]],Таблица4[#All],5,FALSE)</f>
        <v>44783</v>
      </c>
      <c r="O937">
        <f>Продажи[[#This Row],[дата создания чека]]-Продажи[[#This Row],[Дата регистрации клиентов]]</f>
        <v>589</v>
      </c>
      <c r="P937" t="str">
        <f>VLOOKUP(Продажи[[#This Row],[id клиента]],Таблица4[#All],7,FALSE)</f>
        <v>Таджикистан</v>
      </c>
    </row>
    <row r="938" spans="1:16" x14ac:dyDescent="0.25">
      <c r="A938">
        <v>937</v>
      </c>
      <c r="B938">
        <v>166</v>
      </c>
      <c r="C938">
        <v>166</v>
      </c>
      <c r="D938">
        <v>5</v>
      </c>
      <c r="E938">
        <v>830</v>
      </c>
      <c r="F938" s="23">
        <v>45252</v>
      </c>
      <c r="G938" t="s">
        <v>12</v>
      </c>
      <c r="H938">
        <v>407</v>
      </c>
      <c r="I938" t="str">
        <f>VLOOKUP(Продажи[[#This Row],[id товара]],Товары[#All],2,FALSE)</f>
        <v>Сок</v>
      </c>
      <c r="J938" s="19">
        <f>AVERAGEIF(Продажи[Категория товара],Продажи[[#This Row],[Категория товара]],Продажи[цена за шт в рублях])</f>
        <v>268.60344827586209</v>
      </c>
      <c r="K938" s="20">
        <f>Продажи[[#This Row],[цена за шт в рублях]]/Продажи[[#This Row],[Средняя цена в категории за шт]]-1</f>
        <v>-0.38198857436292455</v>
      </c>
      <c r="L938" t="str">
        <f>VLOOKUP(Продажи[[#This Row],[id товара]],Товары[#All],3,FALSE)</f>
        <v>Добрый</v>
      </c>
      <c r="M93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242.81818181818181</v>
      </c>
      <c r="N938" s="23">
        <f>VLOOKUP(Продажи[[#This Row],[id клиента]],Таблица4[#All],5,FALSE)</f>
        <v>44621</v>
      </c>
      <c r="O938">
        <f>Продажи[[#This Row],[дата создания чека]]-Продажи[[#This Row],[Дата регистрации клиентов]]</f>
        <v>631</v>
      </c>
      <c r="P938" t="str">
        <f>VLOOKUP(Продажи[[#This Row],[id клиента]],Таблица4[#All],7,FALSE)</f>
        <v>Беларусь</v>
      </c>
    </row>
    <row r="939" spans="1:16" x14ac:dyDescent="0.25">
      <c r="A939">
        <v>938</v>
      </c>
      <c r="B939">
        <v>329</v>
      </c>
      <c r="C939">
        <v>71</v>
      </c>
      <c r="D939">
        <v>2</v>
      </c>
      <c r="E939">
        <v>142</v>
      </c>
      <c r="F939" s="23">
        <v>45138</v>
      </c>
      <c r="G939" t="s">
        <v>12</v>
      </c>
      <c r="H939">
        <v>117</v>
      </c>
      <c r="I939" t="str">
        <f>VLOOKUP(Продажи[[#This Row],[id товара]],Товары[#All],2,FALSE)</f>
        <v>Соль</v>
      </c>
      <c r="J939" s="19">
        <f>AVERAGEIF(Продажи[Категория товара],Продажи[[#This Row],[Категория товара]],Продажи[цена за шт в рублях])</f>
        <v>264.8679245283019</v>
      </c>
      <c r="K939" s="20">
        <f>Продажи[[#This Row],[цена за шт в рублях]]/Продажи[[#This Row],[Средняя цена в категории за шт]]-1</f>
        <v>-0.73194187206154726</v>
      </c>
      <c r="L939" t="str">
        <f>VLOOKUP(Продажи[[#This Row],[id товара]],Товары[#All],3,FALSE)</f>
        <v>Славянская</v>
      </c>
      <c r="M93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236.91666666666666</v>
      </c>
      <c r="N939" s="23">
        <f>VLOOKUP(Продажи[[#This Row],[id клиента]],Таблица4[#All],5,FALSE)</f>
        <v>44706</v>
      </c>
      <c r="O939">
        <f>Продажи[[#This Row],[дата создания чека]]-Продажи[[#This Row],[Дата регистрации клиентов]]</f>
        <v>432</v>
      </c>
      <c r="P939" t="str">
        <f>VLOOKUP(Продажи[[#This Row],[id клиента]],Таблица4[#All],7,FALSE)</f>
        <v>Украина</v>
      </c>
    </row>
    <row r="940" spans="1:16" x14ac:dyDescent="0.25">
      <c r="A940">
        <v>939</v>
      </c>
      <c r="B940">
        <v>35</v>
      </c>
      <c r="C940">
        <v>345</v>
      </c>
      <c r="D940">
        <v>2</v>
      </c>
      <c r="E940">
        <v>690</v>
      </c>
      <c r="F940" s="23">
        <v>45078</v>
      </c>
      <c r="G940" t="s">
        <v>19</v>
      </c>
      <c r="H940">
        <v>91</v>
      </c>
      <c r="I940" t="str">
        <f>VLOOKUP(Продажи[[#This Row],[id товара]],Товары[#All],2,FALSE)</f>
        <v>Крупа</v>
      </c>
      <c r="J940" s="19">
        <f>AVERAGEIF(Продажи[Категория товара],Продажи[[#This Row],[Категория товара]],Продажи[цена за шт в рублях])</f>
        <v>255.11627906976744</v>
      </c>
      <c r="K940" s="20">
        <f>Продажи[[#This Row],[цена за шт в рублях]]/Продажи[[#This Row],[Средняя цена в категории за шт]]-1</f>
        <v>0.35232452142206006</v>
      </c>
      <c r="L940" t="str">
        <f>VLOOKUP(Продажи[[#This Row],[id товара]],Товары[#All],3,FALSE)</f>
        <v>Мистраль</v>
      </c>
      <c r="M94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940" s="23">
        <f>VLOOKUP(Продажи[[#This Row],[id клиента]],Таблица4[#All],5,FALSE)</f>
        <v>44687</v>
      </c>
      <c r="O940">
        <f>Продажи[[#This Row],[дата создания чека]]-Продажи[[#This Row],[Дата регистрации клиентов]]</f>
        <v>391</v>
      </c>
      <c r="P940" t="str">
        <f>VLOOKUP(Продажи[[#This Row],[id клиента]],Таблица4[#All],7,FALSE)</f>
        <v>Россия</v>
      </c>
    </row>
    <row r="941" spans="1:16" x14ac:dyDescent="0.25">
      <c r="A941">
        <v>940</v>
      </c>
      <c r="B941">
        <v>342</v>
      </c>
      <c r="C941">
        <v>259</v>
      </c>
      <c r="D941">
        <v>5</v>
      </c>
      <c r="E941">
        <v>1295</v>
      </c>
      <c r="F941" s="23">
        <v>45349</v>
      </c>
      <c r="G941" t="s">
        <v>17</v>
      </c>
      <c r="H941">
        <v>380</v>
      </c>
      <c r="I941" t="str">
        <f>VLOOKUP(Продажи[[#This Row],[id товара]],Товары[#All],2,FALSE)</f>
        <v>Овощи</v>
      </c>
      <c r="J941" s="19">
        <f>AVERAGEIF(Продажи[Категория товара],Продажи[[#This Row],[Категория товара]],Продажи[цена за шт в рублях])</f>
        <v>250.48780487804879</v>
      </c>
      <c r="K941" s="20">
        <f>Продажи[[#This Row],[цена за шт в рублях]]/Продажи[[#This Row],[Средняя цена в категории за шт]]-1</f>
        <v>3.3982473222979426E-2</v>
      </c>
      <c r="L941" t="str">
        <f>VLOOKUP(Продажи[[#This Row],[id товара]],Товары[#All],3,FALSE)</f>
        <v>Овощной ряд</v>
      </c>
      <c r="M94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941" s="23">
        <f>VLOOKUP(Продажи[[#This Row],[id клиента]],Таблица4[#All],5,FALSE)</f>
        <v>44563</v>
      </c>
      <c r="O941">
        <f>Продажи[[#This Row],[дата создания чека]]-Продажи[[#This Row],[Дата регистрации клиентов]]</f>
        <v>786</v>
      </c>
      <c r="P941" t="str">
        <f>VLOOKUP(Продажи[[#This Row],[id клиента]],Таблица4[#All],7,FALSE)</f>
        <v>Россия</v>
      </c>
    </row>
    <row r="942" spans="1:16" x14ac:dyDescent="0.25">
      <c r="A942">
        <v>941</v>
      </c>
      <c r="B942">
        <v>44</v>
      </c>
      <c r="C942">
        <v>439</v>
      </c>
      <c r="D942">
        <v>5</v>
      </c>
      <c r="E942">
        <v>2195</v>
      </c>
      <c r="F942" s="23">
        <v>45008</v>
      </c>
      <c r="G942" t="s">
        <v>14</v>
      </c>
      <c r="H942">
        <v>469</v>
      </c>
      <c r="I942" t="str">
        <f>VLOOKUP(Продажи[[#This Row],[id товара]],Товары[#All],2,FALSE)</f>
        <v>Молоко</v>
      </c>
      <c r="J942" s="19">
        <f>AVERAGEIF(Продажи[Категория товара],Продажи[[#This Row],[Категория товара]],Продажи[цена за шт в рублях])</f>
        <v>294.95238095238096</v>
      </c>
      <c r="K942" s="20">
        <f>Продажи[[#This Row],[цена за шт в рублях]]/Продажи[[#This Row],[Средняя цена в категории за шт]]-1</f>
        <v>0.48837584759444619</v>
      </c>
      <c r="L942" t="str">
        <f>VLOOKUP(Продажи[[#This Row],[id товара]],Товары[#All],3,FALSE)</f>
        <v>Беллакт</v>
      </c>
      <c r="M94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322.54545454545456</v>
      </c>
      <c r="N942" s="23">
        <f>VLOOKUP(Продажи[[#This Row],[id клиента]],Таблица4[#All],5,FALSE)</f>
        <v>44659</v>
      </c>
      <c r="O942">
        <f>Продажи[[#This Row],[дата создания чека]]-Продажи[[#This Row],[Дата регистрации клиентов]]</f>
        <v>349</v>
      </c>
      <c r="P942" t="str">
        <f>VLOOKUP(Продажи[[#This Row],[id клиента]],Таблица4[#All],7,FALSE)</f>
        <v>Россия</v>
      </c>
    </row>
    <row r="943" spans="1:16" x14ac:dyDescent="0.25">
      <c r="A943">
        <v>942</v>
      </c>
      <c r="B943">
        <v>128</v>
      </c>
      <c r="C943">
        <v>246</v>
      </c>
      <c r="D943">
        <v>4</v>
      </c>
      <c r="E943">
        <v>984</v>
      </c>
      <c r="F943" s="23">
        <v>45310</v>
      </c>
      <c r="G943" t="s">
        <v>10</v>
      </c>
      <c r="H943">
        <v>479</v>
      </c>
      <c r="I943" t="str">
        <f>VLOOKUP(Продажи[[#This Row],[id товара]],Товары[#All],2,FALSE)</f>
        <v>Мясо</v>
      </c>
      <c r="J943" s="19">
        <f>AVERAGEIF(Продажи[Категория товара],Продажи[[#This Row],[Категория товара]],Продажи[цена за шт в рублях])</f>
        <v>271.74545454545455</v>
      </c>
      <c r="K943" s="20">
        <f>Продажи[[#This Row],[цена за шт в рублях]]/Продажи[[#This Row],[Средняя цена в категории за шт]]-1</f>
        <v>-9.4741067844239302E-2</v>
      </c>
      <c r="L943" t="str">
        <f>VLOOKUP(Продажи[[#This Row],[id товара]],Товары[#All],3,FALSE)</f>
        <v>Мираторг</v>
      </c>
      <c r="M94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943" s="23">
        <f>VLOOKUP(Продажи[[#This Row],[id клиента]],Таблица4[#All],5,FALSE)</f>
        <v>44793</v>
      </c>
      <c r="O943">
        <f>Продажи[[#This Row],[дата создания чека]]-Продажи[[#This Row],[Дата регистрации клиентов]]</f>
        <v>517</v>
      </c>
      <c r="P943" t="str">
        <f>VLOOKUP(Продажи[[#This Row],[id клиента]],Таблица4[#All],7,FALSE)</f>
        <v>Россия</v>
      </c>
    </row>
    <row r="944" spans="1:16" x14ac:dyDescent="0.25">
      <c r="A944">
        <v>943</v>
      </c>
      <c r="B944">
        <v>447</v>
      </c>
      <c r="C944">
        <v>118</v>
      </c>
      <c r="D944">
        <v>3</v>
      </c>
      <c r="E944">
        <v>354</v>
      </c>
      <c r="F944" s="23">
        <v>45337</v>
      </c>
      <c r="G944" t="s">
        <v>16</v>
      </c>
      <c r="H944">
        <v>9</v>
      </c>
      <c r="I944" t="str">
        <f>VLOOKUP(Продажи[[#This Row],[id товара]],Товары[#All],2,FALSE)</f>
        <v>Йогурт</v>
      </c>
      <c r="J944" s="19">
        <f>AVERAGEIF(Продажи[Категория товара],Продажи[[#This Row],[Категория товара]],Продажи[цена за шт в рублях])</f>
        <v>263.25423728813558</v>
      </c>
      <c r="K944" s="20">
        <f>Продажи[[#This Row],[цена за шт в рублях]]/Продажи[[#This Row],[Средняя цена в категории за шт]]-1</f>
        <v>-0.55176409992274011</v>
      </c>
      <c r="L944" t="str">
        <f>VLOOKUP(Продажи[[#This Row],[id товара]],Товары[#All],3,FALSE)</f>
        <v>Эрманн</v>
      </c>
      <c r="M94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248.5</v>
      </c>
      <c r="N944" s="23">
        <f>VLOOKUP(Продажи[[#This Row],[id клиента]],Таблица4[#All],5,FALSE)</f>
        <v>44900</v>
      </c>
      <c r="O944">
        <f>Продажи[[#This Row],[дата создания чека]]-Продажи[[#This Row],[Дата регистрации клиентов]]</f>
        <v>437</v>
      </c>
      <c r="P944" t="str">
        <f>VLOOKUP(Продажи[[#This Row],[id клиента]],Таблица4[#All],7,FALSE)</f>
        <v>Таджикистан</v>
      </c>
    </row>
    <row r="945" spans="1:16" x14ac:dyDescent="0.25">
      <c r="A945">
        <v>944</v>
      </c>
      <c r="B945">
        <v>48</v>
      </c>
      <c r="C945">
        <v>116</v>
      </c>
      <c r="D945">
        <v>5</v>
      </c>
      <c r="E945">
        <v>580</v>
      </c>
      <c r="F945" s="23">
        <v>45034</v>
      </c>
      <c r="G945" t="s">
        <v>25</v>
      </c>
      <c r="H945">
        <v>477</v>
      </c>
      <c r="I945" t="str">
        <f>VLOOKUP(Продажи[[#This Row],[id товара]],Товары[#All],2,FALSE)</f>
        <v>Фрукты</v>
      </c>
      <c r="J945" s="19">
        <f>AVERAGEIF(Продажи[Категория товара],Продажи[[#This Row],[Категория товара]],Продажи[цена за шт в рублях])</f>
        <v>274.16279069767444</v>
      </c>
      <c r="K945" s="20">
        <f>Продажи[[#This Row],[цена за шт в рублях]]/Продажи[[#This Row],[Средняя цена в категории за шт]]-1</f>
        <v>-0.57689371447959958</v>
      </c>
      <c r="L945" t="str">
        <f>VLOOKUP(Продажи[[#This Row],[id товара]],Товары[#All],3,FALSE)</f>
        <v>Фруктовый Рай</v>
      </c>
      <c r="M94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945" s="23">
        <f>VLOOKUP(Продажи[[#This Row],[id клиента]],Таблица4[#All],5,FALSE)</f>
        <v>44738</v>
      </c>
      <c r="O945">
        <f>Продажи[[#This Row],[дата создания чека]]-Продажи[[#This Row],[Дата регистрации клиентов]]</f>
        <v>296</v>
      </c>
      <c r="P945" t="str">
        <f>VLOOKUP(Продажи[[#This Row],[id клиента]],Таблица4[#All],7,FALSE)</f>
        <v>Узбекистан</v>
      </c>
    </row>
    <row r="946" spans="1:16" x14ac:dyDescent="0.25">
      <c r="A946">
        <v>945</v>
      </c>
      <c r="B946">
        <v>415</v>
      </c>
      <c r="C946">
        <v>307</v>
      </c>
      <c r="D946">
        <v>3</v>
      </c>
      <c r="E946">
        <v>921</v>
      </c>
      <c r="F946" s="23">
        <v>45290</v>
      </c>
      <c r="G946" t="s">
        <v>26</v>
      </c>
      <c r="H946">
        <v>498</v>
      </c>
      <c r="I946" t="str">
        <f>VLOOKUP(Продажи[[#This Row],[id товара]],Товары[#All],2,FALSE)</f>
        <v>Чипсы</v>
      </c>
      <c r="J946" s="19">
        <f>AVERAGEIF(Продажи[Категория товара],Продажи[[#This Row],[Категория товара]],Продажи[цена за шт в рублях])</f>
        <v>273.72549019607845</v>
      </c>
      <c r="K946" s="20">
        <f>Продажи[[#This Row],[цена за шт в рублях]]/Продажи[[#This Row],[Средняя цена в категории за шт]]-1</f>
        <v>0.12156160458452714</v>
      </c>
      <c r="L946" t="str">
        <f>VLOOKUP(Продажи[[#This Row],[id товара]],Товары[#All],3,FALSE)</f>
        <v>Pringles</v>
      </c>
      <c r="M94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946" s="23">
        <f>VLOOKUP(Продажи[[#This Row],[id клиента]],Таблица4[#All],5,FALSE)</f>
        <v>44721</v>
      </c>
      <c r="O946">
        <f>Продажи[[#This Row],[дата создания чека]]-Продажи[[#This Row],[Дата регистрации клиентов]]</f>
        <v>569</v>
      </c>
      <c r="P946" t="str">
        <f>VLOOKUP(Продажи[[#This Row],[id клиента]],Таблица4[#All],7,FALSE)</f>
        <v>Украина</v>
      </c>
    </row>
    <row r="947" spans="1:16" x14ac:dyDescent="0.25">
      <c r="A947">
        <v>946</v>
      </c>
      <c r="B947">
        <v>298</v>
      </c>
      <c r="C947">
        <v>84</v>
      </c>
      <c r="D947">
        <v>5</v>
      </c>
      <c r="E947">
        <v>420</v>
      </c>
      <c r="F947" s="23">
        <v>45335</v>
      </c>
      <c r="G947" t="s">
        <v>10</v>
      </c>
      <c r="H947">
        <v>93</v>
      </c>
      <c r="I947" t="str">
        <f>VLOOKUP(Продажи[[#This Row],[id товара]],Товары[#All],2,FALSE)</f>
        <v>Крупа</v>
      </c>
      <c r="J947" s="19">
        <f>AVERAGEIF(Продажи[Категория товара],Продажи[[#This Row],[Категория товара]],Продажи[цена за шт в рублях])</f>
        <v>255.11627906976744</v>
      </c>
      <c r="K947" s="20">
        <f>Продажи[[#This Row],[цена за шт в рублях]]/Продажи[[#This Row],[Средняя цена в категории за шт]]-1</f>
        <v>-0.67073837739288966</v>
      </c>
      <c r="L947" t="str">
        <f>VLOOKUP(Продажи[[#This Row],[id товара]],Товары[#All],3,FALSE)</f>
        <v>Увелка</v>
      </c>
      <c r="M94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947" s="23">
        <f>VLOOKUP(Продажи[[#This Row],[id клиента]],Таблица4[#All],5,FALSE)</f>
        <v>44905</v>
      </c>
      <c r="O947">
        <f>Продажи[[#This Row],[дата создания чека]]-Продажи[[#This Row],[Дата регистрации клиентов]]</f>
        <v>430</v>
      </c>
      <c r="P947" t="str">
        <f>VLOOKUP(Продажи[[#This Row],[id клиента]],Таблица4[#All],7,FALSE)</f>
        <v>Украина</v>
      </c>
    </row>
    <row r="948" spans="1:16" x14ac:dyDescent="0.25">
      <c r="A948">
        <v>947</v>
      </c>
      <c r="B948">
        <v>3</v>
      </c>
      <c r="C948">
        <v>180</v>
      </c>
      <c r="D948">
        <v>3</v>
      </c>
      <c r="E948">
        <v>540</v>
      </c>
      <c r="F948" s="23">
        <v>44940</v>
      </c>
      <c r="G948" t="s">
        <v>18</v>
      </c>
      <c r="H948">
        <v>200</v>
      </c>
      <c r="I948" t="str">
        <f>VLOOKUP(Продажи[[#This Row],[id товара]],Товары[#All],2,FALSE)</f>
        <v>Крупа</v>
      </c>
      <c r="J948" s="19">
        <f>AVERAGEIF(Продажи[Категория товара],Продажи[[#This Row],[Категория товара]],Продажи[цена за шт в рублях])</f>
        <v>255.11627906976744</v>
      </c>
      <c r="K948" s="20">
        <f>Продажи[[#This Row],[цена за шт в рублях]]/Продажи[[#This Row],[Средняя цена в категории за шт]]-1</f>
        <v>-0.29443938012762083</v>
      </c>
      <c r="L948" t="str">
        <f>VLOOKUP(Продажи[[#This Row],[id товара]],Товары[#All],3,FALSE)</f>
        <v>Ярмарка</v>
      </c>
      <c r="M94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948" s="23">
        <f>VLOOKUP(Продажи[[#This Row],[id клиента]],Таблица4[#All],5,FALSE)</f>
        <v>44783</v>
      </c>
      <c r="O948">
        <f>Продажи[[#This Row],[дата создания чека]]-Продажи[[#This Row],[Дата регистрации клиентов]]</f>
        <v>157</v>
      </c>
      <c r="P948" t="str">
        <f>VLOOKUP(Продажи[[#This Row],[id клиента]],Таблица4[#All],7,FALSE)</f>
        <v>Узбекистан</v>
      </c>
    </row>
    <row r="949" spans="1:16" x14ac:dyDescent="0.25">
      <c r="A949">
        <v>948</v>
      </c>
      <c r="B949">
        <v>60</v>
      </c>
      <c r="C949">
        <v>334</v>
      </c>
      <c r="D949">
        <v>1</v>
      </c>
      <c r="E949">
        <v>334</v>
      </c>
      <c r="F949" s="23">
        <v>45196</v>
      </c>
      <c r="G949" t="s">
        <v>25</v>
      </c>
      <c r="H949">
        <v>381</v>
      </c>
      <c r="I949" t="str">
        <f>VLOOKUP(Продажи[[#This Row],[id товара]],Товары[#All],2,FALSE)</f>
        <v>Кофе</v>
      </c>
      <c r="J949" s="19">
        <f>AVERAGEIF(Продажи[Категория товара],Продажи[[#This Row],[Категория товара]],Продажи[цена за шт в рублях])</f>
        <v>249.02380952380952</v>
      </c>
      <c r="K949" s="20">
        <f>Продажи[[#This Row],[цена за шт в рублях]]/Продажи[[#This Row],[Средняя цена в категории за шт]]-1</f>
        <v>0.34123721197055179</v>
      </c>
      <c r="L949" t="str">
        <f>VLOOKUP(Продажи[[#This Row],[id товара]],Товары[#All],3,FALSE)</f>
        <v>Jacobs</v>
      </c>
      <c r="M94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276.21052631578948</v>
      </c>
      <c r="N949" s="23">
        <f>VLOOKUP(Продажи[[#This Row],[id клиента]],Таблица4[#All],5,FALSE)</f>
        <v>44714</v>
      </c>
      <c r="O949">
        <f>Продажи[[#This Row],[дата создания чека]]-Продажи[[#This Row],[Дата регистрации клиентов]]</f>
        <v>482</v>
      </c>
      <c r="P949" t="str">
        <f>VLOOKUP(Продажи[[#This Row],[id клиента]],Таблица4[#All],7,FALSE)</f>
        <v>Узбекистан</v>
      </c>
    </row>
    <row r="950" spans="1:16" x14ac:dyDescent="0.25">
      <c r="A950">
        <v>949</v>
      </c>
      <c r="B950">
        <v>59</v>
      </c>
      <c r="C950">
        <v>234</v>
      </c>
      <c r="D950">
        <v>2</v>
      </c>
      <c r="E950">
        <v>468</v>
      </c>
      <c r="F950" s="23">
        <v>45101</v>
      </c>
      <c r="G950" t="s">
        <v>14</v>
      </c>
      <c r="H950">
        <v>18</v>
      </c>
      <c r="I950" t="str">
        <f>VLOOKUP(Продажи[[#This Row],[id товара]],Товары[#All],2,FALSE)</f>
        <v>Сахар</v>
      </c>
      <c r="J950" s="19">
        <f>AVERAGEIF(Продажи[Категория товара],Продажи[[#This Row],[Категория товара]],Продажи[цена за шт в рублях])</f>
        <v>252.76271186440678</v>
      </c>
      <c r="K950" s="20">
        <f>Продажи[[#This Row],[цена за шт в рублях]]/Продажи[[#This Row],[Средняя цена в категории за шт]]-1</f>
        <v>-7.4230537115268613E-2</v>
      </c>
      <c r="L950" t="str">
        <f>VLOOKUP(Продажи[[#This Row],[id товара]],Товары[#All],3,FALSE)</f>
        <v>Продимекс</v>
      </c>
      <c r="M95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240.5</v>
      </c>
      <c r="N950" s="23">
        <f>VLOOKUP(Продажи[[#This Row],[id клиента]],Таблица4[#All],5,FALSE)</f>
        <v>44578</v>
      </c>
      <c r="O950">
        <f>Продажи[[#This Row],[дата создания чека]]-Продажи[[#This Row],[Дата регистрации клиентов]]</f>
        <v>523</v>
      </c>
      <c r="P950" t="str">
        <f>VLOOKUP(Продажи[[#This Row],[id клиента]],Таблица4[#All],7,FALSE)</f>
        <v>Украина</v>
      </c>
    </row>
    <row r="951" spans="1:16" x14ac:dyDescent="0.25">
      <c r="A951">
        <v>950</v>
      </c>
      <c r="B951">
        <v>119</v>
      </c>
      <c r="C951">
        <v>426</v>
      </c>
      <c r="D951">
        <v>1</v>
      </c>
      <c r="E951">
        <v>426</v>
      </c>
      <c r="F951" s="23">
        <v>45094</v>
      </c>
      <c r="G951" t="s">
        <v>15</v>
      </c>
      <c r="H951">
        <v>327</v>
      </c>
      <c r="I951" t="str">
        <f>VLOOKUP(Продажи[[#This Row],[id товара]],Товары[#All],2,FALSE)</f>
        <v>Печенье</v>
      </c>
      <c r="J951" s="19">
        <f>AVERAGEIF(Продажи[Категория товара],Продажи[[#This Row],[Категория товара]],Продажи[цена за шт в рублях])</f>
        <v>283.468085106383</v>
      </c>
      <c r="K951" s="20">
        <f>Продажи[[#This Row],[цена за шт в рублях]]/Продажи[[#This Row],[Средняя цена в категории за шт]]-1</f>
        <v>0.50281468137806784</v>
      </c>
      <c r="L951" t="str">
        <f>VLOOKUP(Продажи[[#This Row],[id товара]],Товары[#All],3,FALSE)</f>
        <v>КДВ</v>
      </c>
      <c r="M95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951" s="23">
        <f>VLOOKUP(Продажи[[#This Row],[id клиента]],Таблица4[#All],5,FALSE)</f>
        <v>44565</v>
      </c>
      <c r="O951">
        <f>Продажи[[#This Row],[дата создания чека]]-Продажи[[#This Row],[Дата регистрации клиентов]]</f>
        <v>529</v>
      </c>
      <c r="P951" t="str">
        <f>VLOOKUP(Продажи[[#This Row],[id клиента]],Таблица4[#All],7,FALSE)</f>
        <v>Таджикистан</v>
      </c>
    </row>
    <row r="952" spans="1:16" x14ac:dyDescent="0.25">
      <c r="A952">
        <v>951</v>
      </c>
      <c r="B952">
        <v>199</v>
      </c>
      <c r="C952">
        <v>494</v>
      </c>
      <c r="D952">
        <v>1</v>
      </c>
      <c r="E952">
        <v>494</v>
      </c>
      <c r="F952" s="23">
        <v>45252</v>
      </c>
      <c r="G952" t="s">
        <v>10</v>
      </c>
      <c r="H952">
        <v>340</v>
      </c>
      <c r="I952" t="str">
        <f>VLOOKUP(Продажи[[#This Row],[id товара]],Товары[#All],2,FALSE)</f>
        <v>Макароны</v>
      </c>
      <c r="J952" s="19">
        <f>AVERAGEIF(Продажи[Категория товара],Продажи[[#This Row],[Категория товара]],Продажи[цена за шт в рублях])</f>
        <v>265.47674418604652</v>
      </c>
      <c r="K952" s="20">
        <f>Продажи[[#This Row],[цена за шт в рублях]]/Продажи[[#This Row],[Средняя цена в категории за шт]]-1</f>
        <v>0.86080329376724629</v>
      </c>
      <c r="L952" t="str">
        <f>VLOOKUP(Продажи[[#This Row],[id товара]],Товары[#All],3,FALSE)</f>
        <v>Борилла</v>
      </c>
      <c r="M95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52" s="23">
        <f>VLOOKUP(Продажи[[#This Row],[id клиента]],Таблица4[#All],5,FALSE)</f>
        <v>44896</v>
      </c>
      <c r="O952">
        <f>Продажи[[#This Row],[дата создания чека]]-Продажи[[#This Row],[Дата регистрации клиентов]]</f>
        <v>356</v>
      </c>
      <c r="P952" t="str">
        <f>VLOOKUP(Продажи[[#This Row],[id клиента]],Таблица4[#All],7,FALSE)</f>
        <v>Россия</v>
      </c>
    </row>
    <row r="953" spans="1:16" x14ac:dyDescent="0.25">
      <c r="A953">
        <v>952</v>
      </c>
      <c r="B953">
        <v>272</v>
      </c>
      <c r="C953">
        <v>353</v>
      </c>
      <c r="D953">
        <v>3</v>
      </c>
      <c r="E953">
        <v>1059</v>
      </c>
      <c r="F953" s="23">
        <v>44989</v>
      </c>
      <c r="G953" t="s">
        <v>23</v>
      </c>
      <c r="H953">
        <v>490</v>
      </c>
      <c r="I953" t="str">
        <f>VLOOKUP(Продажи[[#This Row],[id товара]],Товары[#All],2,FALSE)</f>
        <v>Крупа</v>
      </c>
      <c r="J953" s="19">
        <f>AVERAGEIF(Продажи[Категория товара],Продажи[[#This Row],[Категория товара]],Продажи[цена за шт в рублях])</f>
        <v>255.11627906976744</v>
      </c>
      <c r="K953" s="20">
        <f>Продажи[[#This Row],[цена за шт в рублях]]/Продажи[[#This Row],[Средняя цена в категории за шт]]-1</f>
        <v>0.38368277119416594</v>
      </c>
      <c r="L953" t="str">
        <f>VLOOKUP(Продажи[[#This Row],[id товара]],Товары[#All],3,FALSE)</f>
        <v>Ярмарка</v>
      </c>
      <c r="M95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953" s="23">
        <f>VLOOKUP(Продажи[[#This Row],[id клиента]],Таблица4[#All],5,FALSE)</f>
        <v>44603</v>
      </c>
      <c r="O953">
        <f>Продажи[[#This Row],[дата создания чека]]-Продажи[[#This Row],[Дата регистрации клиентов]]</f>
        <v>386</v>
      </c>
      <c r="P953" t="str">
        <f>VLOOKUP(Продажи[[#This Row],[id клиента]],Таблица4[#All],7,FALSE)</f>
        <v>Россия</v>
      </c>
    </row>
    <row r="954" spans="1:16" x14ac:dyDescent="0.25">
      <c r="A954">
        <v>953</v>
      </c>
      <c r="B954">
        <v>386</v>
      </c>
      <c r="C954">
        <v>288</v>
      </c>
      <c r="D954">
        <v>2</v>
      </c>
      <c r="E954">
        <v>576</v>
      </c>
      <c r="F954" s="23">
        <v>45285</v>
      </c>
      <c r="G954" t="s">
        <v>22</v>
      </c>
      <c r="H954">
        <v>67</v>
      </c>
      <c r="I954" t="str">
        <f>VLOOKUP(Продажи[[#This Row],[id товара]],Товары[#All],2,FALSE)</f>
        <v>Крупа</v>
      </c>
      <c r="J954" s="19">
        <f>AVERAGEIF(Продажи[Категория товара],Продажи[[#This Row],[Категория товара]],Продажи[цена за шт в рублях])</f>
        <v>255.11627906976744</v>
      </c>
      <c r="K954" s="20">
        <f>Продажи[[#This Row],[цена за шт в рублях]]/Продажи[[#This Row],[Средняя цена в категории за шт]]-1</f>
        <v>0.12889699179580671</v>
      </c>
      <c r="L954" t="str">
        <f>VLOOKUP(Продажи[[#This Row],[id товара]],Товары[#All],3,FALSE)</f>
        <v>Увелка</v>
      </c>
      <c r="M95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251.91666666666666</v>
      </c>
      <c r="N954" s="23">
        <f>VLOOKUP(Продажи[[#This Row],[id клиента]],Таблица4[#All],5,FALSE)</f>
        <v>44731</v>
      </c>
      <c r="O954">
        <f>Продажи[[#This Row],[дата создания чека]]-Продажи[[#This Row],[Дата регистрации клиентов]]</f>
        <v>554</v>
      </c>
      <c r="P954" t="str">
        <f>VLOOKUP(Продажи[[#This Row],[id клиента]],Таблица4[#All],7,FALSE)</f>
        <v>Узбекистан</v>
      </c>
    </row>
    <row r="955" spans="1:16" x14ac:dyDescent="0.25">
      <c r="A955">
        <v>954</v>
      </c>
      <c r="B955">
        <v>464</v>
      </c>
      <c r="C955">
        <v>430</v>
      </c>
      <c r="D955">
        <v>2</v>
      </c>
      <c r="E955">
        <v>860</v>
      </c>
      <c r="F955" s="23">
        <v>45148</v>
      </c>
      <c r="G955" t="s">
        <v>26</v>
      </c>
      <c r="H955">
        <v>132</v>
      </c>
      <c r="I955" t="str">
        <f>VLOOKUP(Продажи[[#This Row],[id товара]],Товары[#All],2,FALSE)</f>
        <v>Сыр</v>
      </c>
      <c r="J955" s="19">
        <f>AVERAGEIF(Продажи[Категория товара],Продажи[[#This Row],[Категория товара]],Продажи[цена за шт в рублях])</f>
        <v>262.63492063492066</v>
      </c>
      <c r="K955" s="20">
        <f>Продажи[[#This Row],[цена за шт в рублях]]/Продажи[[#This Row],[Средняя цена в категории за шт]]-1</f>
        <v>0.63725371691043131</v>
      </c>
      <c r="L955" t="str">
        <f>VLOOKUP(Продажи[[#This Row],[id товара]],Товары[#All],3,FALSE)</f>
        <v>Сырная долина</v>
      </c>
      <c r="M95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955" s="23">
        <f>VLOOKUP(Продажи[[#This Row],[id клиента]],Таблица4[#All],5,FALSE)</f>
        <v>44601</v>
      </c>
      <c r="O955">
        <f>Продажи[[#This Row],[дата создания чека]]-Продажи[[#This Row],[Дата регистрации клиентов]]</f>
        <v>547</v>
      </c>
      <c r="P955" t="str">
        <f>VLOOKUP(Продажи[[#This Row],[id клиента]],Таблица4[#All],7,FALSE)</f>
        <v>Украина</v>
      </c>
    </row>
    <row r="956" spans="1:16" x14ac:dyDescent="0.25">
      <c r="A956">
        <v>955</v>
      </c>
      <c r="B956">
        <v>494</v>
      </c>
      <c r="C956">
        <v>471</v>
      </c>
      <c r="D956">
        <v>5</v>
      </c>
      <c r="E956">
        <v>2355</v>
      </c>
      <c r="F956" s="23">
        <v>45289</v>
      </c>
      <c r="G956" t="s">
        <v>8</v>
      </c>
      <c r="H956">
        <v>95</v>
      </c>
      <c r="I956" t="str">
        <f>VLOOKUP(Продажи[[#This Row],[id товара]],Товары[#All],2,FALSE)</f>
        <v>Сыр</v>
      </c>
      <c r="J956" s="19">
        <f>AVERAGEIF(Продажи[Категория товара],Продажи[[#This Row],[Категория товара]],Продажи[цена за шт в рублях])</f>
        <v>262.63492063492066</v>
      </c>
      <c r="K956" s="20">
        <f>Продажи[[#This Row],[цена за шт в рублях]]/Продажи[[#This Row],[Средняя цена в категории за шт]]-1</f>
        <v>0.79336395503444934</v>
      </c>
      <c r="L956" t="str">
        <f>VLOOKUP(Продажи[[#This Row],[id товара]],Товары[#All],3,FALSE)</f>
        <v>Сырная долина</v>
      </c>
      <c r="M95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956" s="23">
        <f>VLOOKUP(Продажи[[#This Row],[id клиента]],Таблица4[#All],5,FALSE)</f>
        <v>44704</v>
      </c>
      <c r="O956">
        <f>Продажи[[#This Row],[дата создания чека]]-Продажи[[#This Row],[Дата регистрации клиентов]]</f>
        <v>585</v>
      </c>
      <c r="P956" t="str">
        <f>VLOOKUP(Продажи[[#This Row],[id клиента]],Таблица4[#All],7,FALSE)</f>
        <v>Узбекистан</v>
      </c>
    </row>
    <row r="957" spans="1:16" x14ac:dyDescent="0.25">
      <c r="A957">
        <v>956</v>
      </c>
      <c r="B957">
        <v>242</v>
      </c>
      <c r="C957">
        <v>313</v>
      </c>
      <c r="D957">
        <v>3</v>
      </c>
      <c r="E957">
        <v>939</v>
      </c>
      <c r="F957" s="23">
        <v>45249</v>
      </c>
      <c r="G957" t="s">
        <v>25</v>
      </c>
      <c r="H957">
        <v>75</v>
      </c>
      <c r="I957" t="str">
        <f>VLOOKUP(Продажи[[#This Row],[id товара]],Товары[#All],2,FALSE)</f>
        <v>Овощи</v>
      </c>
      <c r="J957" s="19">
        <f>AVERAGEIF(Продажи[Категория товара],Продажи[[#This Row],[Категория товара]],Продажи[цена за шт в рублях])</f>
        <v>250.48780487804879</v>
      </c>
      <c r="K957" s="20">
        <f>Продажи[[#This Row],[цена за шт в рублях]]/Продажи[[#This Row],[Средняя цена в категории за шт]]-1</f>
        <v>0.24956183057448866</v>
      </c>
      <c r="L957" t="str">
        <f>VLOOKUP(Продажи[[#This Row],[id товара]],Товары[#All],3,FALSE)</f>
        <v>Овощной ряд</v>
      </c>
      <c r="M95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957" s="23">
        <f>VLOOKUP(Продажи[[#This Row],[id клиента]],Таблица4[#All],5,FALSE)</f>
        <v>44796</v>
      </c>
      <c r="O957">
        <f>Продажи[[#This Row],[дата создания чека]]-Продажи[[#This Row],[Дата регистрации клиентов]]</f>
        <v>453</v>
      </c>
      <c r="P957" t="str">
        <f>VLOOKUP(Продажи[[#This Row],[id клиента]],Таблица4[#All],7,FALSE)</f>
        <v>Украина</v>
      </c>
    </row>
    <row r="958" spans="1:16" x14ac:dyDescent="0.25">
      <c r="A958">
        <v>957</v>
      </c>
      <c r="B958">
        <v>434</v>
      </c>
      <c r="C958">
        <v>340</v>
      </c>
      <c r="D958">
        <v>4</v>
      </c>
      <c r="E958">
        <v>1360</v>
      </c>
      <c r="F958" s="23">
        <v>44937</v>
      </c>
      <c r="G958" t="s">
        <v>17</v>
      </c>
      <c r="H958">
        <v>419</v>
      </c>
      <c r="I958" t="str">
        <f>VLOOKUP(Продажи[[#This Row],[id товара]],Товары[#All],2,FALSE)</f>
        <v>Сыр</v>
      </c>
      <c r="J958" s="19">
        <f>AVERAGEIF(Продажи[Категория товара],Продажи[[#This Row],[Категория товара]],Продажи[цена за шт в рублях])</f>
        <v>262.63492063492066</v>
      </c>
      <c r="K958" s="20">
        <f>Продажи[[#This Row],[цена за шт в рублях]]/Продажи[[#This Row],[Средняя цена в категории за шт]]-1</f>
        <v>0.29457270639429467</v>
      </c>
      <c r="L958" t="str">
        <f>VLOOKUP(Продажи[[#This Row],[id товара]],Товары[#All],3,FALSE)</f>
        <v>Сырная долина</v>
      </c>
      <c r="M95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958" s="23">
        <f>VLOOKUP(Продажи[[#This Row],[id клиента]],Таблица4[#All],5,FALSE)</f>
        <v>44869</v>
      </c>
      <c r="O958">
        <f>Продажи[[#This Row],[дата создания чека]]-Продажи[[#This Row],[Дата регистрации клиентов]]</f>
        <v>68</v>
      </c>
      <c r="P958" t="str">
        <f>VLOOKUP(Продажи[[#This Row],[id клиента]],Таблица4[#All],7,FALSE)</f>
        <v>Таджикистан</v>
      </c>
    </row>
    <row r="959" spans="1:16" x14ac:dyDescent="0.25">
      <c r="A959">
        <v>958</v>
      </c>
      <c r="B959">
        <v>110</v>
      </c>
      <c r="C959">
        <v>148</v>
      </c>
      <c r="D959">
        <v>2</v>
      </c>
      <c r="E959">
        <v>296</v>
      </c>
      <c r="F959" s="23">
        <v>44995</v>
      </c>
      <c r="G959" t="s">
        <v>10</v>
      </c>
      <c r="H959">
        <v>42</v>
      </c>
      <c r="I959" t="str">
        <f>VLOOKUP(Продажи[[#This Row],[id товара]],Товары[#All],2,FALSE)</f>
        <v>Макароны</v>
      </c>
      <c r="J959" s="19">
        <f>AVERAGEIF(Продажи[Категория товара],Продажи[[#This Row],[Категория товара]],Продажи[цена за шт в рублях])</f>
        <v>265.47674418604652</v>
      </c>
      <c r="K959" s="20">
        <f>Продажи[[#This Row],[цена за шт в рублях]]/Продажи[[#This Row],[Средняя цена в категории за шт]]-1</f>
        <v>-0.44251237352722173</v>
      </c>
      <c r="L959" t="str">
        <f>VLOOKUP(Продажи[[#This Row],[id товара]],Товары[#All],3,FALSE)</f>
        <v>Паста Зара</v>
      </c>
      <c r="M95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959" s="23">
        <f>VLOOKUP(Продажи[[#This Row],[id клиента]],Таблица4[#All],5,FALSE)</f>
        <v>44783</v>
      </c>
      <c r="O959">
        <f>Продажи[[#This Row],[дата создания чека]]-Продажи[[#This Row],[Дата регистрации клиентов]]</f>
        <v>212</v>
      </c>
      <c r="P959" t="str">
        <f>VLOOKUP(Продажи[[#This Row],[id клиента]],Таблица4[#All],7,FALSE)</f>
        <v>Таджикистан</v>
      </c>
    </row>
    <row r="960" spans="1:16" x14ac:dyDescent="0.25">
      <c r="A960">
        <v>959</v>
      </c>
      <c r="B960">
        <v>168</v>
      </c>
      <c r="C960">
        <v>391</v>
      </c>
      <c r="D960">
        <v>2</v>
      </c>
      <c r="E960">
        <v>782</v>
      </c>
      <c r="F960" s="23">
        <v>45143</v>
      </c>
      <c r="G960" t="s">
        <v>26</v>
      </c>
      <c r="H960">
        <v>316</v>
      </c>
      <c r="I960" t="str">
        <f>VLOOKUP(Продажи[[#This Row],[id товара]],Товары[#All],2,FALSE)</f>
        <v>Крупа</v>
      </c>
      <c r="J960" s="19">
        <f>AVERAGEIF(Продажи[Категория товара],Продажи[[#This Row],[Категория товара]],Продажи[цена за шт в рублях])</f>
        <v>255.11627906976744</v>
      </c>
      <c r="K960" s="20">
        <f>Продажи[[#This Row],[цена за шт в рублях]]/Продажи[[#This Row],[Средняя цена в категории за шт]]-1</f>
        <v>0.53263445761166817</v>
      </c>
      <c r="L960" t="str">
        <f>VLOOKUP(Продажи[[#This Row],[id товара]],Товары[#All],3,FALSE)</f>
        <v>Ярмарка</v>
      </c>
      <c r="M96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960" s="23">
        <f>VLOOKUP(Продажи[[#This Row],[id клиента]],Таблица4[#All],5,FALSE)</f>
        <v>44787</v>
      </c>
      <c r="O960">
        <f>Продажи[[#This Row],[дата создания чека]]-Продажи[[#This Row],[Дата регистрации клиентов]]</f>
        <v>356</v>
      </c>
      <c r="P960" t="str">
        <f>VLOOKUP(Продажи[[#This Row],[id клиента]],Таблица4[#All],7,FALSE)</f>
        <v>Таджикистан</v>
      </c>
    </row>
    <row r="961" spans="1:16" x14ac:dyDescent="0.25">
      <c r="A961">
        <v>960</v>
      </c>
      <c r="B961">
        <v>13</v>
      </c>
      <c r="C961">
        <v>181</v>
      </c>
      <c r="D961">
        <v>4</v>
      </c>
      <c r="E961">
        <v>724</v>
      </c>
      <c r="F961" s="23">
        <v>45398</v>
      </c>
      <c r="G961" t="s">
        <v>23</v>
      </c>
      <c r="H961">
        <v>117</v>
      </c>
      <c r="I961" t="str">
        <f>VLOOKUP(Продажи[[#This Row],[id товара]],Товары[#All],2,FALSE)</f>
        <v>Макароны</v>
      </c>
      <c r="J961" s="19">
        <f>AVERAGEIF(Продажи[Категория товара],Продажи[[#This Row],[Категория товара]],Продажи[цена за шт в рублях])</f>
        <v>265.47674418604652</v>
      </c>
      <c r="K961" s="20">
        <f>Продажи[[#This Row],[цена за шт в рублях]]/Продажи[[#This Row],[Средняя цена в категории за шт]]-1</f>
        <v>-0.3182077000569401</v>
      </c>
      <c r="L961" t="str">
        <f>VLOOKUP(Продажи[[#This Row],[id товара]],Товары[#All],3,FALSE)</f>
        <v>Паста Зара</v>
      </c>
      <c r="M96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961" s="23">
        <f>VLOOKUP(Продажи[[#This Row],[id клиента]],Таблица4[#All],5,FALSE)</f>
        <v>44706</v>
      </c>
      <c r="O961">
        <f>Продажи[[#This Row],[дата создания чека]]-Продажи[[#This Row],[Дата регистрации клиентов]]</f>
        <v>692</v>
      </c>
      <c r="P961" t="str">
        <f>VLOOKUP(Продажи[[#This Row],[id клиента]],Таблица4[#All],7,FALSE)</f>
        <v>Украина</v>
      </c>
    </row>
    <row r="962" spans="1:16" x14ac:dyDescent="0.25">
      <c r="A962">
        <v>961</v>
      </c>
      <c r="B962">
        <v>141</v>
      </c>
      <c r="C962">
        <v>279</v>
      </c>
      <c r="D962">
        <v>1</v>
      </c>
      <c r="E962">
        <v>279</v>
      </c>
      <c r="F962" s="23">
        <v>45324</v>
      </c>
      <c r="G962" t="s">
        <v>10</v>
      </c>
      <c r="H962">
        <v>243</v>
      </c>
      <c r="I962" t="str">
        <f>VLOOKUP(Продажи[[#This Row],[id товара]],Товары[#All],2,FALSE)</f>
        <v>Фрукты</v>
      </c>
      <c r="J962" s="19">
        <f>AVERAGEIF(Продажи[Категория товара],Продажи[[#This Row],[Категория товара]],Продажи[цена за шт в рублях])</f>
        <v>274.16279069767444</v>
      </c>
      <c r="K962" s="20">
        <f>Продажи[[#This Row],[цена за шт в рублях]]/Продажи[[#This Row],[Средняя цена в категории за шт]]-1</f>
        <v>1.7643566036135372E-2</v>
      </c>
      <c r="L962" t="str">
        <f>VLOOKUP(Продажи[[#This Row],[id товара]],Товары[#All],3,FALSE)</f>
        <v>Фруктовый Рай</v>
      </c>
      <c r="M96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962" s="23">
        <f>VLOOKUP(Продажи[[#This Row],[id клиента]],Таблица4[#All],5,FALSE)</f>
        <v>44681</v>
      </c>
      <c r="O962">
        <f>Продажи[[#This Row],[дата создания чека]]-Продажи[[#This Row],[Дата регистрации клиентов]]</f>
        <v>643</v>
      </c>
      <c r="P962" t="str">
        <f>VLOOKUP(Продажи[[#This Row],[id клиента]],Таблица4[#All],7,FALSE)</f>
        <v>Россия</v>
      </c>
    </row>
    <row r="963" spans="1:16" x14ac:dyDescent="0.25">
      <c r="A963">
        <v>962</v>
      </c>
      <c r="B963">
        <v>120</v>
      </c>
      <c r="C963">
        <v>229</v>
      </c>
      <c r="D963">
        <v>5</v>
      </c>
      <c r="E963">
        <v>1145</v>
      </c>
      <c r="F963" s="23">
        <v>44930</v>
      </c>
      <c r="G963" t="s">
        <v>25</v>
      </c>
      <c r="H963">
        <v>6</v>
      </c>
      <c r="I963" t="str">
        <f>VLOOKUP(Продажи[[#This Row],[id товара]],Товары[#All],2,FALSE)</f>
        <v>Хлеб</v>
      </c>
      <c r="J963" s="19">
        <f>AVERAGEIF(Продажи[Категория товара],Продажи[[#This Row],[Категория товара]],Продажи[цена за шт в рублях])</f>
        <v>300.31818181818181</v>
      </c>
      <c r="K963" s="20">
        <f>Продажи[[#This Row],[цена за шт в рублях]]/Продажи[[#This Row],[Средняя цена в категории за шт]]-1</f>
        <v>-0.23747540487361884</v>
      </c>
      <c r="L963" t="str">
        <f>VLOOKUP(Продажи[[#This Row],[id товара]],Товары[#All],3,FALSE)</f>
        <v>Дарница</v>
      </c>
      <c r="M96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264</v>
      </c>
      <c r="N963" s="23">
        <f>VLOOKUP(Продажи[[#This Row],[id клиента]],Таблица4[#All],5,FALSE)</f>
        <v>44710</v>
      </c>
      <c r="O963">
        <f>Продажи[[#This Row],[дата создания чека]]-Продажи[[#This Row],[Дата регистрации клиентов]]</f>
        <v>220</v>
      </c>
      <c r="P963" t="str">
        <f>VLOOKUP(Продажи[[#This Row],[id клиента]],Таблица4[#All],7,FALSE)</f>
        <v>Украина</v>
      </c>
    </row>
    <row r="964" spans="1:16" x14ac:dyDescent="0.25">
      <c r="A964">
        <v>963</v>
      </c>
      <c r="B964">
        <v>316</v>
      </c>
      <c r="C964">
        <v>97</v>
      </c>
      <c r="D964">
        <v>4</v>
      </c>
      <c r="E964">
        <v>388</v>
      </c>
      <c r="F964" s="23">
        <v>44932</v>
      </c>
      <c r="G964" t="s">
        <v>17</v>
      </c>
      <c r="H964">
        <v>283</v>
      </c>
      <c r="I964" t="str">
        <f>VLOOKUP(Продажи[[#This Row],[id товара]],Товары[#All],2,FALSE)</f>
        <v>Макароны</v>
      </c>
      <c r="J964" s="19">
        <f>AVERAGEIF(Продажи[Категория товара],Продажи[[#This Row],[Категория товара]],Продажи[цена за шт в рублях])</f>
        <v>265.47674418604652</v>
      </c>
      <c r="K964" s="20">
        <f>Продажи[[#This Row],[цена за шт в рублях]]/Продажи[[#This Row],[Средняя цена в категории за шт]]-1</f>
        <v>-0.63461959616311159</v>
      </c>
      <c r="L964" t="str">
        <f>VLOOKUP(Продажи[[#This Row],[id товара]],Товары[#All],3,FALSE)</f>
        <v>Борилла</v>
      </c>
      <c r="M96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64" s="23">
        <f>VLOOKUP(Продажи[[#This Row],[id клиента]],Таблица4[#All],5,FALSE)</f>
        <v>44889</v>
      </c>
      <c r="O964">
        <f>Продажи[[#This Row],[дата создания чека]]-Продажи[[#This Row],[Дата регистрации клиентов]]</f>
        <v>43</v>
      </c>
      <c r="P964" t="str">
        <f>VLOOKUP(Продажи[[#This Row],[id клиента]],Таблица4[#All],7,FALSE)</f>
        <v>Таджикистан</v>
      </c>
    </row>
    <row r="965" spans="1:16" x14ac:dyDescent="0.25">
      <c r="A965">
        <v>964</v>
      </c>
      <c r="B965">
        <v>448</v>
      </c>
      <c r="C965">
        <v>484</v>
      </c>
      <c r="D965">
        <v>1</v>
      </c>
      <c r="E965">
        <v>484</v>
      </c>
      <c r="F965" s="23">
        <v>45301</v>
      </c>
      <c r="G965" t="s">
        <v>10</v>
      </c>
      <c r="H965">
        <v>404</v>
      </c>
      <c r="I965" t="str">
        <f>VLOOKUP(Продажи[[#This Row],[id товара]],Товары[#All],2,FALSE)</f>
        <v>Йогурт</v>
      </c>
      <c r="J965" s="19">
        <f>AVERAGEIF(Продажи[Категория товара],Продажи[[#This Row],[Категория товара]],Продажи[цена за шт в рублях])</f>
        <v>263.25423728813558</v>
      </c>
      <c r="K965" s="20">
        <f>Продажи[[#This Row],[цена за шт в рублях]]/Продажи[[#This Row],[Средняя цена в категории за шт]]-1</f>
        <v>0.83852691218130326</v>
      </c>
      <c r="L965" t="str">
        <f>VLOOKUP(Продажи[[#This Row],[id товара]],Товары[#All],3,FALSE)</f>
        <v>Ростагроэкспорт</v>
      </c>
      <c r="M96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965" s="23">
        <f>VLOOKUP(Продажи[[#This Row],[id клиента]],Таблица4[#All],5,FALSE)</f>
        <v>44913</v>
      </c>
      <c r="O965">
        <f>Продажи[[#This Row],[дата создания чека]]-Продажи[[#This Row],[Дата регистрации клиентов]]</f>
        <v>388</v>
      </c>
      <c r="P965" t="str">
        <f>VLOOKUP(Продажи[[#This Row],[id клиента]],Таблица4[#All],7,FALSE)</f>
        <v>Украина</v>
      </c>
    </row>
    <row r="966" spans="1:16" x14ac:dyDescent="0.25">
      <c r="A966">
        <v>965</v>
      </c>
      <c r="B966">
        <v>143</v>
      </c>
      <c r="C966">
        <v>200</v>
      </c>
      <c r="D966">
        <v>4</v>
      </c>
      <c r="E966">
        <v>800</v>
      </c>
      <c r="F966" s="23">
        <v>45306</v>
      </c>
      <c r="G966" t="s">
        <v>8</v>
      </c>
      <c r="H966">
        <v>379</v>
      </c>
      <c r="I966" t="str">
        <f>VLOOKUP(Продажи[[#This Row],[id товара]],Товары[#All],2,FALSE)</f>
        <v>Сахар</v>
      </c>
      <c r="J966" s="19">
        <f>AVERAGEIF(Продажи[Категория товара],Продажи[[#This Row],[Категория товара]],Продажи[цена за шт в рублях])</f>
        <v>252.76271186440678</v>
      </c>
      <c r="K966" s="20">
        <f>Продажи[[#This Row],[цена за шт в рублях]]/Продажи[[#This Row],[Средняя цена в категории за шт]]-1</f>
        <v>-0.20874404881646891</v>
      </c>
      <c r="L966" t="str">
        <f>VLOOKUP(Продажи[[#This Row],[id товара]],Товары[#All],3,FALSE)</f>
        <v>Агросахар</v>
      </c>
      <c r="M96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215.85714285714286</v>
      </c>
      <c r="N966" s="23">
        <f>VLOOKUP(Продажи[[#This Row],[id клиента]],Таблица4[#All],5,FALSE)</f>
        <v>44581</v>
      </c>
      <c r="O966">
        <f>Продажи[[#This Row],[дата создания чека]]-Продажи[[#This Row],[Дата регистрации клиентов]]</f>
        <v>725</v>
      </c>
      <c r="P966" t="str">
        <f>VLOOKUP(Продажи[[#This Row],[id клиента]],Таблица4[#All],7,FALSE)</f>
        <v>Таджикистан</v>
      </c>
    </row>
    <row r="967" spans="1:16" x14ac:dyDescent="0.25">
      <c r="A967">
        <v>966</v>
      </c>
      <c r="B967">
        <v>168</v>
      </c>
      <c r="C967">
        <v>206</v>
      </c>
      <c r="D967">
        <v>4</v>
      </c>
      <c r="E967">
        <v>824</v>
      </c>
      <c r="F967" s="23">
        <v>45243</v>
      </c>
      <c r="G967" t="s">
        <v>22</v>
      </c>
      <c r="H967">
        <v>136</v>
      </c>
      <c r="I967" t="str">
        <f>VLOOKUP(Продажи[[#This Row],[id товара]],Товары[#All],2,FALSE)</f>
        <v>Крупа</v>
      </c>
      <c r="J967" s="19">
        <f>AVERAGEIF(Продажи[Категория товара],Продажи[[#This Row],[Категория товара]],Продажи[цена за шт в рублях])</f>
        <v>255.11627906976744</v>
      </c>
      <c r="K967" s="20">
        <f>Продажи[[#This Row],[цена за шт в рублях]]/Продажи[[#This Row],[Средняя цена в категории за шт]]-1</f>
        <v>-0.1925250683682771</v>
      </c>
      <c r="L967" t="str">
        <f>VLOOKUP(Продажи[[#This Row],[id товара]],Товары[#All],3,FALSE)</f>
        <v>Ярмарка</v>
      </c>
      <c r="M96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252.09090909090909</v>
      </c>
      <c r="N967" s="23">
        <f>VLOOKUP(Продажи[[#This Row],[id клиента]],Таблица4[#All],5,FALSE)</f>
        <v>44860</v>
      </c>
      <c r="O967">
        <f>Продажи[[#This Row],[дата создания чека]]-Продажи[[#This Row],[Дата регистрации клиентов]]</f>
        <v>383</v>
      </c>
      <c r="P967" t="str">
        <f>VLOOKUP(Продажи[[#This Row],[id клиента]],Таблица4[#All],7,FALSE)</f>
        <v>Украина</v>
      </c>
    </row>
    <row r="968" spans="1:16" x14ac:dyDescent="0.25">
      <c r="A968">
        <v>967</v>
      </c>
      <c r="B968">
        <v>435</v>
      </c>
      <c r="C968">
        <v>116</v>
      </c>
      <c r="D968">
        <v>4</v>
      </c>
      <c r="E968">
        <v>464</v>
      </c>
      <c r="F968" s="23">
        <v>45037</v>
      </c>
      <c r="G968" t="s">
        <v>22</v>
      </c>
      <c r="H968">
        <v>20</v>
      </c>
      <c r="I968" t="str">
        <f>VLOOKUP(Продажи[[#This Row],[id товара]],Товары[#All],2,FALSE)</f>
        <v>Мясо</v>
      </c>
      <c r="J968" s="19">
        <f>AVERAGEIF(Продажи[Категория товара],Продажи[[#This Row],[Категория товара]],Продажи[цена за шт в рублях])</f>
        <v>271.74545454545455</v>
      </c>
      <c r="K968" s="20">
        <f>Продажи[[#This Row],[цена за шт в рублях]]/Продажи[[#This Row],[Средняя цена в категории за шт]]-1</f>
        <v>-0.57312993443061688</v>
      </c>
      <c r="L968" t="str">
        <f>VLOOKUP(Продажи[[#This Row],[id товара]],Товары[#All],3,FALSE)</f>
        <v>Снежана</v>
      </c>
      <c r="M96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272.35294117647061</v>
      </c>
      <c r="N968" s="23">
        <f>VLOOKUP(Продажи[[#This Row],[id клиента]],Таблица4[#All],5,FALSE)</f>
        <v>44691</v>
      </c>
      <c r="O968">
        <f>Продажи[[#This Row],[дата создания чека]]-Продажи[[#This Row],[Дата регистрации клиентов]]</f>
        <v>346</v>
      </c>
      <c r="P968" t="str">
        <f>VLOOKUP(Продажи[[#This Row],[id клиента]],Таблица4[#All],7,FALSE)</f>
        <v>Узбекистан</v>
      </c>
    </row>
    <row r="969" spans="1:16" x14ac:dyDescent="0.25">
      <c r="A969">
        <v>968</v>
      </c>
      <c r="B969">
        <v>375</v>
      </c>
      <c r="C969">
        <v>212</v>
      </c>
      <c r="D969">
        <v>3</v>
      </c>
      <c r="E969">
        <v>636</v>
      </c>
      <c r="F969" s="23">
        <v>45009</v>
      </c>
      <c r="G969" t="s">
        <v>27</v>
      </c>
      <c r="H969">
        <v>369</v>
      </c>
      <c r="I969" t="str">
        <f>VLOOKUP(Продажи[[#This Row],[id товара]],Товары[#All],2,FALSE)</f>
        <v>Макароны</v>
      </c>
      <c r="J969" s="19">
        <f>AVERAGEIF(Продажи[Категория товара],Продажи[[#This Row],[Категория товара]],Продажи[цена за шт в рублях])</f>
        <v>265.47674418604652</v>
      </c>
      <c r="K969" s="20">
        <f>Продажи[[#This Row],[цена за шт в рублях]]/Продажи[[#This Row],[Средняя цена в категории за шт]]-1</f>
        <v>-0.20143664316061494</v>
      </c>
      <c r="L969" t="str">
        <f>VLOOKUP(Продажи[[#This Row],[id товара]],Товары[#All],3,FALSE)</f>
        <v>Борилла</v>
      </c>
      <c r="M96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69" s="23">
        <f>VLOOKUP(Продажи[[#This Row],[id клиента]],Таблица4[#All],5,FALSE)</f>
        <v>44678</v>
      </c>
      <c r="O969">
        <f>Продажи[[#This Row],[дата создания чека]]-Продажи[[#This Row],[Дата регистрации клиентов]]</f>
        <v>331</v>
      </c>
      <c r="P969" t="str">
        <f>VLOOKUP(Продажи[[#This Row],[id клиента]],Таблица4[#All],7,FALSE)</f>
        <v>Россия</v>
      </c>
    </row>
    <row r="970" spans="1:16" x14ac:dyDescent="0.25">
      <c r="A970">
        <v>969</v>
      </c>
      <c r="B970">
        <v>416</v>
      </c>
      <c r="C970">
        <v>202</v>
      </c>
      <c r="D970">
        <v>4</v>
      </c>
      <c r="E970">
        <v>808</v>
      </c>
      <c r="F970" s="23">
        <v>45285</v>
      </c>
      <c r="G970" t="s">
        <v>11</v>
      </c>
      <c r="H970">
        <v>499</v>
      </c>
      <c r="I970" t="str">
        <f>VLOOKUP(Продажи[[#This Row],[id товара]],Товары[#All],2,FALSE)</f>
        <v>Рыба</v>
      </c>
      <c r="J970" s="19">
        <f>AVERAGEIF(Продажи[Категория товара],Продажи[[#This Row],[Категория товара]],Продажи[цена за шт в рублях])</f>
        <v>258.5128205128205</v>
      </c>
      <c r="K970" s="20">
        <f>Продажи[[#This Row],[цена за шт в рублях]]/Продажи[[#This Row],[Средняя цена в категории за шт]]-1</f>
        <v>-0.21860741916286441</v>
      </c>
      <c r="L970" t="str">
        <f>VLOOKUP(Продажи[[#This Row],[id товара]],Товары[#All],3,FALSE)</f>
        <v>Меридиан</v>
      </c>
      <c r="M97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970" s="23">
        <f>VLOOKUP(Продажи[[#This Row],[id клиента]],Таблица4[#All],5,FALSE)</f>
        <v>44798</v>
      </c>
      <c r="O970">
        <f>Продажи[[#This Row],[дата создания чека]]-Продажи[[#This Row],[Дата регистрации клиентов]]</f>
        <v>487</v>
      </c>
      <c r="P970" t="str">
        <f>VLOOKUP(Продажи[[#This Row],[id клиента]],Таблица4[#All],7,FALSE)</f>
        <v>Беларусь</v>
      </c>
    </row>
    <row r="971" spans="1:16" x14ac:dyDescent="0.25">
      <c r="A971">
        <v>970</v>
      </c>
      <c r="B971">
        <v>25</v>
      </c>
      <c r="C971">
        <v>332</v>
      </c>
      <c r="D971">
        <v>3</v>
      </c>
      <c r="E971">
        <v>996</v>
      </c>
      <c r="F971" s="23">
        <v>45164</v>
      </c>
      <c r="G971" t="s">
        <v>17</v>
      </c>
      <c r="H971">
        <v>153</v>
      </c>
      <c r="I971" t="str">
        <f>VLOOKUP(Продажи[[#This Row],[id товара]],Товары[#All],2,FALSE)</f>
        <v>Чипсы</v>
      </c>
      <c r="J971" s="19">
        <f>AVERAGEIF(Продажи[Категория товара],Продажи[[#This Row],[Категория товара]],Продажи[цена за шт в рублях])</f>
        <v>273.72549019607845</v>
      </c>
      <c r="K971" s="20">
        <f>Продажи[[#This Row],[цена за шт в рублях]]/Продажи[[#This Row],[Средняя цена в категории за шт]]-1</f>
        <v>0.21289398280802274</v>
      </c>
      <c r="L971" t="str">
        <f>VLOOKUP(Продажи[[#This Row],[id товара]],Товары[#All],3,FALSE)</f>
        <v>Русская картошка</v>
      </c>
      <c r="M97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241.83333333333334</v>
      </c>
      <c r="N971" s="23">
        <f>VLOOKUP(Продажи[[#This Row],[id клиента]],Таблица4[#All],5,FALSE)</f>
        <v>44802</v>
      </c>
      <c r="O971">
        <f>Продажи[[#This Row],[дата создания чека]]-Продажи[[#This Row],[Дата регистрации клиентов]]</f>
        <v>362</v>
      </c>
      <c r="P971" t="str">
        <f>VLOOKUP(Продажи[[#This Row],[id клиента]],Таблица4[#All],7,FALSE)</f>
        <v>Россия</v>
      </c>
    </row>
    <row r="972" spans="1:16" x14ac:dyDescent="0.25">
      <c r="A972">
        <v>971</v>
      </c>
      <c r="B972">
        <v>236</v>
      </c>
      <c r="C972">
        <v>420</v>
      </c>
      <c r="D972">
        <v>5</v>
      </c>
      <c r="E972">
        <v>2100</v>
      </c>
      <c r="F972" s="23">
        <v>45260</v>
      </c>
      <c r="G972" t="s">
        <v>18</v>
      </c>
      <c r="H972">
        <v>34</v>
      </c>
      <c r="I972" t="str">
        <f>VLOOKUP(Продажи[[#This Row],[id товара]],Товары[#All],2,FALSE)</f>
        <v>Печенье</v>
      </c>
      <c r="J972" s="19">
        <f>AVERAGEIF(Продажи[Категория товара],Продажи[[#This Row],[Категория товара]],Продажи[цена за шт в рублях])</f>
        <v>283.468085106383</v>
      </c>
      <c r="K972" s="20">
        <f>Продажи[[#This Row],[цена за шт в рублях]]/Продажи[[#This Row],[Средняя цена в категории за шт]]-1</f>
        <v>0.48164827741499661</v>
      </c>
      <c r="L972" t="str">
        <f>VLOOKUP(Продажи[[#This Row],[id товара]],Товары[#All],3,FALSE)</f>
        <v>Посиделкино</v>
      </c>
      <c r="M97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972" s="23">
        <f>VLOOKUP(Продажи[[#This Row],[id клиента]],Таблица4[#All],5,FALSE)</f>
        <v>44654</v>
      </c>
      <c r="O972">
        <f>Продажи[[#This Row],[дата создания чека]]-Продажи[[#This Row],[Дата регистрации клиентов]]</f>
        <v>606</v>
      </c>
      <c r="P972" t="str">
        <f>VLOOKUP(Продажи[[#This Row],[id клиента]],Таблица4[#All],7,FALSE)</f>
        <v>Таджикистан</v>
      </c>
    </row>
    <row r="973" spans="1:16" x14ac:dyDescent="0.25">
      <c r="A973">
        <v>972</v>
      </c>
      <c r="B973">
        <v>418</v>
      </c>
      <c r="C973">
        <v>139</v>
      </c>
      <c r="D973">
        <v>2</v>
      </c>
      <c r="E973">
        <v>278</v>
      </c>
      <c r="F973" s="23">
        <v>45395</v>
      </c>
      <c r="G973" t="s">
        <v>25</v>
      </c>
      <c r="H973">
        <v>337</v>
      </c>
      <c r="I973" t="str">
        <f>VLOOKUP(Продажи[[#This Row],[id товара]],Товары[#All],2,FALSE)</f>
        <v>Фрукты</v>
      </c>
      <c r="J973" s="19">
        <f>AVERAGEIF(Продажи[Категория товара],Продажи[[#This Row],[Категория товара]],Продажи[цена за шт в рублях])</f>
        <v>274.16279069767444</v>
      </c>
      <c r="K973" s="20">
        <f>Продажи[[#This Row],[цена за шт в рублях]]/Продажи[[#This Row],[Средняя цена в категории за шт]]-1</f>
        <v>-0.49300195097124444</v>
      </c>
      <c r="L973" t="str">
        <f>VLOOKUP(Продажи[[#This Row],[id товара]],Товары[#All],3,FALSE)</f>
        <v>Green Garden</v>
      </c>
      <c r="M97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369.2</v>
      </c>
      <c r="N973" s="23">
        <f>VLOOKUP(Продажи[[#This Row],[id клиента]],Таблица4[#All],5,FALSE)</f>
        <v>44875</v>
      </c>
      <c r="O973">
        <f>Продажи[[#This Row],[дата создания чека]]-Продажи[[#This Row],[Дата регистрации клиентов]]</f>
        <v>520</v>
      </c>
      <c r="P973" t="str">
        <f>VLOOKUP(Продажи[[#This Row],[id клиента]],Таблица4[#All],7,FALSE)</f>
        <v>Россия</v>
      </c>
    </row>
    <row r="974" spans="1:16" x14ac:dyDescent="0.25">
      <c r="A974">
        <v>973</v>
      </c>
      <c r="B974">
        <v>141</v>
      </c>
      <c r="C974">
        <v>112</v>
      </c>
      <c r="D974">
        <v>4</v>
      </c>
      <c r="E974">
        <v>448</v>
      </c>
      <c r="F974" s="23">
        <v>45032</v>
      </c>
      <c r="G974" t="s">
        <v>21</v>
      </c>
      <c r="H974">
        <v>200</v>
      </c>
      <c r="I974" t="str">
        <f>VLOOKUP(Продажи[[#This Row],[id товара]],Товары[#All],2,FALSE)</f>
        <v>Фрукты</v>
      </c>
      <c r="J974" s="19">
        <f>AVERAGEIF(Продажи[Категория товара],Продажи[[#This Row],[Категория товара]],Продажи[цена за шт в рублях])</f>
        <v>274.16279069767444</v>
      </c>
      <c r="K974" s="20">
        <f>Продажи[[#This Row],[цена за шт в рублях]]/Продажи[[#This Row],[Средняя цена в категории за шт]]-1</f>
        <v>-0.59148358639409615</v>
      </c>
      <c r="L974" t="str">
        <f>VLOOKUP(Продажи[[#This Row],[id товара]],Товары[#All],3,FALSE)</f>
        <v>Фруктовый Рай</v>
      </c>
      <c r="M97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258.30769230769232</v>
      </c>
      <c r="N974" s="23">
        <f>VLOOKUP(Продажи[[#This Row],[id клиента]],Таблица4[#All],5,FALSE)</f>
        <v>44783</v>
      </c>
      <c r="O974">
        <f>Продажи[[#This Row],[дата создания чека]]-Продажи[[#This Row],[Дата регистрации клиентов]]</f>
        <v>249</v>
      </c>
      <c r="P974" t="str">
        <f>VLOOKUP(Продажи[[#This Row],[id клиента]],Таблица4[#All],7,FALSE)</f>
        <v>Узбекистан</v>
      </c>
    </row>
    <row r="975" spans="1:16" x14ac:dyDescent="0.25">
      <c r="A975">
        <v>974</v>
      </c>
      <c r="B975">
        <v>294</v>
      </c>
      <c r="C975">
        <v>485</v>
      </c>
      <c r="D975">
        <v>3</v>
      </c>
      <c r="E975">
        <v>1455</v>
      </c>
      <c r="F975" s="23">
        <v>45330</v>
      </c>
      <c r="G975" t="s">
        <v>26</v>
      </c>
      <c r="H975">
        <v>8</v>
      </c>
      <c r="I975" t="str">
        <f>VLOOKUP(Продажи[[#This Row],[id товара]],Товары[#All],2,FALSE)</f>
        <v>Сок</v>
      </c>
      <c r="J975" s="19">
        <f>AVERAGEIF(Продажи[Категория товара],Продажи[[#This Row],[Категория товара]],Продажи[цена за шт в рублях])</f>
        <v>268.60344827586209</v>
      </c>
      <c r="K975" s="20">
        <f>Продажи[[#This Row],[цена за шт в рублях]]/Продажи[[#This Row],[Средняя цена в категории за шт]]-1</f>
        <v>0.80563579177097355</v>
      </c>
      <c r="L975" t="str">
        <f>VLOOKUP(Продажи[[#This Row],[id товара]],Товары[#All],3,FALSE)</f>
        <v>Фруктовый сад</v>
      </c>
      <c r="M97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281.96875</v>
      </c>
      <c r="N975" s="23">
        <f>VLOOKUP(Продажи[[#This Row],[id клиента]],Таблица4[#All],5,FALSE)</f>
        <v>44883</v>
      </c>
      <c r="O975">
        <f>Продажи[[#This Row],[дата создания чека]]-Продажи[[#This Row],[Дата регистрации клиентов]]</f>
        <v>447</v>
      </c>
      <c r="P975" t="str">
        <f>VLOOKUP(Продажи[[#This Row],[id клиента]],Таблица4[#All],7,FALSE)</f>
        <v>Беларусь</v>
      </c>
    </row>
    <row r="976" spans="1:16" x14ac:dyDescent="0.25">
      <c r="A976">
        <v>975</v>
      </c>
      <c r="B976">
        <v>497</v>
      </c>
      <c r="C976">
        <v>120</v>
      </c>
      <c r="D976">
        <v>1</v>
      </c>
      <c r="E976">
        <v>120</v>
      </c>
      <c r="F976" s="23">
        <v>45284</v>
      </c>
      <c r="G976" t="s">
        <v>22</v>
      </c>
      <c r="H976">
        <v>280</v>
      </c>
      <c r="I976" t="str">
        <f>VLOOKUP(Продажи[[#This Row],[id товара]],Товары[#All],2,FALSE)</f>
        <v>Конфеты</v>
      </c>
      <c r="J976" s="19">
        <f>AVERAGEIF(Продажи[Категория товара],Продажи[[#This Row],[Категория товара]],Продажи[цена за шт в рублях])</f>
        <v>267.85483870967744</v>
      </c>
      <c r="K976" s="20">
        <f>Продажи[[#This Row],[цена за шт в рублях]]/Продажи[[#This Row],[Средняя цена в категории за шт]]-1</f>
        <v>-0.5519961462034082</v>
      </c>
      <c r="L976" t="str">
        <f>VLOOKUP(Продажи[[#This Row],[id товара]],Товары[#All],3,FALSE)</f>
        <v>Бабаевский</v>
      </c>
      <c r="M97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976" s="23">
        <f>VLOOKUP(Продажи[[#This Row],[id клиента]],Таблица4[#All],5,FALSE)</f>
        <v>44563</v>
      </c>
      <c r="O976">
        <f>Продажи[[#This Row],[дата создания чека]]-Продажи[[#This Row],[Дата регистрации клиентов]]</f>
        <v>721</v>
      </c>
      <c r="P976" t="str">
        <f>VLOOKUP(Продажи[[#This Row],[id клиента]],Таблица4[#All],7,FALSE)</f>
        <v>Россия</v>
      </c>
    </row>
    <row r="977" spans="1:16" x14ac:dyDescent="0.25">
      <c r="A977">
        <v>976</v>
      </c>
      <c r="B977">
        <v>359</v>
      </c>
      <c r="C977">
        <v>359</v>
      </c>
      <c r="D977">
        <v>4</v>
      </c>
      <c r="E977">
        <v>1436</v>
      </c>
      <c r="F977" s="23">
        <v>45382</v>
      </c>
      <c r="G977" t="s">
        <v>13</v>
      </c>
      <c r="H977">
        <v>94</v>
      </c>
      <c r="I977" t="str">
        <f>VLOOKUP(Продажи[[#This Row],[id товара]],Товары[#All],2,FALSE)</f>
        <v>Мясо</v>
      </c>
      <c r="J977" s="19">
        <f>AVERAGEIF(Продажи[Категория товара],Продажи[[#This Row],[Категория товара]],Продажи[цена за шт в рублях])</f>
        <v>271.74545454545455</v>
      </c>
      <c r="K977" s="20">
        <f>Продажи[[#This Row],[цена за шт в рублях]]/Продажи[[#This Row],[Средняя цена в категории за шт]]-1</f>
        <v>0.32108925465007365</v>
      </c>
      <c r="L977" t="str">
        <f>VLOOKUP(Продажи[[#This Row],[id товара]],Товары[#All],3,FALSE)</f>
        <v>Мираторг</v>
      </c>
      <c r="M97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316.58333333333331</v>
      </c>
      <c r="N977" s="23">
        <f>VLOOKUP(Продажи[[#This Row],[id клиента]],Таблица4[#All],5,FALSE)</f>
        <v>44723</v>
      </c>
      <c r="O977">
        <f>Продажи[[#This Row],[дата создания чека]]-Продажи[[#This Row],[Дата регистрации клиентов]]</f>
        <v>659</v>
      </c>
      <c r="P977" t="str">
        <f>VLOOKUP(Продажи[[#This Row],[id клиента]],Таблица4[#All],7,FALSE)</f>
        <v>Украина</v>
      </c>
    </row>
    <row r="978" spans="1:16" x14ac:dyDescent="0.25">
      <c r="A978">
        <v>977</v>
      </c>
      <c r="B978">
        <v>175</v>
      </c>
      <c r="C978">
        <v>198</v>
      </c>
      <c r="D978">
        <v>3</v>
      </c>
      <c r="E978">
        <v>594</v>
      </c>
      <c r="F978" s="23">
        <v>45145</v>
      </c>
      <c r="G978" t="s">
        <v>11</v>
      </c>
      <c r="H978">
        <v>331</v>
      </c>
      <c r="I978" t="str">
        <f>VLOOKUP(Продажи[[#This Row],[id товара]],Товары[#All],2,FALSE)</f>
        <v>Овощи</v>
      </c>
      <c r="J978" s="19">
        <f>AVERAGEIF(Продажи[Категория товара],Продажи[[#This Row],[Категория товара]],Продажи[цена за шт в рублях])</f>
        <v>250.48780487804879</v>
      </c>
      <c r="K978" s="20">
        <f>Продажи[[#This Row],[цена за шт в рублях]]/Продажи[[#This Row],[Средняя цена в категории за шт]]-1</f>
        <v>-0.2095423563777995</v>
      </c>
      <c r="L978" t="str">
        <f>VLOOKUP(Продажи[[#This Row],[id товара]],Товары[#All],3,FALSE)</f>
        <v>Семко</v>
      </c>
      <c r="M97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208</v>
      </c>
      <c r="N978" s="23">
        <f>VLOOKUP(Продажи[[#This Row],[id клиента]],Таблица4[#All],5,FALSE)</f>
        <v>44813</v>
      </c>
      <c r="O978">
        <f>Продажи[[#This Row],[дата создания чека]]-Продажи[[#This Row],[Дата регистрации клиентов]]</f>
        <v>332</v>
      </c>
      <c r="P978" t="str">
        <f>VLOOKUP(Продажи[[#This Row],[id клиента]],Таблица4[#All],7,FALSE)</f>
        <v>Узбекистан</v>
      </c>
    </row>
    <row r="979" spans="1:16" x14ac:dyDescent="0.25">
      <c r="A979">
        <v>978</v>
      </c>
      <c r="B979">
        <v>236</v>
      </c>
      <c r="C979">
        <v>363</v>
      </c>
      <c r="D979">
        <v>4</v>
      </c>
      <c r="E979">
        <v>1452</v>
      </c>
      <c r="F979" s="23">
        <v>45168</v>
      </c>
      <c r="G979" t="s">
        <v>9</v>
      </c>
      <c r="H979">
        <v>405</v>
      </c>
      <c r="I979" t="str">
        <f>VLOOKUP(Продажи[[#This Row],[id товара]],Товары[#All],2,FALSE)</f>
        <v>Печенье</v>
      </c>
      <c r="J979" s="19">
        <f>AVERAGEIF(Продажи[Категория товара],Продажи[[#This Row],[Категория товара]],Продажи[цена за шт в рублях])</f>
        <v>283.468085106383</v>
      </c>
      <c r="K979" s="20">
        <f>Продажи[[#This Row],[цена за шт в рублях]]/Продажи[[#This Row],[Средняя цена в категории за шт]]-1</f>
        <v>0.28056743976581844</v>
      </c>
      <c r="L979" t="str">
        <f>VLOOKUP(Продажи[[#This Row],[id товара]],Товары[#All],3,FALSE)</f>
        <v>Посиделкино</v>
      </c>
      <c r="M97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321.63636363636363</v>
      </c>
      <c r="N979" s="23">
        <f>VLOOKUP(Продажи[[#This Row],[id клиента]],Таблица4[#All],5,FALSE)</f>
        <v>44798</v>
      </c>
      <c r="O979">
        <f>Продажи[[#This Row],[дата создания чека]]-Продажи[[#This Row],[Дата регистрации клиентов]]</f>
        <v>370</v>
      </c>
      <c r="P979" t="str">
        <f>VLOOKUP(Продажи[[#This Row],[id клиента]],Таблица4[#All],7,FALSE)</f>
        <v>Украина</v>
      </c>
    </row>
    <row r="980" spans="1:16" x14ac:dyDescent="0.25">
      <c r="A980">
        <v>979</v>
      </c>
      <c r="B980">
        <v>195</v>
      </c>
      <c r="C980">
        <v>103</v>
      </c>
      <c r="D980">
        <v>1</v>
      </c>
      <c r="E980">
        <v>103</v>
      </c>
      <c r="F980" s="23">
        <v>44997</v>
      </c>
      <c r="G980" t="s">
        <v>15</v>
      </c>
      <c r="H980">
        <v>42</v>
      </c>
      <c r="I980" t="str">
        <f>VLOOKUP(Продажи[[#This Row],[id товара]],Товары[#All],2,FALSE)</f>
        <v>Хлеб</v>
      </c>
      <c r="J980" s="19">
        <f>AVERAGEIF(Продажи[Категория товара],Продажи[[#This Row],[Категория товара]],Продажи[цена за шт в рублях])</f>
        <v>300.31818181818181</v>
      </c>
      <c r="K980" s="20">
        <f>Продажи[[#This Row],[цена за шт в рублях]]/Продажи[[#This Row],[Средняя цена в категории за шт]]-1</f>
        <v>-0.65703042227940056</v>
      </c>
      <c r="L980" t="str">
        <f>VLOOKUP(Продажи[[#This Row],[id товара]],Товары[#All],3,FALSE)</f>
        <v>Каравай</v>
      </c>
      <c r="M98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331.16666666666669</v>
      </c>
      <c r="N980" s="23">
        <f>VLOOKUP(Продажи[[#This Row],[id клиента]],Таблица4[#All],5,FALSE)</f>
        <v>44783</v>
      </c>
      <c r="O980">
        <f>Продажи[[#This Row],[дата создания чека]]-Продажи[[#This Row],[Дата регистрации клиентов]]</f>
        <v>214</v>
      </c>
      <c r="P980" t="str">
        <f>VLOOKUP(Продажи[[#This Row],[id клиента]],Таблица4[#All],7,FALSE)</f>
        <v>Таджикистан</v>
      </c>
    </row>
    <row r="981" spans="1:16" x14ac:dyDescent="0.25">
      <c r="A981">
        <v>980</v>
      </c>
      <c r="B981">
        <v>364</v>
      </c>
      <c r="C981">
        <v>401</v>
      </c>
      <c r="D981">
        <v>2</v>
      </c>
      <c r="E981">
        <v>802</v>
      </c>
      <c r="F981" s="23">
        <v>45081</v>
      </c>
      <c r="G981" t="s">
        <v>25</v>
      </c>
      <c r="H981">
        <v>271</v>
      </c>
      <c r="I981" t="str">
        <f>VLOOKUP(Продажи[[#This Row],[id товара]],Товары[#All],2,FALSE)</f>
        <v>Сахар</v>
      </c>
      <c r="J981" s="19">
        <f>AVERAGEIF(Продажи[Категория товара],Продажи[[#This Row],[Категория товара]],Продажи[цена за шт в рублях])</f>
        <v>252.76271186440678</v>
      </c>
      <c r="K981" s="20">
        <f>Продажи[[#This Row],[цена за шт в рублях]]/Продажи[[#This Row],[Средняя цена в категории за шт]]-1</f>
        <v>0.58646818212298002</v>
      </c>
      <c r="L981" t="str">
        <f>VLOOKUP(Продажи[[#This Row],[id товара]],Товары[#All],3,FALSE)</f>
        <v>Русский сахар</v>
      </c>
      <c r="M98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293.41176470588238</v>
      </c>
      <c r="N981" s="23">
        <f>VLOOKUP(Продажи[[#This Row],[id клиента]],Таблица4[#All],5,FALSE)</f>
        <v>44892</v>
      </c>
      <c r="O981">
        <f>Продажи[[#This Row],[дата создания чека]]-Продажи[[#This Row],[Дата регистрации клиентов]]</f>
        <v>189</v>
      </c>
      <c r="P981" t="str">
        <f>VLOOKUP(Продажи[[#This Row],[id клиента]],Таблица4[#All],7,FALSE)</f>
        <v>Беларусь</v>
      </c>
    </row>
    <row r="982" spans="1:16" x14ac:dyDescent="0.25">
      <c r="A982">
        <v>981</v>
      </c>
      <c r="B982">
        <v>347</v>
      </c>
      <c r="C982">
        <v>139</v>
      </c>
      <c r="D982">
        <v>1</v>
      </c>
      <c r="E982">
        <v>139</v>
      </c>
      <c r="F982" s="23">
        <v>45318</v>
      </c>
      <c r="G982" t="s">
        <v>21</v>
      </c>
      <c r="H982">
        <v>56</v>
      </c>
      <c r="I982" t="str">
        <f>VLOOKUP(Продажи[[#This Row],[id товара]],Товары[#All],2,FALSE)</f>
        <v>Макароны</v>
      </c>
      <c r="J982" s="19">
        <f>AVERAGEIF(Продажи[Категория товара],Продажи[[#This Row],[Категория товара]],Продажи[цена за шт в рублях])</f>
        <v>265.47674418604652</v>
      </c>
      <c r="K982" s="20">
        <f>Продажи[[#This Row],[цена за шт в рублях]]/Продажи[[#This Row],[Средняя цена в категории за шт]]-1</f>
        <v>-0.47641364811002584</v>
      </c>
      <c r="L982" t="str">
        <f>VLOOKUP(Продажи[[#This Row],[id товара]],Товары[#All],3,FALSE)</f>
        <v>Паста Зара</v>
      </c>
      <c r="M98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982" s="23">
        <f>VLOOKUP(Продажи[[#This Row],[id клиента]],Таблица4[#All],5,FALSE)</f>
        <v>44662</v>
      </c>
      <c r="O982">
        <f>Продажи[[#This Row],[дата создания чека]]-Продажи[[#This Row],[Дата регистрации клиентов]]</f>
        <v>656</v>
      </c>
      <c r="P982" t="str">
        <f>VLOOKUP(Продажи[[#This Row],[id клиента]],Таблица4[#All],7,FALSE)</f>
        <v>Таджикистан</v>
      </c>
    </row>
    <row r="983" spans="1:16" x14ac:dyDescent="0.25">
      <c r="A983">
        <v>982</v>
      </c>
      <c r="B983">
        <v>149</v>
      </c>
      <c r="C983">
        <v>468</v>
      </c>
      <c r="D983">
        <v>1</v>
      </c>
      <c r="E983">
        <v>468</v>
      </c>
      <c r="F983" s="23">
        <v>45377</v>
      </c>
      <c r="G983" t="s">
        <v>10</v>
      </c>
      <c r="H983">
        <v>427</v>
      </c>
      <c r="I983" t="str">
        <f>VLOOKUP(Продажи[[#This Row],[id товара]],Товары[#All],2,FALSE)</f>
        <v>Конфеты</v>
      </c>
      <c r="J983" s="19">
        <f>AVERAGEIF(Продажи[Категория товара],Продажи[[#This Row],[Категория товара]],Продажи[цена за шт в рублях])</f>
        <v>267.85483870967744</v>
      </c>
      <c r="K983" s="20">
        <f>Продажи[[#This Row],[цена за шт в рублях]]/Продажи[[#This Row],[Средняя цена в категории за шт]]-1</f>
        <v>0.74721502980670795</v>
      </c>
      <c r="L983" t="str">
        <f>VLOOKUP(Продажи[[#This Row],[id товара]],Товары[#All],3,FALSE)</f>
        <v>Бабаевский</v>
      </c>
      <c r="M98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983" s="23">
        <f>VLOOKUP(Продажи[[#This Row],[id клиента]],Таблица4[#All],5,FALSE)</f>
        <v>44834</v>
      </c>
      <c r="O983">
        <f>Продажи[[#This Row],[дата создания чека]]-Продажи[[#This Row],[Дата регистрации клиентов]]</f>
        <v>543</v>
      </c>
      <c r="P983" t="str">
        <f>VLOOKUP(Продажи[[#This Row],[id клиента]],Таблица4[#All],7,FALSE)</f>
        <v>Россия</v>
      </c>
    </row>
    <row r="984" spans="1:16" x14ac:dyDescent="0.25">
      <c r="A984">
        <v>983</v>
      </c>
      <c r="B984">
        <v>384</v>
      </c>
      <c r="C984">
        <v>100</v>
      </c>
      <c r="D984">
        <v>4</v>
      </c>
      <c r="E984">
        <v>400</v>
      </c>
      <c r="F984" s="23">
        <v>45318</v>
      </c>
      <c r="G984" t="s">
        <v>11</v>
      </c>
      <c r="H984">
        <v>323</v>
      </c>
      <c r="I984" t="str">
        <f>VLOOKUP(Продажи[[#This Row],[id товара]],Товары[#All],2,FALSE)</f>
        <v>Сахар</v>
      </c>
      <c r="J984" s="19">
        <f>AVERAGEIF(Продажи[Категория товара],Продажи[[#This Row],[Категория товара]],Продажи[цена за шт в рублях])</f>
        <v>252.76271186440678</v>
      </c>
      <c r="K984" s="20">
        <f>Продажи[[#This Row],[цена за шт в рублях]]/Продажи[[#This Row],[Средняя цена в категории за шт]]-1</f>
        <v>-0.60437202440823445</v>
      </c>
      <c r="L984" t="str">
        <f>VLOOKUP(Продажи[[#This Row],[id товара]],Товары[#All],3,FALSE)</f>
        <v>Сладов</v>
      </c>
      <c r="M98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984" s="23">
        <f>VLOOKUP(Продажи[[#This Row],[id клиента]],Таблица4[#All],5,FALSE)</f>
        <v>44821</v>
      </c>
      <c r="O984">
        <f>Продажи[[#This Row],[дата создания чека]]-Продажи[[#This Row],[Дата регистрации клиентов]]</f>
        <v>497</v>
      </c>
      <c r="P984" t="str">
        <f>VLOOKUP(Продажи[[#This Row],[id клиента]],Таблица4[#All],7,FALSE)</f>
        <v>Таджикистан</v>
      </c>
    </row>
    <row r="985" spans="1:16" x14ac:dyDescent="0.25">
      <c r="A985">
        <v>984</v>
      </c>
      <c r="B985">
        <v>404</v>
      </c>
      <c r="C985">
        <v>304</v>
      </c>
      <c r="D985">
        <v>5</v>
      </c>
      <c r="E985">
        <v>1520</v>
      </c>
      <c r="F985" s="23">
        <v>45288</v>
      </c>
      <c r="G985" t="s">
        <v>11</v>
      </c>
      <c r="H985">
        <v>17</v>
      </c>
      <c r="I985" t="str">
        <f>VLOOKUP(Продажи[[#This Row],[id товара]],Товары[#All],2,FALSE)</f>
        <v>Йогурт</v>
      </c>
      <c r="J985" s="19">
        <f>AVERAGEIF(Продажи[Категория товара],Продажи[[#This Row],[Категория товара]],Продажи[цена за шт в рублях])</f>
        <v>263.25423728813558</v>
      </c>
      <c r="K985" s="20">
        <f>Продажи[[#This Row],[цена за шт в рублях]]/Продажи[[#This Row],[Средняя цена в категории за шт]]-1</f>
        <v>0.15477723409734745</v>
      </c>
      <c r="L985" t="str">
        <f>VLOOKUP(Продажи[[#This Row],[id товара]],Товары[#All],3,FALSE)</f>
        <v>Ростагроэкспорт</v>
      </c>
      <c r="M98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257.78260869565219</v>
      </c>
      <c r="N985" s="23">
        <f>VLOOKUP(Продажи[[#This Row],[id клиента]],Таблица4[#All],5,FALSE)</f>
        <v>44877</v>
      </c>
      <c r="O985">
        <f>Продажи[[#This Row],[дата создания чека]]-Продажи[[#This Row],[Дата регистрации клиентов]]</f>
        <v>411</v>
      </c>
      <c r="P985" t="str">
        <f>VLOOKUP(Продажи[[#This Row],[id клиента]],Таблица4[#All],7,FALSE)</f>
        <v>Таджикистан</v>
      </c>
    </row>
    <row r="986" spans="1:16" x14ac:dyDescent="0.25">
      <c r="A986">
        <v>985</v>
      </c>
      <c r="B986">
        <v>469</v>
      </c>
      <c r="C986">
        <v>357</v>
      </c>
      <c r="D986">
        <v>4</v>
      </c>
      <c r="E986">
        <v>1428</v>
      </c>
      <c r="F986" s="23">
        <v>45377</v>
      </c>
      <c r="G986" t="s">
        <v>24</v>
      </c>
      <c r="H986">
        <v>165</v>
      </c>
      <c r="I986" t="str">
        <f>VLOOKUP(Продажи[[#This Row],[id товара]],Товары[#All],2,FALSE)</f>
        <v>Сахар</v>
      </c>
      <c r="J986" s="19">
        <f>AVERAGEIF(Продажи[Категория товара],Продажи[[#This Row],[Категория товара]],Продажи[цена за шт в рублях])</f>
        <v>252.76271186440678</v>
      </c>
      <c r="K986" s="20">
        <f>Продажи[[#This Row],[цена за шт в рублях]]/Продажи[[#This Row],[Средняя цена в категории за шт]]-1</f>
        <v>0.41239187286260304</v>
      </c>
      <c r="L986" t="str">
        <f>VLOOKUP(Продажи[[#This Row],[id товара]],Товары[#All],3,FALSE)</f>
        <v>Сладов</v>
      </c>
      <c r="M98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240.26666666666668</v>
      </c>
      <c r="N986" s="23">
        <f>VLOOKUP(Продажи[[#This Row],[id клиента]],Таблица4[#All],5,FALSE)</f>
        <v>44599</v>
      </c>
      <c r="O986">
        <f>Продажи[[#This Row],[дата создания чека]]-Продажи[[#This Row],[Дата регистрации клиентов]]</f>
        <v>778</v>
      </c>
      <c r="P986" t="str">
        <f>VLOOKUP(Продажи[[#This Row],[id клиента]],Таблица4[#All],7,FALSE)</f>
        <v>Таджикистан</v>
      </c>
    </row>
    <row r="987" spans="1:16" x14ac:dyDescent="0.25">
      <c r="A987">
        <v>986</v>
      </c>
      <c r="B987">
        <v>134</v>
      </c>
      <c r="C987">
        <v>89</v>
      </c>
      <c r="D987">
        <v>5</v>
      </c>
      <c r="E987">
        <v>445</v>
      </c>
      <c r="F987" s="23">
        <v>44983</v>
      </c>
      <c r="G987" t="s">
        <v>27</v>
      </c>
      <c r="H987">
        <v>403</v>
      </c>
      <c r="I987" t="str">
        <f>VLOOKUP(Продажи[[#This Row],[id товара]],Товары[#All],2,FALSE)</f>
        <v>Рыба</v>
      </c>
      <c r="J987" s="19">
        <f>AVERAGEIF(Продажи[Категория товара],Продажи[[#This Row],[Категория товара]],Продажи[цена за шт в рублях])</f>
        <v>258.5128205128205</v>
      </c>
      <c r="K987" s="20">
        <f>Продажи[[#This Row],[цена за шт в рублях]]/Продажи[[#This Row],[Средняя цена в категории за шт]]-1</f>
        <v>-0.65572307081928183</v>
      </c>
      <c r="L987" t="str">
        <f>VLOOKUP(Продажи[[#This Row],[id товара]],Товары[#All],3,FALSE)</f>
        <v>Меридиан</v>
      </c>
      <c r="M98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260.64705882352939</v>
      </c>
      <c r="N987" s="23">
        <f>VLOOKUP(Продажи[[#This Row],[id клиента]],Таблица4[#All],5,FALSE)</f>
        <v>44594</v>
      </c>
      <c r="O987">
        <f>Продажи[[#This Row],[дата создания чека]]-Продажи[[#This Row],[Дата регистрации клиентов]]</f>
        <v>389</v>
      </c>
      <c r="P987" t="str">
        <f>VLOOKUP(Продажи[[#This Row],[id клиента]],Таблица4[#All],7,FALSE)</f>
        <v>Россия</v>
      </c>
    </row>
    <row r="988" spans="1:16" x14ac:dyDescent="0.25">
      <c r="A988">
        <v>987</v>
      </c>
      <c r="B988">
        <v>361</v>
      </c>
      <c r="C988">
        <v>283</v>
      </c>
      <c r="D988">
        <v>5</v>
      </c>
      <c r="E988">
        <v>1415</v>
      </c>
      <c r="F988" s="23">
        <v>45133</v>
      </c>
      <c r="G988" t="s">
        <v>8</v>
      </c>
      <c r="H988">
        <v>274</v>
      </c>
      <c r="I988" t="str">
        <f>VLOOKUP(Продажи[[#This Row],[id товара]],Товары[#All],2,FALSE)</f>
        <v>Мясо</v>
      </c>
      <c r="J988" s="19">
        <f>AVERAGEIF(Продажи[Категория товара],Продажи[[#This Row],[Категория товара]],Продажи[цена за шт в рублях])</f>
        <v>271.74545454545455</v>
      </c>
      <c r="K988" s="20">
        <f>Продажи[[#This Row],[цена за шт в рублях]]/Продажи[[#This Row],[Средняя цена в категории за шт]]-1</f>
        <v>4.141576341496056E-2</v>
      </c>
      <c r="L988" t="str">
        <f>VLOOKUP(Продажи[[#This Row],[id товара]],Товары[#All],3,FALSE)</f>
        <v>Сава</v>
      </c>
      <c r="M98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212.8125</v>
      </c>
      <c r="N988" s="23">
        <f>VLOOKUP(Продажи[[#This Row],[id клиента]],Таблица4[#All],5,FALSE)</f>
        <v>44607</v>
      </c>
      <c r="O988">
        <f>Продажи[[#This Row],[дата создания чека]]-Продажи[[#This Row],[Дата регистрации клиентов]]</f>
        <v>526</v>
      </c>
      <c r="P988" t="str">
        <f>VLOOKUP(Продажи[[#This Row],[id клиента]],Таблица4[#All],7,FALSE)</f>
        <v>Россия</v>
      </c>
    </row>
    <row r="989" spans="1:16" x14ac:dyDescent="0.25">
      <c r="A989">
        <v>988</v>
      </c>
      <c r="B989">
        <v>110</v>
      </c>
      <c r="C989">
        <v>280</v>
      </c>
      <c r="D989">
        <v>3</v>
      </c>
      <c r="E989">
        <v>840</v>
      </c>
      <c r="F989" s="23">
        <v>45121</v>
      </c>
      <c r="G989" t="s">
        <v>17</v>
      </c>
      <c r="H989">
        <v>61</v>
      </c>
      <c r="I989" t="str">
        <f>VLOOKUP(Продажи[[#This Row],[id товара]],Товары[#All],2,FALSE)</f>
        <v>Макароны</v>
      </c>
      <c r="J989" s="19">
        <f>AVERAGEIF(Продажи[Категория товара],Продажи[[#This Row],[Категория товара]],Продажи[цена за шт в рублях])</f>
        <v>265.47674418604652</v>
      </c>
      <c r="K989" s="20">
        <f>Продажи[[#This Row],[цена за шт в рублях]]/Продажи[[#This Row],[Средняя цена в категории за шт]]-1</f>
        <v>5.4706320353904658E-2</v>
      </c>
      <c r="L989" t="str">
        <f>VLOOKUP(Продажи[[#This Row],[id товара]],Товары[#All],3,FALSE)</f>
        <v>Паста Зара</v>
      </c>
      <c r="M98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989" s="23">
        <f>VLOOKUP(Продажи[[#This Row],[id клиента]],Таблица4[#All],5,FALSE)</f>
        <v>44769</v>
      </c>
      <c r="O989">
        <f>Продажи[[#This Row],[дата создания чека]]-Продажи[[#This Row],[Дата регистрации клиентов]]</f>
        <v>352</v>
      </c>
      <c r="P989" t="str">
        <f>VLOOKUP(Продажи[[#This Row],[id клиента]],Таблица4[#All],7,FALSE)</f>
        <v>Таджикистан</v>
      </c>
    </row>
    <row r="990" spans="1:16" x14ac:dyDescent="0.25">
      <c r="A990">
        <v>989</v>
      </c>
      <c r="B990">
        <v>280</v>
      </c>
      <c r="C990">
        <v>459</v>
      </c>
      <c r="D990">
        <v>4</v>
      </c>
      <c r="E990">
        <v>1836</v>
      </c>
      <c r="F990" s="23">
        <v>45273</v>
      </c>
      <c r="G990" t="s">
        <v>19</v>
      </c>
      <c r="H990">
        <v>262</v>
      </c>
      <c r="I990" t="str">
        <f>VLOOKUP(Продажи[[#This Row],[id товара]],Товары[#All],2,FALSE)</f>
        <v>Сыр</v>
      </c>
      <c r="J990" s="19">
        <f>AVERAGEIF(Продажи[Категория товара],Продажи[[#This Row],[Категория товара]],Продажи[цена за шт в рублях])</f>
        <v>262.63492063492066</v>
      </c>
      <c r="K990" s="20">
        <f>Продажи[[#This Row],[цена за шт в рублях]]/Продажи[[#This Row],[Средняя цена в категории за шт]]-1</f>
        <v>0.74767315363229758</v>
      </c>
      <c r="L990" t="str">
        <f>VLOOKUP(Продажи[[#This Row],[id товара]],Товары[#All],3,FALSE)</f>
        <v>President</v>
      </c>
      <c r="M99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238.72222222222223</v>
      </c>
      <c r="N990" s="23">
        <f>VLOOKUP(Продажи[[#This Row],[id клиента]],Таблица4[#All],5,FALSE)</f>
        <v>44778</v>
      </c>
      <c r="O990">
        <f>Продажи[[#This Row],[дата создания чека]]-Продажи[[#This Row],[Дата регистрации клиентов]]</f>
        <v>495</v>
      </c>
      <c r="P990" t="str">
        <f>VLOOKUP(Продажи[[#This Row],[id клиента]],Таблица4[#All],7,FALSE)</f>
        <v>Таджикистан</v>
      </c>
    </row>
    <row r="991" spans="1:16" x14ac:dyDescent="0.25">
      <c r="A991">
        <v>990</v>
      </c>
      <c r="B991">
        <v>43</v>
      </c>
      <c r="C991">
        <v>244</v>
      </c>
      <c r="D991">
        <v>4</v>
      </c>
      <c r="E991">
        <v>976</v>
      </c>
      <c r="F991" s="23">
        <v>45392</v>
      </c>
      <c r="G991" t="s">
        <v>22</v>
      </c>
      <c r="H991">
        <v>323</v>
      </c>
      <c r="I991" t="str">
        <f>VLOOKUP(Продажи[[#This Row],[id товара]],Товары[#All],2,FALSE)</f>
        <v>Печенье</v>
      </c>
      <c r="J991" s="19">
        <f>AVERAGEIF(Продажи[Категория товара],Продажи[[#This Row],[Категория товара]],Продажи[цена за шт в рублях])</f>
        <v>283.468085106383</v>
      </c>
      <c r="K991" s="20">
        <f>Продажи[[#This Row],[цена за шт в рублях]]/Продажи[[#This Row],[Средняя цена в категории за шт]]-1</f>
        <v>-0.13923290550176393</v>
      </c>
      <c r="L991" t="str">
        <f>VLOOKUP(Продажи[[#This Row],[id товара]],Товары[#All],3,FALSE)</f>
        <v>КДВ</v>
      </c>
      <c r="M99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323.07692307692309</v>
      </c>
      <c r="N991" s="23">
        <f>VLOOKUP(Продажи[[#This Row],[id клиента]],Таблица4[#All],5,FALSE)</f>
        <v>44821</v>
      </c>
      <c r="O991">
        <f>Продажи[[#This Row],[дата создания чека]]-Продажи[[#This Row],[Дата регистрации клиентов]]</f>
        <v>571</v>
      </c>
      <c r="P991" t="str">
        <f>VLOOKUP(Продажи[[#This Row],[id клиента]],Таблица4[#All],7,FALSE)</f>
        <v>Таджикистан</v>
      </c>
    </row>
    <row r="992" spans="1:16" x14ac:dyDescent="0.25">
      <c r="A992">
        <v>991</v>
      </c>
      <c r="B992">
        <v>434</v>
      </c>
      <c r="C992">
        <v>299</v>
      </c>
      <c r="D992">
        <v>2</v>
      </c>
      <c r="E992">
        <v>598</v>
      </c>
      <c r="F992" s="23">
        <v>45144</v>
      </c>
      <c r="G992" t="s">
        <v>23</v>
      </c>
      <c r="H992">
        <v>481</v>
      </c>
      <c r="I992" t="str">
        <f>VLOOKUP(Продажи[[#This Row],[id товара]],Товары[#All],2,FALSE)</f>
        <v>Сыр</v>
      </c>
      <c r="J992" s="19">
        <f>AVERAGEIF(Продажи[Категория товара],Продажи[[#This Row],[Категория товара]],Продажи[цена за шт в рублях])</f>
        <v>262.63492063492066</v>
      </c>
      <c r="K992" s="20">
        <f>Продажи[[#This Row],[цена за шт в рублях]]/Продажи[[#This Row],[Средняя цена в категории за шт]]-1</f>
        <v>0.13846246827027664</v>
      </c>
      <c r="L992" t="str">
        <f>VLOOKUP(Продажи[[#This Row],[id товара]],Товары[#All],3,FALSE)</f>
        <v>Сырная долина</v>
      </c>
      <c r="M992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271</v>
      </c>
      <c r="N992" s="23">
        <f>VLOOKUP(Продажи[[#This Row],[id клиента]],Таблица4[#All],5,FALSE)</f>
        <v>44756</v>
      </c>
      <c r="O992">
        <f>Продажи[[#This Row],[дата создания чека]]-Продажи[[#This Row],[Дата регистрации клиентов]]</f>
        <v>388</v>
      </c>
      <c r="P992" t="str">
        <f>VLOOKUP(Продажи[[#This Row],[id клиента]],Таблица4[#All],7,FALSE)</f>
        <v>Беларусь</v>
      </c>
    </row>
    <row r="993" spans="1:16" x14ac:dyDescent="0.25">
      <c r="A993">
        <v>992</v>
      </c>
      <c r="B993">
        <v>183</v>
      </c>
      <c r="C993">
        <v>73</v>
      </c>
      <c r="D993">
        <v>5</v>
      </c>
      <c r="E993">
        <v>365</v>
      </c>
      <c r="F993" s="23">
        <v>45317</v>
      </c>
      <c r="G993" t="s">
        <v>21</v>
      </c>
      <c r="H993">
        <v>478</v>
      </c>
      <c r="I993" t="str">
        <f>VLOOKUP(Продажи[[#This Row],[id товара]],Товары[#All],2,FALSE)</f>
        <v>Конфеты</v>
      </c>
      <c r="J993" s="19">
        <f>AVERAGEIF(Продажи[Категория товара],Продажи[[#This Row],[Категория товара]],Продажи[цена за шт в рублях])</f>
        <v>267.85483870967744</v>
      </c>
      <c r="K993" s="20">
        <f>Продажи[[#This Row],[цена за шт в рублях]]/Продажи[[#This Row],[Средняя цена в категории за шт]]-1</f>
        <v>-0.72746432227374003</v>
      </c>
      <c r="L993" t="str">
        <f>VLOOKUP(Продажи[[#This Row],[id товара]],Товары[#All],3,FALSE)</f>
        <v>Бабаевский</v>
      </c>
      <c r="M993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250.25925925925927</v>
      </c>
      <c r="N993" s="23">
        <f>VLOOKUP(Продажи[[#This Row],[id клиента]],Таблица4[#All],5,FALSE)</f>
        <v>44726</v>
      </c>
      <c r="O993">
        <f>Продажи[[#This Row],[дата создания чека]]-Продажи[[#This Row],[Дата регистрации клиентов]]</f>
        <v>591</v>
      </c>
      <c r="P993" t="str">
        <f>VLOOKUP(Продажи[[#This Row],[id клиента]],Таблица4[#All],7,FALSE)</f>
        <v>Украина</v>
      </c>
    </row>
    <row r="994" spans="1:16" x14ac:dyDescent="0.25">
      <c r="A994">
        <v>993</v>
      </c>
      <c r="B994">
        <v>224</v>
      </c>
      <c r="C994">
        <v>421</v>
      </c>
      <c r="D994">
        <v>3</v>
      </c>
      <c r="E994">
        <v>1263</v>
      </c>
      <c r="F994" s="23">
        <v>45093</v>
      </c>
      <c r="G994" t="s">
        <v>19</v>
      </c>
      <c r="H994">
        <v>497</v>
      </c>
      <c r="I994" t="str">
        <f>VLOOKUP(Продажи[[#This Row],[id товара]],Товары[#All],2,FALSE)</f>
        <v>Чипсы</v>
      </c>
      <c r="J994" s="19">
        <f>AVERAGEIF(Продажи[Категория товара],Продажи[[#This Row],[Категория товара]],Продажи[цена за шт в рублях])</f>
        <v>273.72549019607845</v>
      </c>
      <c r="K994" s="20">
        <f>Продажи[[#This Row],[цена за шт в рублях]]/Продажи[[#This Row],[Средняя цена в категории за шт]]-1</f>
        <v>0.53803724928366758</v>
      </c>
      <c r="L994" t="str">
        <f>VLOOKUP(Продажи[[#This Row],[id товара]],Товары[#All],3,FALSE)</f>
        <v>Pringles</v>
      </c>
      <c r="M994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994" s="23">
        <f>VLOOKUP(Продажи[[#This Row],[id клиента]],Таблица4[#All],5,FALSE)</f>
        <v>44826</v>
      </c>
      <c r="O994">
        <f>Продажи[[#This Row],[дата создания чека]]-Продажи[[#This Row],[Дата регистрации клиентов]]</f>
        <v>267</v>
      </c>
      <c r="P994" t="str">
        <f>VLOOKUP(Продажи[[#This Row],[id клиента]],Таблица4[#All],7,FALSE)</f>
        <v>Узбекистан</v>
      </c>
    </row>
    <row r="995" spans="1:16" x14ac:dyDescent="0.25">
      <c r="A995">
        <v>994</v>
      </c>
      <c r="B995">
        <v>235</v>
      </c>
      <c r="C995">
        <v>345</v>
      </c>
      <c r="D995">
        <v>3</v>
      </c>
      <c r="E995">
        <v>1035</v>
      </c>
      <c r="F995" s="23">
        <v>45301</v>
      </c>
      <c r="G995" t="s">
        <v>8</v>
      </c>
      <c r="H995">
        <v>406</v>
      </c>
      <c r="I995" t="str">
        <f>VLOOKUP(Продажи[[#This Row],[id товара]],Товары[#All],2,FALSE)</f>
        <v>Хлеб</v>
      </c>
      <c r="J995" s="19">
        <f>AVERAGEIF(Продажи[Категория товара],Продажи[[#This Row],[Категория товара]],Продажи[цена за шт в рублях])</f>
        <v>300.31818181818181</v>
      </c>
      <c r="K995" s="20">
        <f>Продажи[[#This Row],[цена за шт в рублях]]/Продажи[[#This Row],[Средняя цена в категории за шт]]-1</f>
        <v>0.14878159527773582</v>
      </c>
      <c r="L995" t="str">
        <f>VLOOKUP(Продажи[[#This Row],[id товара]],Товары[#All],3,FALSE)</f>
        <v>Русский Хлеб</v>
      </c>
      <c r="M995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316.60000000000002</v>
      </c>
      <c r="N995" s="23">
        <f>VLOOKUP(Продажи[[#This Row],[id клиента]],Таблица4[#All],5,FALSE)</f>
        <v>44895</v>
      </c>
      <c r="O995">
        <f>Продажи[[#This Row],[дата создания чека]]-Продажи[[#This Row],[Дата регистрации клиентов]]</f>
        <v>406</v>
      </c>
      <c r="P995" t="str">
        <f>VLOOKUP(Продажи[[#This Row],[id клиента]],Таблица4[#All],7,FALSE)</f>
        <v>Украина</v>
      </c>
    </row>
    <row r="996" spans="1:16" x14ac:dyDescent="0.25">
      <c r="A996">
        <v>995</v>
      </c>
      <c r="B996">
        <v>477</v>
      </c>
      <c r="C996">
        <v>50</v>
      </c>
      <c r="D996">
        <v>1</v>
      </c>
      <c r="E996">
        <v>50</v>
      </c>
      <c r="F996" s="23">
        <v>45145</v>
      </c>
      <c r="G996" t="s">
        <v>15</v>
      </c>
      <c r="H996">
        <v>58</v>
      </c>
      <c r="I996" t="str">
        <f>VLOOKUP(Продажи[[#This Row],[id товара]],Товары[#All],2,FALSE)</f>
        <v>Макароны</v>
      </c>
      <c r="J996" s="19">
        <f>AVERAGEIF(Продажи[Категория товара],Продажи[[#This Row],[Категория товара]],Продажи[цена за шт в рублях])</f>
        <v>265.47674418604652</v>
      </c>
      <c r="K996" s="20">
        <f>Продажи[[#This Row],[цена за шт в рублях]]/Продажи[[#This Row],[Средняя цена в категории за шт]]-1</f>
        <v>-0.81165958565108842</v>
      </c>
      <c r="L996" t="str">
        <f>VLOOKUP(Продажи[[#This Row],[id товара]],Товары[#All],3,FALSE)</f>
        <v>Борилла</v>
      </c>
      <c r="M996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236.27586206896552</v>
      </c>
      <c r="N996" s="23">
        <f>VLOOKUP(Продажи[[#This Row],[id клиента]],Таблица4[#All],5,FALSE)</f>
        <v>44628</v>
      </c>
      <c r="O996">
        <f>Продажи[[#This Row],[дата создания чека]]-Продажи[[#This Row],[Дата регистрации клиентов]]</f>
        <v>517</v>
      </c>
      <c r="P996" t="str">
        <f>VLOOKUP(Продажи[[#This Row],[id клиента]],Таблица4[#All],7,FALSE)</f>
        <v>Беларусь</v>
      </c>
    </row>
    <row r="997" spans="1:16" x14ac:dyDescent="0.25">
      <c r="A997">
        <v>996</v>
      </c>
      <c r="B997">
        <v>242</v>
      </c>
      <c r="C997">
        <v>441</v>
      </c>
      <c r="D997">
        <v>1</v>
      </c>
      <c r="E997">
        <v>441</v>
      </c>
      <c r="F997" s="23">
        <v>44934</v>
      </c>
      <c r="G997" t="s">
        <v>25</v>
      </c>
      <c r="H997">
        <v>312</v>
      </c>
      <c r="I997" t="str">
        <f>VLOOKUP(Продажи[[#This Row],[id товара]],Товары[#All],2,FALSE)</f>
        <v>Овощи</v>
      </c>
      <c r="J997" s="19">
        <f>AVERAGEIF(Продажи[Категория товара],Продажи[[#This Row],[Категория товара]],Продажи[цена за шт в рублях])</f>
        <v>250.48780487804879</v>
      </c>
      <c r="K997" s="20">
        <f>Продажи[[#This Row],[цена за шт в рублях]]/Продажи[[#This Row],[Средняя цена в категории за шт]]-1</f>
        <v>0.76056475170399218</v>
      </c>
      <c r="L997" t="str">
        <f>VLOOKUP(Продажи[[#This Row],[id товара]],Товары[#All],3,FALSE)</f>
        <v>Овощной ряд</v>
      </c>
      <c r="M997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303.8235294117647</v>
      </c>
      <c r="N997" s="23">
        <f>VLOOKUP(Продажи[[#This Row],[id клиента]],Таблица4[#All],5,FALSE)</f>
        <v>44886</v>
      </c>
      <c r="O997">
        <f>Продажи[[#This Row],[дата создания чека]]-Продажи[[#This Row],[Дата регистрации клиентов]]</f>
        <v>48</v>
      </c>
      <c r="P997" t="str">
        <f>VLOOKUP(Продажи[[#This Row],[id клиента]],Таблица4[#All],7,FALSE)</f>
        <v>Россия</v>
      </c>
    </row>
    <row r="998" spans="1:16" x14ac:dyDescent="0.25">
      <c r="A998">
        <v>997</v>
      </c>
      <c r="B998">
        <v>423</v>
      </c>
      <c r="C998">
        <v>187</v>
      </c>
      <c r="D998">
        <v>5</v>
      </c>
      <c r="E998">
        <v>935</v>
      </c>
      <c r="F998" s="23">
        <v>45247</v>
      </c>
      <c r="G998" t="s">
        <v>8</v>
      </c>
      <c r="H998">
        <v>136</v>
      </c>
      <c r="I998" t="str">
        <f>VLOOKUP(Продажи[[#This Row],[id товара]],Товары[#All],2,FALSE)</f>
        <v>Чипсы</v>
      </c>
      <c r="J998" s="19">
        <f>AVERAGEIF(Продажи[Категория товара],Продажи[[#This Row],[Категория товара]],Продажи[цена за шт в рублях])</f>
        <v>273.72549019607845</v>
      </c>
      <c r="K998" s="20">
        <f>Продажи[[#This Row],[цена за шт в рублях]]/Продажи[[#This Row],[Средняя цена в категории за шт]]-1</f>
        <v>-0.31683381088825224</v>
      </c>
      <c r="L998" t="str">
        <f>VLOOKUP(Продажи[[#This Row],[id товара]],Товары[#All],3,FALSE)</f>
        <v>Pringles</v>
      </c>
      <c r="M998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280.23809523809524</v>
      </c>
      <c r="N998" s="23">
        <f>VLOOKUP(Продажи[[#This Row],[id клиента]],Таблица4[#All],5,FALSE)</f>
        <v>44860</v>
      </c>
      <c r="O998">
        <f>Продажи[[#This Row],[дата создания чека]]-Продажи[[#This Row],[Дата регистрации клиентов]]</f>
        <v>387</v>
      </c>
      <c r="P998" t="str">
        <f>VLOOKUP(Продажи[[#This Row],[id клиента]],Таблица4[#All],7,FALSE)</f>
        <v>Украина</v>
      </c>
    </row>
    <row r="999" spans="1:16" x14ac:dyDescent="0.25">
      <c r="A999">
        <v>998</v>
      </c>
      <c r="B999">
        <v>414</v>
      </c>
      <c r="C999">
        <v>170</v>
      </c>
      <c r="D999">
        <v>1</v>
      </c>
      <c r="E999">
        <v>170</v>
      </c>
      <c r="F999" s="23">
        <v>45248</v>
      </c>
      <c r="G999" t="s">
        <v>12</v>
      </c>
      <c r="H999">
        <v>328</v>
      </c>
      <c r="I999" t="str">
        <f>VLOOKUP(Продажи[[#This Row],[id товара]],Товары[#All],2,FALSE)</f>
        <v>Фрукты</v>
      </c>
      <c r="J999" s="19">
        <f>AVERAGEIF(Продажи[Категория товара],Продажи[[#This Row],[Категория товара]],Продажи[цена за шт в рублях])</f>
        <v>274.16279069767444</v>
      </c>
      <c r="K999" s="20">
        <f>Продажи[[#This Row],[цена за шт в рублях]]/Продажи[[#This Row],[Средняя цена в категории за шт]]-1</f>
        <v>-0.37993044363389605</v>
      </c>
      <c r="L999" t="str">
        <f>VLOOKUP(Продажи[[#This Row],[id товара]],Товары[#All],3,FALSE)</f>
        <v>Экзотик</v>
      </c>
      <c r="M999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253.6875</v>
      </c>
      <c r="N999" s="23">
        <f>VLOOKUP(Продажи[[#This Row],[id клиента]],Таблица4[#All],5,FALSE)</f>
        <v>44568</v>
      </c>
      <c r="O999">
        <f>Продажи[[#This Row],[дата создания чека]]-Продажи[[#This Row],[Дата регистрации клиентов]]</f>
        <v>680</v>
      </c>
      <c r="P999" t="str">
        <f>VLOOKUP(Продажи[[#This Row],[id клиента]],Таблица4[#All],7,FALSE)</f>
        <v>Россия</v>
      </c>
    </row>
    <row r="1000" spans="1:16" x14ac:dyDescent="0.25">
      <c r="A1000">
        <v>999</v>
      </c>
      <c r="B1000">
        <v>110</v>
      </c>
      <c r="C1000">
        <v>114</v>
      </c>
      <c r="D1000">
        <v>3</v>
      </c>
      <c r="E1000">
        <v>342</v>
      </c>
      <c r="F1000" s="23">
        <v>44990</v>
      </c>
      <c r="G1000" t="s">
        <v>22</v>
      </c>
      <c r="H1000">
        <v>172</v>
      </c>
      <c r="I1000" t="str">
        <f>VLOOKUP(Продажи[[#This Row],[id товара]],Товары[#All],2,FALSE)</f>
        <v>Макароны</v>
      </c>
      <c r="J1000" s="19">
        <f>AVERAGEIF(Продажи[Категория товара],Продажи[[#This Row],[Категория товара]],Продажи[цена за шт в рублях])</f>
        <v>265.47674418604652</v>
      </c>
      <c r="K1000" s="20">
        <f>Продажи[[#This Row],[цена за шт в рублях]]/Продажи[[#This Row],[Средняя цена в категории за шт]]-1</f>
        <v>-0.57058385528448163</v>
      </c>
      <c r="L1000" t="str">
        <f>VLOOKUP(Продажи[[#This Row],[id товара]],Товары[#All],3,FALSE)</f>
        <v>Паста Зара</v>
      </c>
      <c r="M1000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276.67567567567568</v>
      </c>
      <c r="N1000" s="23">
        <f>VLOOKUP(Продажи[[#This Row],[id клиента]],Таблица4[#All],5,FALSE)</f>
        <v>44737</v>
      </c>
      <c r="O1000">
        <f>Продажи[[#This Row],[дата создания чека]]-Продажи[[#This Row],[Дата регистрации клиентов]]</f>
        <v>253</v>
      </c>
      <c r="P1000" t="str">
        <f>VLOOKUP(Продажи[[#This Row],[id клиента]],Таблица4[#All],7,FALSE)</f>
        <v>Россия</v>
      </c>
    </row>
    <row r="1001" spans="1:16" x14ac:dyDescent="0.25">
      <c r="A1001">
        <v>1000</v>
      </c>
      <c r="B1001">
        <v>296</v>
      </c>
      <c r="C1001">
        <v>453</v>
      </c>
      <c r="D1001">
        <v>1</v>
      </c>
      <c r="E1001">
        <v>453</v>
      </c>
      <c r="F1001" s="23">
        <v>45265</v>
      </c>
      <c r="G1001" t="s">
        <v>15</v>
      </c>
      <c r="H1001">
        <v>167</v>
      </c>
      <c r="I1001" t="str">
        <f>VLOOKUP(Продажи[[#This Row],[id товара]],Товары[#All],2,FALSE)</f>
        <v>Крупа</v>
      </c>
      <c r="J1001" s="19">
        <f>AVERAGEIF(Продажи[Категория товара],Продажи[[#This Row],[Категория товара]],Продажи[цена за шт в рублях])</f>
        <v>255.11627906976744</v>
      </c>
      <c r="K1001" s="20">
        <f>Продажи[[#This Row],[цена за шт в рублях]]/Продажи[[#This Row],[Средняя цена в категории за шт]]-1</f>
        <v>0.7756608933454876</v>
      </c>
      <c r="L1001" t="str">
        <f>VLOOKUP(Продажи[[#This Row],[id товара]],Товары[#All],3,FALSE)</f>
        <v>Мистраль</v>
      </c>
      <c r="M1001" s="19">
        <f>AVERAGEIFS(Продажи[цена за шт в рублях],Продажи[Категория товара],Продажи[[#This Row],[Категория товара]],Продажи[Поставщик товара],Продажи[[#This Row],[Поставщик товара]])</f>
        <v>250.30769230769232</v>
      </c>
      <c r="N1001" s="23">
        <f>VLOOKUP(Продажи[[#This Row],[id клиента]],Таблица4[#All],5,FALSE)</f>
        <v>44563</v>
      </c>
      <c r="O1001">
        <f>Продажи[[#This Row],[дата создания чека]]-Продажи[[#This Row],[Дата регистрации клиентов]]</f>
        <v>702</v>
      </c>
      <c r="P1001" t="str">
        <f>VLOOKUP(Продажи[[#This Row],[id клиента]],Таблица4[#All],7,FALSE)</f>
        <v>Узбекистан</v>
      </c>
    </row>
  </sheetData>
  <conditionalFormatting sqref="K1:K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14FD-FA1F-4BEE-90C1-FA84E016D955}">
  <dimension ref="A3:B9"/>
  <sheetViews>
    <sheetView workbookViewId="0">
      <selection activeCell="E29" sqref="E29"/>
    </sheetView>
  </sheetViews>
  <sheetFormatPr defaultRowHeight="15" x14ac:dyDescent="0.25"/>
  <cols>
    <col min="1" max="1" width="17.28515625" bestFit="1" customWidth="1"/>
    <col min="2" max="2" width="27" bestFit="1" customWidth="1"/>
    <col min="3" max="3" width="7.140625" bestFit="1" customWidth="1"/>
    <col min="4" max="4" width="13.140625" bestFit="1" customWidth="1"/>
    <col min="5" max="5" width="11.28515625" bestFit="1" customWidth="1"/>
    <col min="6" max="6" width="8.5703125" bestFit="1" customWidth="1"/>
    <col min="7" max="7" width="11.85546875" bestFit="1" customWidth="1"/>
  </cols>
  <sheetData>
    <row r="3" spans="1:2" x14ac:dyDescent="0.25">
      <c r="A3" s="14" t="s">
        <v>813</v>
      </c>
      <c r="B3" t="s">
        <v>828</v>
      </c>
    </row>
    <row r="4" spans="1:2" x14ac:dyDescent="0.25">
      <c r="A4" s="15" t="s">
        <v>137</v>
      </c>
      <c r="B4" s="37">
        <v>251330</v>
      </c>
    </row>
    <row r="5" spans="1:2" x14ac:dyDescent="0.25">
      <c r="A5" s="15" t="s">
        <v>132</v>
      </c>
      <c r="B5" s="37">
        <v>163294</v>
      </c>
    </row>
    <row r="6" spans="1:2" x14ac:dyDescent="0.25">
      <c r="A6" s="15" t="s">
        <v>128</v>
      </c>
      <c r="B6" s="37">
        <v>147543</v>
      </c>
    </row>
    <row r="7" spans="1:2" x14ac:dyDescent="0.25">
      <c r="A7" s="15" t="s">
        <v>130</v>
      </c>
      <c r="B7" s="37">
        <v>139473</v>
      </c>
    </row>
    <row r="8" spans="1:2" x14ac:dyDescent="0.25">
      <c r="A8" s="15" t="s">
        <v>134</v>
      </c>
      <c r="B8" s="37">
        <v>98793</v>
      </c>
    </row>
    <row r="9" spans="1:2" x14ac:dyDescent="0.25">
      <c r="A9" s="15" t="s">
        <v>814</v>
      </c>
      <c r="B9" s="37">
        <v>800433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CAE5-6F90-4115-A368-0D4A6FF6C997}">
  <dimension ref="A1:B21"/>
  <sheetViews>
    <sheetView workbookViewId="0">
      <selection activeCell="B7" sqref="B7"/>
    </sheetView>
  </sheetViews>
  <sheetFormatPr defaultRowHeight="15" x14ac:dyDescent="0.25"/>
  <cols>
    <col min="1" max="1" width="17.28515625" bestFit="1" customWidth="1"/>
    <col min="2" max="2" width="27" bestFit="1" customWidth="1"/>
    <col min="3" max="3" width="16.5703125" bestFit="1" customWidth="1"/>
    <col min="4" max="4" width="6" bestFit="1" customWidth="1"/>
    <col min="5" max="5" width="6.5703125" bestFit="1" customWidth="1"/>
    <col min="6" max="6" width="9.42578125" bestFit="1" customWidth="1"/>
    <col min="7" max="7" width="8.28515625" bestFit="1" customWidth="1"/>
    <col min="8" max="8" width="12.42578125" bestFit="1" customWidth="1"/>
    <col min="9" max="9" width="23.85546875" bestFit="1" customWidth="1"/>
    <col min="10" max="10" width="6.5703125" bestFit="1" customWidth="1"/>
    <col min="11" max="11" width="9.42578125" bestFit="1" customWidth="1"/>
    <col min="12" max="12" width="6.42578125" bestFit="1" customWidth="1"/>
    <col min="13" max="13" width="7.7109375" bestFit="1" customWidth="1"/>
    <col min="14" max="14" width="7.140625" bestFit="1" customWidth="1"/>
    <col min="15" max="15" width="10" bestFit="1" customWidth="1"/>
    <col min="16" max="16" width="9.42578125" bestFit="1" customWidth="1"/>
    <col min="17" max="17" width="6.28515625" bestFit="1" customWidth="1"/>
    <col min="18" max="18" width="12.85546875" bestFit="1" customWidth="1"/>
    <col min="19" max="19" width="10.5703125" bestFit="1" customWidth="1"/>
    <col min="20" max="20" width="19.85546875" bestFit="1" customWidth="1"/>
    <col min="21" max="21" width="6" bestFit="1" customWidth="1"/>
    <col min="22" max="22" width="11.85546875" bestFit="1" customWidth="1"/>
  </cols>
  <sheetData>
    <row r="1" spans="1:2" x14ac:dyDescent="0.25">
      <c r="A1" s="14" t="s">
        <v>6</v>
      </c>
      <c r="B1" t="s">
        <v>25</v>
      </c>
    </row>
    <row r="3" spans="1:2" x14ac:dyDescent="0.25">
      <c r="A3" s="14" t="s">
        <v>813</v>
      </c>
      <c r="B3" t="s">
        <v>828</v>
      </c>
    </row>
    <row r="4" spans="1:2" x14ac:dyDescent="0.25">
      <c r="A4" s="15" t="s">
        <v>815</v>
      </c>
      <c r="B4" s="22">
        <v>29977</v>
      </c>
    </row>
    <row r="5" spans="1:2" x14ac:dyDescent="0.25">
      <c r="A5" s="17" t="s">
        <v>816</v>
      </c>
      <c r="B5" s="22">
        <v>1858</v>
      </c>
    </row>
    <row r="6" spans="1:2" x14ac:dyDescent="0.25">
      <c r="A6" s="17" t="s">
        <v>817</v>
      </c>
      <c r="B6" s="22">
        <v>980</v>
      </c>
    </row>
    <row r="7" spans="1:2" x14ac:dyDescent="0.25">
      <c r="A7" s="17" t="s">
        <v>818</v>
      </c>
      <c r="B7" s="22">
        <v>2778</v>
      </c>
    </row>
    <row r="8" spans="1:2" x14ac:dyDescent="0.25">
      <c r="A8" s="17" t="s">
        <v>819</v>
      </c>
      <c r="B8" s="22">
        <v>4705</v>
      </c>
    </row>
    <row r="9" spans="1:2" x14ac:dyDescent="0.25">
      <c r="A9" s="17" t="s">
        <v>820</v>
      </c>
      <c r="B9" s="22">
        <v>4758</v>
      </c>
    </row>
    <row r="10" spans="1:2" x14ac:dyDescent="0.25">
      <c r="A10" s="17" t="s">
        <v>821</v>
      </c>
      <c r="B10" s="22">
        <v>676</v>
      </c>
    </row>
    <row r="11" spans="1:2" x14ac:dyDescent="0.25">
      <c r="A11" s="17" t="s">
        <v>822</v>
      </c>
      <c r="B11" s="22">
        <v>1342</v>
      </c>
    </row>
    <row r="12" spans="1:2" x14ac:dyDescent="0.25">
      <c r="A12" s="17" t="s">
        <v>823</v>
      </c>
      <c r="B12" s="22">
        <v>3907</v>
      </c>
    </row>
    <row r="13" spans="1:2" x14ac:dyDescent="0.25">
      <c r="A13" s="17" t="s">
        <v>824</v>
      </c>
      <c r="B13" s="22">
        <v>4337</v>
      </c>
    </row>
    <row r="14" spans="1:2" x14ac:dyDescent="0.25">
      <c r="A14" s="17" t="s">
        <v>825</v>
      </c>
      <c r="B14" s="22">
        <v>2464</v>
      </c>
    </row>
    <row r="15" spans="1:2" x14ac:dyDescent="0.25">
      <c r="A15" s="17" t="s">
        <v>826</v>
      </c>
      <c r="B15" s="22">
        <v>2172</v>
      </c>
    </row>
    <row r="16" spans="1:2" x14ac:dyDescent="0.25">
      <c r="A16" s="15" t="s">
        <v>827</v>
      </c>
      <c r="B16" s="22">
        <v>11129</v>
      </c>
    </row>
    <row r="17" spans="1:2" x14ac:dyDescent="0.25">
      <c r="A17" s="17" t="s">
        <v>816</v>
      </c>
      <c r="B17" s="22">
        <v>4076</v>
      </c>
    </row>
    <row r="18" spans="1:2" x14ac:dyDescent="0.25">
      <c r="A18" s="17" t="s">
        <v>817</v>
      </c>
      <c r="B18" s="22">
        <v>2115</v>
      </c>
    </row>
    <row r="19" spans="1:2" x14ac:dyDescent="0.25">
      <c r="A19" s="17" t="s">
        <v>818</v>
      </c>
      <c r="B19" s="22">
        <v>3786</v>
      </c>
    </row>
    <row r="20" spans="1:2" x14ac:dyDescent="0.25">
      <c r="A20" s="17" t="s">
        <v>819</v>
      </c>
      <c r="B20" s="22">
        <v>1152</v>
      </c>
    </row>
    <row r="21" spans="1:2" x14ac:dyDescent="0.25">
      <c r="A21" s="15" t="s">
        <v>814</v>
      </c>
      <c r="B21" s="22">
        <v>41106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3026-9604-4AB4-9EE4-7AEBFB3A5A39}">
  <dimension ref="A3:B23"/>
  <sheetViews>
    <sheetView workbookViewId="0">
      <selection activeCell="B4" sqref="B4:B23"/>
    </sheetView>
  </sheetViews>
  <sheetFormatPr defaultRowHeight="15" x14ac:dyDescent="0.25"/>
  <cols>
    <col min="1" max="1" width="23.5703125" bestFit="1" customWidth="1"/>
    <col min="2" max="2" width="38.42578125" bestFit="1" customWidth="1"/>
  </cols>
  <sheetData>
    <row r="3" spans="1:2" x14ac:dyDescent="0.25">
      <c r="A3" s="14" t="s">
        <v>813</v>
      </c>
      <c r="B3" t="s">
        <v>833</v>
      </c>
    </row>
    <row r="4" spans="1:2" x14ac:dyDescent="0.25">
      <c r="A4" s="15" t="s">
        <v>18</v>
      </c>
      <c r="B4" s="21">
        <v>0.10062698971238108</v>
      </c>
    </row>
    <row r="5" spans="1:2" x14ac:dyDescent="0.25">
      <c r="A5" s="15" t="s">
        <v>25</v>
      </c>
      <c r="B5" s="21">
        <v>8.1840255375316515E-2</v>
      </c>
    </row>
    <row r="6" spans="1:2" x14ac:dyDescent="0.25">
      <c r="A6" s="15" t="s">
        <v>10</v>
      </c>
      <c r="B6" s="21">
        <v>5.8968409942088303E-2</v>
      </c>
    </row>
    <row r="7" spans="1:2" x14ac:dyDescent="0.25">
      <c r="A7" s="15" t="s">
        <v>20</v>
      </c>
      <c r="B7" s="21">
        <v>5.6287665956558271E-2</v>
      </c>
    </row>
    <row r="8" spans="1:2" x14ac:dyDescent="0.25">
      <c r="A8" s="15" t="s">
        <v>19</v>
      </c>
      <c r="B8" s="21">
        <v>4.7135772995875888E-2</v>
      </c>
    </row>
    <row r="9" spans="1:2" x14ac:dyDescent="0.25">
      <c r="A9" s="15" t="s">
        <v>27</v>
      </c>
      <c r="B9" s="21">
        <v>3.613108366981542E-2</v>
      </c>
    </row>
    <row r="10" spans="1:2" x14ac:dyDescent="0.25">
      <c r="A10" s="15" t="s">
        <v>15</v>
      </c>
      <c r="B10" s="21">
        <v>2.3330793858908173E-2</v>
      </c>
    </row>
    <row r="11" spans="1:2" x14ac:dyDescent="0.25">
      <c r="A11" s="15" t="s">
        <v>14</v>
      </c>
      <c r="B11" s="21">
        <v>1.0296276612656797E-2</v>
      </c>
    </row>
    <row r="12" spans="1:2" x14ac:dyDescent="0.25">
      <c r="A12" s="15" t="s">
        <v>13</v>
      </c>
      <c r="B12" s="21">
        <v>7.0069984701864327E-3</v>
      </c>
    </row>
    <row r="13" spans="1:2" x14ac:dyDescent="0.25">
      <c r="A13" s="15" t="s">
        <v>23</v>
      </c>
      <c r="B13" s="21">
        <v>5.2821684960563031E-3</v>
      </c>
    </row>
    <row r="14" spans="1:2" x14ac:dyDescent="0.25">
      <c r="A14" s="15" t="s">
        <v>8</v>
      </c>
      <c r="B14" s="21">
        <v>-8.094054282908528E-3</v>
      </c>
    </row>
    <row r="15" spans="1:2" x14ac:dyDescent="0.25">
      <c r="A15" s="15" t="s">
        <v>9</v>
      </c>
      <c r="B15" s="21">
        <v>-9.4885770216267366E-3</v>
      </c>
    </row>
    <row r="16" spans="1:2" x14ac:dyDescent="0.25">
      <c r="A16" s="15" t="s">
        <v>26</v>
      </c>
      <c r="B16" s="21">
        <v>-1.1341839275218986E-2</v>
      </c>
    </row>
    <row r="17" spans="1:2" x14ac:dyDescent="0.25">
      <c r="A17" s="15" t="s">
        <v>17</v>
      </c>
      <c r="B17" s="21">
        <v>-2.959425010257517E-2</v>
      </c>
    </row>
    <row r="18" spans="1:2" x14ac:dyDescent="0.25">
      <c r="A18" s="15" t="s">
        <v>24</v>
      </c>
      <c r="B18" s="21">
        <v>-3.2883513853600721E-2</v>
      </c>
    </row>
    <row r="19" spans="1:2" x14ac:dyDescent="0.25">
      <c r="A19" s="15" t="s">
        <v>22</v>
      </c>
      <c r="B19" s="21">
        <v>-3.9462244779638118E-2</v>
      </c>
    </row>
    <row r="20" spans="1:2" x14ac:dyDescent="0.25">
      <c r="A20" s="15" t="s">
        <v>16</v>
      </c>
      <c r="B20" s="21">
        <v>-4.2441773613568989E-2</v>
      </c>
    </row>
    <row r="21" spans="1:2" x14ac:dyDescent="0.25">
      <c r="A21" s="15" t="s">
        <v>11</v>
      </c>
      <c r="B21" s="21">
        <v>-5.0380082409471671E-2</v>
      </c>
    </row>
    <row r="22" spans="1:2" x14ac:dyDescent="0.25">
      <c r="A22" s="15" t="s">
        <v>12</v>
      </c>
      <c r="B22" s="21">
        <v>-6.3289069364215592E-2</v>
      </c>
    </row>
    <row r="23" spans="1:2" x14ac:dyDescent="0.25">
      <c r="A23" s="15" t="s">
        <v>21</v>
      </c>
      <c r="B23" s="21">
        <v>-0.10170732495505042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AC0E-D7FE-4CED-A1C7-CAB5A09B6268}">
  <dimension ref="A3:B24"/>
  <sheetViews>
    <sheetView workbookViewId="0">
      <selection activeCell="A8" sqref="A8"/>
    </sheetView>
  </sheetViews>
  <sheetFormatPr defaultRowHeight="15" x14ac:dyDescent="0.25"/>
  <cols>
    <col min="1" max="1" width="23.5703125" bestFit="1" customWidth="1"/>
    <col min="2" max="2" width="9" bestFit="1" customWidth="1"/>
  </cols>
  <sheetData>
    <row r="3" spans="1:2" x14ac:dyDescent="0.25">
      <c r="A3" s="14" t="s">
        <v>834</v>
      </c>
      <c r="B3" t="s">
        <v>835</v>
      </c>
    </row>
    <row r="4" spans="1:2" x14ac:dyDescent="0.25">
      <c r="A4" s="15" t="s">
        <v>22</v>
      </c>
      <c r="B4" s="22">
        <v>52844</v>
      </c>
    </row>
    <row r="5" spans="1:2" x14ac:dyDescent="0.25">
      <c r="A5" s="15" t="s">
        <v>17</v>
      </c>
      <c r="B5" s="22">
        <v>51789</v>
      </c>
    </row>
    <row r="6" spans="1:2" x14ac:dyDescent="0.25">
      <c r="A6" s="15" t="s">
        <v>15</v>
      </c>
      <c r="B6" s="22">
        <v>49580</v>
      </c>
    </row>
    <row r="7" spans="1:2" x14ac:dyDescent="0.25">
      <c r="A7" s="15" t="s">
        <v>12</v>
      </c>
      <c r="B7" s="22">
        <v>48746</v>
      </c>
    </row>
    <row r="8" spans="1:2" x14ac:dyDescent="0.25">
      <c r="A8" s="15" t="s">
        <v>11</v>
      </c>
      <c r="B8" s="22">
        <v>47028</v>
      </c>
    </row>
    <row r="9" spans="1:2" x14ac:dyDescent="0.25">
      <c r="A9" s="15" t="s">
        <v>10</v>
      </c>
      <c r="B9" s="22">
        <v>43098</v>
      </c>
    </row>
    <row r="10" spans="1:2" x14ac:dyDescent="0.25">
      <c r="A10" s="15" t="s">
        <v>23</v>
      </c>
      <c r="B10" s="22">
        <v>42837</v>
      </c>
    </row>
    <row r="11" spans="1:2" x14ac:dyDescent="0.25">
      <c r="A11" s="15" t="s">
        <v>25</v>
      </c>
      <c r="B11" s="22">
        <v>41106</v>
      </c>
    </row>
    <row r="12" spans="1:2" x14ac:dyDescent="0.25">
      <c r="A12" s="15" t="s">
        <v>8</v>
      </c>
      <c r="B12" s="22">
        <v>41010</v>
      </c>
    </row>
    <row r="13" spans="1:2" x14ac:dyDescent="0.25">
      <c r="A13" s="15" t="s">
        <v>14</v>
      </c>
      <c r="B13" s="22">
        <v>40029</v>
      </c>
    </row>
    <row r="14" spans="1:2" x14ac:dyDescent="0.25">
      <c r="A14" s="15" t="s">
        <v>19</v>
      </c>
      <c r="B14" s="22">
        <v>39168</v>
      </c>
    </row>
    <row r="15" spans="1:2" x14ac:dyDescent="0.25">
      <c r="A15" s="15" t="s">
        <v>18</v>
      </c>
      <c r="B15" s="22">
        <v>38312</v>
      </c>
    </row>
    <row r="16" spans="1:2" x14ac:dyDescent="0.25">
      <c r="A16" s="15" t="s">
        <v>24</v>
      </c>
      <c r="B16" s="22">
        <v>37636</v>
      </c>
    </row>
    <row r="17" spans="1:2" x14ac:dyDescent="0.25">
      <c r="A17" s="15" t="s">
        <v>27</v>
      </c>
      <c r="B17" s="22">
        <v>36448</v>
      </c>
    </row>
    <row r="18" spans="1:2" x14ac:dyDescent="0.25">
      <c r="A18" s="15" t="s">
        <v>16</v>
      </c>
      <c r="B18" s="22">
        <v>36436</v>
      </c>
    </row>
    <row r="19" spans="1:2" x14ac:dyDescent="0.25">
      <c r="A19" s="15" t="s">
        <v>13</v>
      </c>
      <c r="B19" s="22">
        <v>35012</v>
      </c>
    </row>
    <row r="20" spans="1:2" x14ac:dyDescent="0.25">
      <c r="A20" s="15" t="s">
        <v>9</v>
      </c>
      <c r="B20" s="22">
        <v>32463</v>
      </c>
    </row>
    <row r="21" spans="1:2" x14ac:dyDescent="0.25">
      <c r="A21" s="15" t="s">
        <v>26</v>
      </c>
      <c r="B21" s="22">
        <v>31954</v>
      </c>
    </row>
    <row r="22" spans="1:2" x14ac:dyDescent="0.25">
      <c r="A22" s="15" t="s">
        <v>21</v>
      </c>
      <c r="B22" s="22">
        <v>27662</v>
      </c>
    </row>
    <row r="23" spans="1:2" x14ac:dyDescent="0.25">
      <c r="A23" s="15" t="s">
        <v>20</v>
      </c>
      <c r="B23" s="22">
        <v>27275</v>
      </c>
    </row>
    <row r="24" spans="1:2" x14ac:dyDescent="0.25">
      <c r="A24" s="15" t="s">
        <v>814</v>
      </c>
      <c r="B24" s="22">
        <v>800433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A90F-E483-4DD1-B7FE-F840EE6C8F99}">
  <dimension ref="A3:B82"/>
  <sheetViews>
    <sheetView workbookViewId="0">
      <selection activeCell="K29" sqref="K29"/>
    </sheetView>
  </sheetViews>
  <sheetFormatPr defaultRowHeight="15" x14ac:dyDescent="0.25"/>
  <cols>
    <col min="1" max="1" width="18.140625" bestFit="1" customWidth="1"/>
    <col min="2" max="2" width="62.28515625" bestFit="1" customWidth="1"/>
  </cols>
  <sheetData>
    <row r="3" spans="1:2" x14ac:dyDescent="0.25">
      <c r="A3" s="14" t="s">
        <v>813</v>
      </c>
      <c r="B3" t="s">
        <v>846</v>
      </c>
    </row>
    <row r="4" spans="1:2" x14ac:dyDescent="0.25">
      <c r="A4" s="15" t="s">
        <v>34</v>
      </c>
      <c r="B4" s="19">
        <v>369.2</v>
      </c>
    </row>
    <row r="5" spans="1:2" x14ac:dyDescent="0.25">
      <c r="A5" s="15" t="s">
        <v>111</v>
      </c>
      <c r="B5" s="19">
        <v>331.16666666666663</v>
      </c>
    </row>
    <row r="6" spans="1:2" x14ac:dyDescent="0.25">
      <c r="A6" s="15" t="s">
        <v>101</v>
      </c>
      <c r="B6" s="19">
        <v>329.2727272727272</v>
      </c>
    </row>
    <row r="7" spans="1:2" x14ac:dyDescent="0.25">
      <c r="A7" s="15" t="s">
        <v>100</v>
      </c>
      <c r="B7" s="19">
        <v>323.07692307692298</v>
      </c>
    </row>
    <row r="8" spans="1:2" x14ac:dyDescent="0.25">
      <c r="A8" s="15" t="s">
        <v>65</v>
      </c>
      <c r="B8" s="19">
        <v>322.54545454545456</v>
      </c>
    </row>
    <row r="9" spans="1:2" x14ac:dyDescent="0.25">
      <c r="A9" s="15" t="s">
        <v>98</v>
      </c>
      <c r="B9" s="19">
        <v>321.63636363636357</v>
      </c>
    </row>
    <row r="10" spans="1:2" x14ac:dyDescent="0.25">
      <c r="A10" s="15" t="s">
        <v>96</v>
      </c>
      <c r="B10" s="19">
        <v>320.84615384615387</v>
      </c>
    </row>
    <row r="11" spans="1:2" x14ac:dyDescent="0.25">
      <c r="A11" s="15" t="s">
        <v>122</v>
      </c>
      <c r="B11" s="19">
        <v>320.5714285714285</v>
      </c>
    </row>
    <row r="12" spans="1:2" x14ac:dyDescent="0.25">
      <c r="A12" s="15" t="s">
        <v>56</v>
      </c>
      <c r="B12" s="19">
        <v>320.25</v>
      </c>
    </row>
    <row r="13" spans="1:2" x14ac:dyDescent="0.25">
      <c r="A13" s="15" t="s">
        <v>99</v>
      </c>
      <c r="B13" s="19">
        <v>318.81818181818187</v>
      </c>
    </row>
    <row r="14" spans="1:2" x14ac:dyDescent="0.25">
      <c r="A14" s="15" t="s">
        <v>120</v>
      </c>
      <c r="B14" s="19">
        <v>317.85714285714283</v>
      </c>
    </row>
    <row r="15" spans="1:2" x14ac:dyDescent="0.25">
      <c r="A15" s="15" t="s">
        <v>93</v>
      </c>
      <c r="B15" s="19">
        <v>316.59999999999997</v>
      </c>
    </row>
    <row r="16" spans="1:2" x14ac:dyDescent="0.25">
      <c r="A16" s="15" t="s">
        <v>14</v>
      </c>
      <c r="B16" s="19">
        <v>316.58333333333337</v>
      </c>
    </row>
    <row r="17" spans="1:2" x14ac:dyDescent="0.25">
      <c r="A17" s="15" t="s">
        <v>78</v>
      </c>
      <c r="B17" s="19">
        <v>312.66666666666669</v>
      </c>
    </row>
    <row r="18" spans="1:2" x14ac:dyDescent="0.25">
      <c r="A18" s="15" t="s">
        <v>92</v>
      </c>
      <c r="B18" s="19">
        <v>311.33333333333331</v>
      </c>
    </row>
    <row r="19" spans="1:2" x14ac:dyDescent="0.25">
      <c r="A19" s="15" t="s">
        <v>110</v>
      </c>
      <c r="B19" s="19">
        <v>311.19999999999993</v>
      </c>
    </row>
    <row r="20" spans="1:2" x14ac:dyDescent="0.25">
      <c r="A20" s="15" t="s">
        <v>62</v>
      </c>
      <c r="B20" s="19">
        <v>303.82352941176475</v>
      </c>
    </row>
    <row r="21" spans="1:2" x14ac:dyDescent="0.25">
      <c r="A21" s="15" t="s">
        <v>77</v>
      </c>
      <c r="B21" s="19">
        <v>293.66666666666669</v>
      </c>
    </row>
    <row r="22" spans="1:2" x14ac:dyDescent="0.25">
      <c r="A22" s="15" t="s">
        <v>89</v>
      </c>
      <c r="B22" s="19">
        <v>293.41176470588232</v>
      </c>
    </row>
    <row r="23" spans="1:2" x14ac:dyDescent="0.25">
      <c r="A23" s="15" t="s">
        <v>86</v>
      </c>
      <c r="B23" s="19">
        <v>292.66666666666669</v>
      </c>
    </row>
    <row r="24" spans="1:2" x14ac:dyDescent="0.25">
      <c r="A24" s="15" t="s">
        <v>107</v>
      </c>
      <c r="B24" s="19">
        <v>291.45454545454533</v>
      </c>
    </row>
    <row r="25" spans="1:2" x14ac:dyDescent="0.25">
      <c r="A25" s="15" t="s">
        <v>97</v>
      </c>
      <c r="B25" s="19">
        <v>289.88888888888891</v>
      </c>
    </row>
    <row r="26" spans="1:2" x14ac:dyDescent="0.25">
      <c r="A26" s="15" t="s">
        <v>80</v>
      </c>
      <c r="B26" s="19">
        <v>288.2380952380953</v>
      </c>
    </row>
    <row r="27" spans="1:2" x14ac:dyDescent="0.25">
      <c r="A27" s="15" t="s">
        <v>45</v>
      </c>
      <c r="B27" s="19">
        <v>287.09999999999997</v>
      </c>
    </row>
    <row r="28" spans="1:2" x14ac:dyDescent="0.25">
      <c r="A28" s="15" t="s">
        <v>32</v>
      </c>
      <c r="B28" s="19">
        <v>281.96875</v>
      </c>
    </row>
    <row r="29" spans="1:2" x14ac:dyDescent="0.25">
      <c r="A29" s="15" t="s">
        <v>59</v>
      </c>
      <c r="B29" s="19">
        <v>281.75</v>
      </c>
    </row>
    <row r="30" spans="1:2" x14ac:dyDescent="0.25">
      <c r="A30" s="15" t="s">
        <v>87</v>
      </c>
      <c r="B30" s="19">
        <v>281.73333333333346</v>
      </c>
    </row>
    <row r="31" spans="1:2" x14ac:dyDescent="0.25">
      <c r="A31" s="15" t="s">
        <v>58</v>
      </c>
      <c r="B31" s="19">
        <v>280.66666666666669</v>
      </c>
    </row>
    <row r="32" spans="1:2" x14ac:dyDescent="0.25">
      <c r="A32" s="15" t="s">
        <v>102</v>
      </c>
      <c r="B32" s="19">
        <v>280.2380952380953</v>
      </c>
    </row>
    <row r="33" spans="1:2" x14ac:dyDescent="0.25">
      <c r="A33" s="15" t="s">
        <v>39</v>
      </c>
      <c r="B33" s="19">
        <v>276.67567567567562</v>
      </c>
    </row>
    <row r="34" spans="1:2" x14ac:dyDescent="0.25">
      <c r="A34" s="15" t="s">
        <v>82</v>
      </c>
      <c r="B34" s="19">
        <v>276.21052631578948</v>
      </c>
    </row>
    <row r="35" spans="1:2" x14ac:dyDescent="0.25">
      <c r="A35" s="15" t="s">
        <v>43</v>
      </c>
      <c r="B35" s="19">
        <v>274.77777777777771</v>
      </c>
    </row>
    <row r="36" spans="1:2" x14ac:dyDescent="0.25">
      <c r="A36" s="15" t="s">
        <v>106</v>
      </c>
      <c r="B36" s="19">
        <v>273.69999999999993</v>
      </c>
    </row>
    <row r="37" spans="1:2" x14ac:dyDescent="0.25">
      <c r="A37" s="15" t="s">
        <v>83</v>
      </c>
      <c r="B37" s="19">
        <v>273.625</v>
      </c>
    </row>
    <row r="38" spans="1:2" x14ac:dyDescent="0.25">
      <c r="A38" s="15" t="s">
        <v>81</v>
      </c>
      <c r="B38" s="19">
        <v>273.58333333333337</v>
      </c>
    </row>
    <row r="39" spans="1:2" x14ac:dyDescent="0.25">
      <c r="A39" s="15" t="s">
        <v>109</v>
      </c>
      <c r="B39" s="19">
        <v>272.35294117647067</v>
      </c>
    </row>
    <row r="40" spans="1:2" x14ac:dyDescent="0.25">
      <c r="A40" s="15" t="s">
        <v>112</v>
      </c>
      <c r="B40" s="19">
        <v>272.25</v>
      </c>
    </row>
    <row r="41" spans="1:2" x14ac:dyDescent="0.25">
      <c r="A41" s="15" t="s">
        <v>49</v>
      </c>
      <c r="B41" s="19">
        <v>271</v>
      </c>
    </row>
    <row r="42" spans="1:2" x14ac:dyDescent="0.25">
      <c r="A42" s="15" t="s">
        <v>114</v>
      </c>
      <c r="B42" s="19">
        <v>269.7058823529411</v>
      </c>
    </row>
    <row r="43" spans="1:2" x14ac:dyDescent="0.25">
      <c r="A43" s="15" t="s">
        <v>47</v>
      </c>
      <c r="B43" s="19">
        <v>268</v>
      </c>
    </row>
    <row r="44" spans="1:2" x14ac:dyDescent="0.25">
      <c r="A44" s="15" t="s">
        <v>71</v>
      </c>
      <c r="B44" s="19">
        <v>266.2727272727272</v>
      </c>
    </row>
    <row r="45" spans="1:2" x14ac:dyDescent="0.25">
      <c r="A45" s="15" t="s">
        <v>36</v>
      </c>
      <c r="B45" s="19">
        <v>264</v>
      </c>
    </row>
    <row r="46" spans="1:2" x14ac:dyDescent="0.25">
      <c r="A46" s="15" t="s">
        <v>85</v>
      </c>
      <c r="B46" s="19">
        <v>263.375</v>
      </c>
    </row>
    <row r="47" spans="1:2" x14ac:dyDescent="0.25">
      <c r="A47" s="15" t="s">
        <v>54</v>
      </c>
      <c r="B47" s="19">
        <v>260.64705882352933</v>
      </c>
    </row>
    <row r="48" spans="1:2" x14ac:dyDescent="0.25">
      <c r="A48" s="15" t="s">
        <v>70</v>
      </c>
      <c r="B48" s="19">
        <v>260.15789473684202</v>
      </c>
    </row>
    <row r="49" spans="1:2" x14ac:dyDescent="0.25">
      <c r="A49" s="15" t="s">
        <v>38</v>
      </c>
      <c r="B49" s="19">
        <v>258.30769230769232</v>
      </c>
    </row>
    <row r="50" spans="1:2" x14ac:dyDescent="0.25">
      <c r="A50" s="15" t="s">
        <v>73</v>
      </c>
      <c r="B50" s="19">
        <v>257.78260869565207</v>
      </c>
    </row>
    <row r="51" spans="1:2" x14ac:dyDescent="0.25">
      <c r="A51" s="15" t="s">
        <v>105</v>
      </c>
      <c r="B51" s="19">
        <v>256.90000000000003</v>
      </c>
    </row>
    <row r="52" spans="1:2" x14ac:dyDescent="0.25">
      <c r="A52" s="15" t="s">
        <v>121</v>
      </c>
      <c r="B52" s="19">
        <v>254.18181818181819</v>
      </c>
    </row>
    <row r="53" spans="1:2" x14ac:dyDescent="0.25">
      <c r="A53" s="15" t="s">
        <v>74</v>
      </c>
      <c r="B53" s="19">
        <v>253.6875</v>
      </c>
    </row>
    <row r="54" spans="1:2" x14ac:dyDescent="0.25">
      <c r="A54" s="15" t="s">
        <v>41</v>
      </c>
      <c r="B54" s="19">
        <v>252.09090909090904</v>
      </c>
    </row>
    <row r="55" spans="1:2" x14ac:dyDescent="0.25">
      <c r="A55" s="15" t="s">
        <v>67</v>
      </c>
      <c r="B55" s="19">
        <v>251.91666666666663</v>
      </c>
    </row>
    <row r="56" spans="1:2" x14ac:dyDescent="0.25">
      <c r="A56" s="15" t="s">
        <v>64</v>
      </c>
      <c r="B56" s="19">
        <v>250.25925925925918</v>
      </c>
    </row>
    <row r="57" spans="1:2" x14ac:dyDescent="0.25">
      <c r="A57" s="15" t="s">
        <v>68</v>
      </c>
      <c r="B57" s="19">
        <v>249.5</v>
      </c>
    </row>
    <row r="58" spans="1:2" x14ac:dyDescent="0.25">
      <c r="A58" s="15" t="s">
        <v>66</v>
      </c>
      <c r="B58" s="19">
        <v>248.5</v>
      </c>
    </row>
    <row r="59" spans="1:2" x14ac:dyDescent="0.25">
      <c r="A59" s="15" t="s">
        <v>103</v>
      </c>
      <c r="B59" s="19">
        <v>247.66666666666666</v>
      </c>
    </row>
    <row r="60" spans="1:2" x14ac:dyDescent="0.25">
      <c r="A60" s="15" t="s">
        <v>88</v>
      </c>
      <c r="B60" s="19">
        <v>243.3</v>
      </c>
    </row>
    <row r="61" spans="1:2" x14ac:dyDescent="0.25">
      <c r="A61" s="15" t="s">
        <v>51</v>
      </c>
      <c r="B61" s="19">
        <v>242.81818181818181</v>
      </c>
    </row>
    <row r="62" spans="1:2" x14ac:dyDescent="0.25">
      <c r="A62" s="15" t="s">
        <v>117</v>
      </c>
      <c r="B62" s="19">
        <v>241.83333333333337</v>
      </c>
    </row>
    <row r="63" spans="1:2" x14ac:dyDescent="0.25">
      <c r="A63" s="15" t="s">
        <v>61</v>
      </c>
      <c r="B63" s="19">
        <v>240.5</v>
      </c>
    </row>
    <row r="64" spans="1:2" x14ac:dyDescent="0.25">
      <c r="A64" s="15" t="s">
        <v>28</v>
      </c>
      <c r="B64" s="19">
        <v>240.26666666666677</v>
      </c>
    </row>
    <row r="65" spans="1:2" x14ac:dyDescent="0.25">
      <c r="A65" s="15" t="s">
        <v>104</v>
      </c>
      <c r="B65" s="19">
        <v>238.72222222222223</v>
      </c>
    </row>
    <row r="66" spans="1:2" x14ac:dyDescent="0.25">
      <c r="A66" s="15" t="s">
        <v>75</v>
      </c>
      <c r="B66" s="19">
        <v>238.16666666666663</v>
      </c>
    </row>
    <row r="67" spans="1:2" x14ac:dyDescent="0.25">
      <c r="A67" s="15" t="s">
        <v>79</v>
      </c>
      <c r="B67" s="19">
        <v>236.91666666666663</v>
      </c>
    </row>
    <row r="68" spans="1:2" x14ac:dyDescent="0.25">
      <c r="A68" s="15" t="s">
        <v>91</v>
      </c>
      <c r="B68" s="19">
        <v>236.27586206896555</v>
      </c>
    </row>
    <row r="69" spans="1:2" x14ac:dyDescent="0.25">
      <c r="A69" s="15" t="s">
        <v>116</v>
      </c>
      <c r="B69" s="19">
        <v>235.5555555555556</v>
      </c>
    </row>
    <row r="70" spans="1:2" x14ac:dyDescent="0.25">
      <c r="A70" s="15" t="s">
        <v>124</v>
      </c>
      <c r="B70" s="19">
        <v>232.4444444444444</v>
      </c>
    </row>
    <row r="71" spans="1:2" x14ac:dyDescent="0.25">
      <c r="A71" s="15" t="s">
        <v>63</v>
      </c>
      <c r="B71" s="19">
        <v>226.25</v>
      </c>
    </row>
    <row r="72" spans="1:2" x14ac:dyDescent="0.25">
      <c r="A72" s="15" t="s">
        <v>84</v>
      </c>
      <c r="B72" s="19">
        <v>222.2</v>
      </c>
    </row>
    <row r="73" spans="1:2" x14ac:dyDescent="0.25">
      <c r="A73" s="15" t="s">
        <v>118</v>
      </c>
      <c r="B73" s="19">
        <v>216.40000000000003</v>
      </c>
    </row>
    <row r="74" spans="1:2" x14ac:dyDescent="0.25">
      <c r="A74" s="15" t="s">
        <v>94</v>
      </c>
      <c r="B74" s="19">
        <v>215.85714285714286</v>
      </c>
    </row>
    <row r="75" spans="1:2" x14ac:dyDescent="0.25">
      <c r="A75" s="15" t="s">
        <v>115</v>
      </c>
      <c r="B75" s="19">
        <v>212.8125</v>
      </c>
    </row>
    <row r="76" spans="1:2" x14ac:dyDescent="0.25">
      <c r="A76" s="15" t="s">
        <v>30</v>
      </c>
      <c r="B76" s="19">
        <v>208</v>
      </c>
    </row>
    <row r="77" spans="1:2" x14ac:dyDescent="0.25">
      <c r="A77" s="15" t="s">
        <v>113</v>
      </c>
      <c r="B77" s="19">
        <v>193.5</v>
      </c>
    </row>
    <row r="78" spans="1:2" x14ac:dyDescent="0.25">
      <c r="A78" s="15" t="s">
        <v>123</v>
      </c>
      <c r="B78" s="19">
        <v>168</v>
      </c>
    </row>
    <row r="79" spans="1:2" x14ac:dyDescent="0.25">
      <c r="A79" s="15" t="s">
        <v>95</v>
      </c>
      <c r="B79" s="19">
        <v>159.19999999999999</v>
      </c>
    </row>
    <row r="80" spans="1:2" x14ac:dyDescent="0.25">
      <c r="A80" s="15" t="s">
        <v>52</v>
      </c>
      <c r="B80" s="19">
        <v>140</v>
      </c>
    </row>
    <row r="81" spans="1:2" x14ac:dyDescent="0.25">
      <c r="A81" s="15" t="s">
        <v>119</v>
      </c>
      <c r="B81" s="19">
        <v>82</v>
      </c>
    </row>
    <row r="82" spans="1:2" x14ac:dyDescent="0.25">
      <c r="A82" s="15" t="s">
        <v>814</v>
      </c>
      <c r="B82" s="19">
        <v>268.09000000000026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24EC-1A93-43F1-A2A2-F572312E667D}">
  <dimension ref="A3:B82"/>
  <sheetViews>
    <sheetView workbookViewId="0">
      <selection activeCell="P37" sqref="P37"/>
    </sheetView>
  </sheetViews>
  <sheetFormatPr defaultRowHeight="15" x14ac:dyDescent="0.25"/>
  <cols>
    <col min="1" max="1" width="18.140625" bestFit="1" customWidth="1"/>
    <col min="2" max="2" width="9" bestFit="1" customWidth="1"/>
  </cols>
  <sheetData>
    <row r="3" spans="1:2" x14ac:dyDescent="0.25">
      <c r="A3" s="14" t="s">
        <v>813</v>
      </c>
      <c r="B3" t="s">
        <v>835</v>
      </c>
    </row>
    <row r="4" spans="1:2" x14ac:dyDescent="0.25">
      <c r="A4" s="15" t="s">
        <v>39</v>
      </c>
      <c r="B4" s="22">
        <v>29430</v>
      </c>
    </row>
    <row r="5" spans="1:2" x14ac:dyDescent="0.25">
      <c r="A5" s="15" t="s">
        <v>32</v>
      </c>
      <c r="B5" s="22">
        <v>24872</v>
      </c>
    </row>
    <row r="6" spans="1:2" x14ac:dyDescent="0.25">
      <c r="A6" s="15" t="s">
        <v>49</v>
      </c>
      <c r="B6" s="22">
        <v>24200</v>
      </c>
    </row>
    <row r="7" spans="1:2" x14ac:dyDescent="0.25">
      <c r="A7" s="15" t="s">
        <v>107</v>
      </c>
      <c r="B7" s="22">
        <v>21191</v>
      </c>
    </row>
    <row r="8" spans="1:2" x14ac:dyDescent="0.25">
      <c r="A8" s="15" t="s">
        <v>64</v>
      </c>
      <c r="B8" s="22">
        <v>20462</v>
      </c>
    </row>
    <row r="9" spans="1:2" x14ac:dyDescent="0.25">
      <c r="A9" s="15" t="s">
        <v>91</v>
      </c>
      <c r="B9" s="22">
        <v>20345</v>
      </c>
    </row>
    <row r="10" spans="1:2" x14ac:dyDescent="0.25">
      <c r="A10" s="15" t="s">
        <v>43</v>
      </c>
      <c r="B10" s="22">
        <v>18739</v>
      </c>
    </row>
    <row r="11" spans="1:2" x14ac:dyDescent="0.25">
      <c r="A11" s="15" t="s">
        <v>102</v>
      </c>
      <c r="B11" s="22">
        <v>18368</v>
      </c>
    </row>
    <row r="12" spans="1:2" x14ac:dyDescent="0.25">
      <c r="A12" s="15" t="s">
        <v>114</v>
      </c>
      <c r="B12" s="22">
        <v>17471</v>
      </c>
    </row>
    <row r="13" spans="1:2" x14ac:dyDescent="0.25">
      <c r="A13" s="15" t="s">
        <v>80</v>
      </c>
      <c r="B13" s="22">
        <v>16874</v>
      </c>
    </row>
    <row r="14" spans="1:2" x14ac:dyDescent="0.25">
      <c r="A14" s="15" t="s">
        <v>82</v>
      </c>
      <c r="B14" s="22">
        <v>15751</v>
      </c>
    </row>
    <row r="15" spans="1:2" x14ac:dyDescent="0.25">
      <c r="A15" s="15" t="s">
        <v>62</v>
      </c>
      <c r="B15" s="22">
        <v>15581</v>
      </c>
    </row>
    <row r="16" spans="1:2" x14ac:dyDescent="0.25">
      <c r="A16" s="15" t="s">
        <v>54</v>
      </c>
      <c r="B16" s="22">
        <v>15507</v>
      </c>
    </row>
    <row r="17" spans="1:2" x14ac:dyDescent="0.25">
      <c r="A17" s="15" t="s">
        <v>109</v>
      </c>
      <c r="B17" s="22">
        <v>14457</v>
      </c>
    </row>
    <row r="18" spans="1:2" x14ac:dyDescent="0.25">
      <c r="A18" s="15" t="s">
        <v>61</v>
      </c>
      <c r="B18" s="22">
        <v>14154</v>
      </c>
    </row>
    <row r="19" spans="1:2" x14ac:dyDescent="0.25">
      <c r="A19" s="15" t="s">
        <v>73</v>
      </c>
      <c r="B19" s="22">
        <v>13987</v>
      </c>
    </row>
    <row r="20" spans="1:2" x14ac:dyDescent="0.25">
      <c r="A20" s="15" t="s">
        <v>70</v>
      </c>
      <c r="B20" s="22">
        <v>13772</v>
      </c>
    </row>
    <row r="21" spans="1:2" x14ac:dyDescent="0.25">
      <c r="A21" s="15" t="s">
        <v>89</v>
      </c>
      <c r="B21" s="22">
        <v>13106</v>
      </c>
    </row>
    <row r="22" spans="1:2" x14ac:dyDescent="0.25">
      <c r="A22" s="15" t="s">
        <v>87</v>
      </c>
      <c r="B22" s="22">
        <v>13056</v>
      </c>
    </row>
    <row r="23" spans="1:2" x14ac:dyDescent="0.25">
      <c r="A23" s="15" t="s">
        <v>14</v>
      </c>
      <c r="B23" s="22">
        <v>12899</v>
      </c>
    </row>
    <row r="24" spans="1:2" x14ac:dyDescent="0.25">
      <c r="A24" s="15" t="s">
        <v>66</v>
      </c>
      <c r="B24" s="22">
        <v>12851</v>
      </c>
    </row>
    <row r="25" spans="1:2" x14ac:dyDescent="0.25">
      <c r="A25" s="15" t="s">
        <v>75</v>
      </c>
      <c r="B25" s="22">
        <v>12813</v>
      </c>
    </row>
    <row r="26" spans="1:2" x14ac:dyDescent="0.25">
      <c r="A26" s="15" t="s">
        <v>93</v>
      </c>
      <c r="B26" s="22">
        <v>12712</v>
      </c>
    </row>
    <row r="27" spans="1:2" x14ac:dyDescent="0.25">
      <c r="A27" s="15" t="s">
        <v>68</v>
      </c>
      <c r="B27" s="22">
        <v>12474</v>
      </c>
    </row>
    <row r="28" spans="1:2" x14ac:dyDescent="0.25">
      <c r="A28" s="15" t="s">
        <v>104</v>
      </c>
      <c r="B28" s="22">
        <v>12207</v>
      </c>
    </row>
    <row r="29" spans="1:2" x14ac:dyDescent="0.25">
      <c r="A29" s="15" t="s">
        <v>28</v>
      </c>
      <c r="B29" s="22">
        <v>12078</v>
      </c>
    </row>
    <row r="30" spans="1:2" x14ac:dyDescent="0.25">
      <c r="A30" s="15" t="s">
        <v>96</v>
      </c>
      <c r="B30" s="22">
        <v>11937</v>
      </c>
    </row>
    <row r="31" spans="1:2" x14ac:dyDescent="0.25">
      <c r="A31" s="15" t="s">
        <v>65</v>
      </c>
      <c r="B31" s="22">
        <v>11630</v>
      </c>
    </row>
    <row r="32" spans="1:2" x14ac:dyDescent="0.25">
      <c r="A32" s="15" t="s">
        <v>74</v>
      </c>
      <c r="B32" s="22">
        <v>11100</v>
      </c>
    </row>
    <row r="33" spans="1:2" x14ac:dyDescent="0.25">
      <c r="A33" s="15" t="s">
        <v>106</v>
      </c>
      <c r="B33" s="22">
        <v>10813</v>
      </c>
    </row>
    <row r="34" spans="1:2" x14ac:dyDescent="0.25">
      <c r="A34" s="15" t="s">
        <v>99</v>
      </c>
      <c r="B34" s="22">
        <v>10714</v>
      </c>
    </row>
    <row r="35" spans="1:2" x14ac:dyDescent="0.25">
      <c r="A35" s="15" t="s">
        <v>38</v>
      </c>
      <c r="B35" s="22">
        <v>10620</v>
      </c>
    </row>
    <row r="36" spans="1:2" x14ac:dyDescent="0.25">
      <c r="A36" s="15" t="s">
        <v>111</v>
      </c>
      <c r="B36" s="22">
        <v>10451</v>
      </c>
    </row>
    <row r="37" spans="1:2" x14ac:dyDescent="0.25">
      <c r="A37" s="15" t="s">
        <v>63</v>
      </c>
      <c r="B37" s="22">
        <v>10223</v>
      </c>
    </row>
    <row r="38" spans="1:2" x14ac:dyDescent="0.25">
      <c r="A38" s="15" t="s">
        <v>115</v>
      </c>
      <c r="B38" s="22">
        <v>10168</v>
      </c>
    </row>
    <row r="39" spans="1:2" x14ac:dyDescent="0.25">
      <c r="A39" s="15" t="s">
        <v>98</v>
      </c>
      <c r="B39" s="22">
        <v>9900</v>
      </c>
    </row>
    <row r="40" spans="1:2" x14ac:dyDescent="0.25">
      <c r="A40" s="15" t="s">
        <v>110</v>
      </c>
      <c r="B40" s="22">
        <v>9699</v>
      </c>
    </row>
    <row r="41" spans="1:2" x14ac:dyDescent="0.25">
      <c r="A41" s="15" t="s">
        <v>100</v>
      </c>
      <c r="B41" s="22">
        <v>9294</v>
      </c>
    </row>
    <row r="42" spans="1:2" x14ac:dyDescent="0.25">
      <c r="A42" s="15" t="s">
        <v>81</v>
      </c>
      <c r="B42" s="22">
        <v>9286</v>
      </c>
    </row>
    <row r="43" spans="1:2" x14ac:dyDescent="0.25">
      <c r="A43" s="15" t="s">
        <v>101</v>
      </c>
      <c r="B43" s="22">
        <v>9123</v>
      </c>
    </row>
    <row r="44" spans="1:2" x14ac:dyDescent="0.25">
      <c r="A44" s="15" t="s">
        <v>71</v>
      </c>
      <c r="B44" s="22">
        <v>8954</v>
      </c>
    </row>
    <row r="45" spans="1:2" x14ac:dyDescent="0.25">
      <c r="A45" s="15" t="s">
        <v>79</v>
      </c>
      <c r="B45" s="22">
        <v>8905</v>
      </c>
    </row>
    <row r="46" spans="1:2" x14ac:dyDescent="0.25">
      <c r="A46" s="15" t="s">
        <v>51</v>
      </c>
      <c r="B46" s="22">
        <v>8861</v>
      </c>
    </row>
    <row r="47" spans="1:2" x14ac:dyDescent="0.25">
      <c r="A47" s="15" t="s">
        <v>78</v>
      </c>
      <c r="B47" s="22">
        <v>8841</v>
      </c>
    </row>
    <row r="48" spans="1:2" x14ac:dyDescent="0.25">
      <c r="A48" s="15" t="s">
        <v>117</v>
      </c>
      <c r="B48" s="22">
        <v>8649</v>
      </c>
    </row>
    <row r="49" spans="1:2" x14ac:dyDescent="0.25">
      <c r="A49" s="15" t="s">
        <v>122</v>
      </c>
      <c r="B49" s="22">
        <v>8568</v>
      </c>
    </row>
    <row r="50" spans="1:2" x14ac:dyDescent="0.25">
      <c r="A50" s="15" t="s">
        <v>45</v>
      </c>
      <c r="B50" s="22">
        <v>8543</v>
      </c>
    </row>
    <row r="51" spans="1:2" x14ac:dyDescent="0.25">
      <c r="A51" s="15" t="s">
        <v>67</v>
      </c>
      <c r="B51" s="22">
        <v>8502</v>
      </c>
    </row>
    <row r="52" spans="1:2" x14ac:dyDescent="0.25">
      <c r="A52" s="15" t="s">
        <v>121</v>
      </c>
      <c r="B52" s="22">
        <v>8237</v>
      </c>
    </row>
    <row r="53" spans="1:2" x14ac:dyDescent="0.25">
      <c r="A53" s="15" t="s">
        <v>41</v>
      </c>
      <c r="B53" s="22">
        <v>8230</v>
      </c>
    </row>
    <row r="54" spans="1:2" x14ac:dyDescent="0.25">
      <c r="A54" s="15" t="s">
        <v>116</v>
      </c>
      <c r="B54" s="22">
        <v>8047</v>
      </c>
    </row>
    <row r="55" spans="1:2" x14ac:dyDescent="0.25">
      <c r="A55" s="15" t="s">
        <v>124</v>
      </c>
      <c r="B55" s="22">
        <v>7964</v>
      </c>
    </row>
    <row r="56" spans="1:2" x14ac:dyDescent="0.25">
      <c r="A56" s="15" t="s">
        <v>97</v>
      </c>
      <c r="B56" s="22">
        <v>7420</v>
      </c>
    </row>
    <row r="57" spans="1:2" x14ac:dyDescent="0.25">
      <c r="A57" s="15" t="s">
        <v>103</v>
      </c>
      <c r="B57" s="22">
        <v>7239</v>
      </c>
    </row>
    <row r="58" spans="1:2" x14ac:dyDescent="0.25">
      <c r="A58" s="15" t="s">
        <v>84</v>
      </c>
      <c r="B58" s="22">
        <v>7224</v>
      </c>
    </row>
    <row r="59" spans="1:2" x14ac:dyDescent="0.25">
      <c r="A59" s="15" t="s">
        <v>30</v>
      </c>
      <c r="B59" s="22">
        <v>6781</v>
      </c>
    </row>
    <row r="60" spans="1:2" x14ac:dyDescent="0.25">
      <c r="A60" s="15" t="s">
        <v>105</v>
      </c>
      <c r="B60" s="22">
        <v>6367</v>
      </c>
    </row>
    <row r="61" spans="1:2" x14ac:dyDescent="0.25">
      <c r="A61" s="15" t="s">
        <v>77</v>
      </c>
      <c r="B61" s="22">
        <v>6364</v>
      </c>
    </row>
    <row r="62" spans="1:2" x14ac:dyDescent="0.25">
      <c r="A62" s="15" t="s">
        <v>92</v>
      </c>
      <c r="B62" s="22">
        <v>6329</v>
      </c>
    </row>
    <row r="63" spans="1:2" x14ac:dyDescent="0.25">
      <c r="A63" s="15" t="s">
        <v>34</v>
      </c>
      <c r="B63" s="22">
        <v>6186</v>
      </c>
    </row>
    <row r="64" spans="1:2" x14ac:dyDescent="0.25">
      <c r="A64" s="15" t="s">
        <v>83</v>
      </c>
      <c r="B64" s="22">
        <v>6162</v>
      </c>
    </row>
    <row r="65" spans="1:2" x14ac:dyDescent="0.25">
      <c r="A65" s="15" t="s">
        <v>36</v>
      </c>
      <c r="B65" s="22">
        <v>6133</v>
      </c>
    </row>
    <row r="66" spans="1:2" x14ac:dyDescent="0.25">
      <c r="A66" s="15" t="s">
        <v>88</v>
      </c>
      <c r="B66" s="22">
        <v>5915</v>
      </c>
    </row>
    <row r="67" spans="1:2" x14ac:dyDescent="0.25">
      <c r="A67" s="15" t="s">
        <v>120</v>
      </c>
      <c r="B67" s="22">
        <v>5903</v>
      </c>
    </row>
    <row r="68" spans="1:2" x14ac:dyDescent="0.25">
      <c r="A68" s="15" t="s">
        <v>58</v>
      </c>
      <c r="B68" s="22">
        <v>5896</v>
      </c>
    </row>
    <row r="69" spans="1:2" x14ac:dyDescent="0.25">
      <c r="A69" s="15" t="s">
        <v>118</v>
      </c>
      <c r="B69" s="22">
        <v>5878</v>
      </c>
    </row>
    <row r="70" spans="1:2" x14ac:dyDescent="0.25">
      <c r="A70" s="15" t="s">
        <v>47</v>
      </c>
      <c r="B70" s="22">
        <v>5299</v>
      </c>
    </row>
    <row r="71" spans="1:2" x14ac:dyDescent="0.25">
      <c r="A71" s="15" t="s">
        <v>85</v>
      </c>
      <c r="B71" s="22">
        <v>5099</v>
      </c>
    </row>
    <row r="72" spans="1:2" x14ac:dyDescent="0.25">
      <c r="A72" s="15" t="s">
        <v>94</v>
      </c>
      <c r="B72" s="22">
        <v>4813</v>
      </c>
    </row>
    <row r="73" spans="1:2" x14ac:dyDescent="0.25">
      <c r="A73" s="15" t="s">
        <v>112</v>
      </c>
      <c r="B73" s="22">
        <v>3892</v>
      </c>
    </row>
    <row r="74" spans="1:2" x14ac:dyDescent="0.25">
      <c r="A74" s="15" t="s">
        <v>86</v>
      </c>
      <c r="B74" s="22">
        <v>3625</v>
      </c>
    </row>
    <row r="75" spans="1:2" x14ac:dyDescent="0.25">
      <c r="A75" s="15" t="s">
        <v>56</v>
      </c>
      <c r="B75" s="22">
        <v>3104</v>
      </c>
    </row>
    <row r="76" spans="1:2" x14ac:dyDescent="0.25">
      <c r="A76" s="15" t="s">
        <v>59</v>
      </c>
      <c r="B76" s="22">
        <v>2748</v>
      </c>
    </row>
    <row r="77" spans="1:2" x14ac:dyDescent="0.25">
      <c r="A77" s="15" t="s">
        <v>95</v>
      </c>
      <c r="B77" s="22">
        <v>1546</v>
      </c>
    </row>
    <row r="78" spans="1:2" x14ac:dyDescent="0.25">
      <c r="A78" s="15" t="s">
        <v>123</v>
      </c>
      <c r="B78" s="22">
        <v>1529</v>
      </c>
    </row>
    <row r="79" spans="1:2" x14ac:dyDescent="0.25">
      <c r="A79" s="15" t="s">
        <v>52</v>
      </c>
      <c r="B79" s="22">
        <v>1201</v>
      </c>
    </row>
    <row r="80" spans="1:2" x14ac:dyDescent="0.25">
      <c r="A80" s="15" t="s">
        <v>113</v>
      </c>
      <c r="B80" s="22">
        <v>1082</v>
      </c>
    </row>
    <row r="81" spans="1:2" x14ac:dyDescent="0.25">
      <c r="A81" s="15" t="s">
        <v>119</v>
      </c>
      <c r="B81" s="22">
        <v>82</v>
      </c>
    </row>
    <row r="82" spans="1:2" x14ac:dyDescent="0.25">
      <c r="A82" s="15" t="s">
        <v>814</v>
      </c>
      <c r="B82" s="22">
        <v>800433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21EA-85E3-420D-8D47-DA23C5C6B742}">
  <dimension ref="A3:B24"/>
  <sheetViews>
    <sheetView workbookViewId="0">
      <selection activeCell="O36" sqref="O36"/>
    </sheetView>
  </sheetViews>
  <sheetFormatPr defaultRowHeight="15" x14ac:dyDescent="0.25"/>
  <cols>
    <col min="1" max="1" width="17.28515625" bestFit="1" customWidth="1"/>
    <col min="2" max="2" width="9" bestFit="1" customWidth="1"/>
  </cols>
  <sheetData>
    <row r="3" spans="1:2" x14ac:dyDescent="0.25">
      <c r="A3" s="14" t="s">
        <v>813</v>
      </c>
      <c r="B3" t="s">
        <v>835</v>
      </c>
    </row>
    <row r="4" spans="1:2" x14ac:dyDescent="0.25">
      <c r="A4" s="15" t="s">
        <v>40</v>
      </c>
      <c r="B4" s="22">
        <v>66945</v>
      </c>
    </row>
    <row r="5" spans="1:2" x14ac:dyDescent="0.25">
      <c r="A5" s="15" t="s">
        <v>48</v>
      </c>
      <c r="B5" s="22">
        <v>48797</v>
      </c>
    </row>
    <row r="6" spans="1:2" x14ac:dyDescent="0.25">
      <c r="A6" s="15" t="s">
        <v>108</v>
      </c>
      <c r="B6" s="22">
        <v>47223</v>
      </c>
    </row>
    <row r="7" spans="1:2" x14ac:dyDescent="0.25">
      <c r="A7" s="15" t="s">
        <v>33</v>
      </c>
      <c r="B7" s="22">
        <v>45862</v>
      </c>
    </row>
    <row r="8" spans="1:2" x14ac:dyDescent="0.25">
      <c r="A8" s="15" t="s">
        <v>72</v>
      </c>
      <c r="B8" s="22">
        <v>44539</v>
      </c>
    </row>
    <row r="9" spans="1:2" x14ac:dyDescent="0.25">
      <c r="A9" s="15" t="s">
        <v>76</v>
      </c>
      <c r="B9" s="22">
        <v>44468</v>
      </c>
    </row>
    <row r="10" spans="1:2" x14ac:dyDescent="0.25">
      <c r="A10" s="15" t="s">
        <v>50</v>
      </c>
      <c r="B10" s="22">
        <v>44265</v>
      </c>
    </row>
    <row r="11" spans="1:2" x14ac:dyDescent="0.25">
      <c r="A11" s="15" t="s">
        <v>29</v>
      </c>
      <c r="B11" s="22">
        <v>44151</v>
      </c>
    </row>
    <row r="12" spans="1:2" x14ac:dyDescent="0.25">
      <c r="A12" s="15" t="s">
        <v>60</v>
      </c>
      <c r="B12" s="22">
        <v>43626</v>
      </c>
    </row>
    <row r="13" spans="1:2" x14ac:dyDescent="0.25">
      <c r="A13" s="15" t="s">
        <v>37</v>
      </c>
      <c r="B13" s="22">
        <v>42352</v>
      </c>
    </row>
    <row r="14" spans="1:2" x14ac:dyDescent="0.25">
      <c r="A14" s="15" t="s">
        <v>44</v>
      </c>
      <c r="B14" s="22">
        <v>42165</v>
      </c>
    </row>
    <row r="15" spans="1:2" x14ac:dyDescent="0.25">
      <c r="A15" s="15" t="s">
        <v>46</v>
      </c>
      <c r="B15" s="22">
        <v>41745</v>
      </c>
    </row>
    <row r="16" spans="1:2" x14ac:dyDescent="0.25">
      <c r="A16" s="15" t="s">
        <v>69</v>
      </c>
      <c r="B16" s="22">
        <v>39632</v>
      </c>
    </row>
    <row r="17" spans="1:2" x14ac:dyDescent="0.25">
      <c r="A17" s="15" t="s">
        <v>35</v>
      </c>
      <c r="B17" s="22">
        <v>33802</v>
      </c>
    </row>
    <row r="18" spans="1:2" x14ac:dyDescent="0.25">
      <c r="A18" s="15" t="s">
        <v>55</v>
      </c>
      <c r="B18" s="22">
        <v>32430</v>
      </c>
    </row>
    <row r="19" spans="1:2" x14ac:dyDescent="0.25">
      <c r="A19" s="15" t="s">
        <v>31</v>
      </c>
      <c r="B19" s="22">
        <v>31147</v>
      </c>
    </row>
    <row r="20" spans="1:2" x14ac:dyDescent="0.25">
      <c r="A20" s="15" t="s">
        <v>53</v>
      </c>
      <c r="B20" s="22">
        <v>30543</v>
      </c>
    </row>
    <row r="21" spans="1:2" x14ac:dyDescent="0.25">
      <c r="A21" s="15" t="s">
        <v>42</v>
      </c>
      <c r="B21" s="22">
        <v>28053</v>
      </c>
    </row>
    <row r="22" spans="1:2" x14ac:dyDescent="0.25">
      <c r="A22" s="15" t="s">
        <v>90</v>
      </c>
      <c r="B22" s="22">
        <v>27375</v>
      </c>
    </row>
    <row r="23" spans="1:2" x14ac:dyDescent="0.25">
      <c r="A23" s="15" t="s">
        <v>57</v>
      </c>
      <c r="B23" s="22">
        <v>21313</v>
      </c>
    </row>
    <row r="24" spans="1:2" x14ac:dyDescent="0.25">
      <c r="A24" s="15" t="s">
        <v>814</v>
      </c>
      <c r="B24" s="22">
        <v>800433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BB35-B41E-48E6-AFE0-AE5D7321F901}">
  <dimension ref="A3:B23"/>
  <sheetViews>
    <sheetView workbookViewId="0">
      <selection activeCell="M32" sqref="M32"/>
    </sheetView>
  </sheetViews>
  <sheetFormatPr defaultRowHeight="15" x14ac:dyDescent="0.25"/>
  <cols>
    <col min="1" max="1" width="17.28515625" bestFit="1" customWidth="1"/>
    <col min="2" max="2" width="35.7109375" bestFit="1" customWidth="1"/>
  </cols>
  <sheetData>
    <row r="3" spans="1:2" x14ac:dyDescent="0.25">
      <c r="A3" s="14" t="s">
        <v>813</v>
      </c>
      <c r="B3" t="s">
        <v>850</v>
      </c>
    </row>
    <row r="4" spans="1:2" x14ac:dyDescent="0.25">
      <c r="A4" s="32" t="s">
        <v>44</v>
      </c>
      <c r="B4" s="33">
        <v>3.2380952380952381</v>
      </c>
    </row>
    <row r="5" spans="1:2" x14ac:dyDescent="0.25">
      <c r="A5" s="32" t="s">
        <v>90</v>
      </c>
      <c r="B5" s="33">
        <v>3.1875</v>
      </c>
    </row>
    <row r="6" spans="1:2" x14ac:dyDescent="0.25">
      <c r="A6" s="32" t="s">
        <v>31</v>
      </c>
      <c r="B6" s="33">
        <v>3.1463414634146343</v>
      </c>
    </row>
    <row r="7" spans="1:2" x14ac:dyDescent="0.25">
      <c r="A7" s="32" t="s">
        <v>29</v>
      </c>
      <c r="B7" s="33">
        <v>3.1355932203389831</v>
      </c>
    </row>
    <row r="8" spans="1:2" x14ac:dyDescent="0.25">
      <c r="A8" s="32" t="s">
        <v>55</v>
      </c>
      <c r="B8" s="33">
        <v>3.1282051282051282</v>
      </c>
    </row>
    <row r="9" spans="1:2" x14ac:dyDescent="0.25">
      <c r="A9" s="32" t="s">
        <v>108</v>
      </c>
      <c r="B9" s="33">
        <v>3.1272727272727274</v>
      </c>
    </row>
    <row r="10" spans="1:2" x14ac:dyDescent="0.25">
      <c r="A10" s="32" t="s">
        <v>37</v>
      </c>
      <c r="B10" s="33">
        <v>3.0909090909090908</v>
      </c>
    </row>
    <row r="11" spans="1:2" x14ac:dyDescent="0.25">
      <c r="A11" s="32" t="s">
        <v>76</v>
      </c>
      <c r="B11" s="33">
        <v>3.0754716981132075</v>
      </c>
    </row>
    <row r="12" spans="1:2" x14ac:dyDescent="0.25">
      <c r="A12" s="32" t="s">
        <v>69</v>
      </c>
      <c r="B12" s="33">
        <v>3.0638297872340425</v>
      </c>
    </row>
    <row r="13" spans="1:2" x14ac:dyDescent="0.25">
      <c r="A13" s="32" t="s">
        <v>72</v>
      </c>
      <c r="B13" s="33">
        <v>3.0588235294117645</v>
      </c>
    </row>
    <row r="14" spans="1:2" x14ac:dyDescent="0.25">
      <c r="A14" s="32" t="s">
        <v>53</v>
      </c>
      <c r="B14" s="33">
        <v>3.0476190476190474</v>
      </c>
    </row>
    <row r="15" spans="1:2" x14ac:dyDescent="0.25">
      <c r="A15" s="32" t="s">
        <v>48</v>
      </c>
      <c r="B15" s="33">
        <v>2.9838709677419355</v>
      </c>
    </row>
    <row r="16" spans="1:2" x14ac:dyDescent="0.25">
      <c r="A16" s="32" t="s">
        <v>33</v>
      </c>
      <c r="B16" s="33">
        <v>2.9827586206896552</v>
      </c>
    </row>
    <row r="17" spans="1:2" x14ac:dyDescent="0.25">
      <c r="A17" s="32" t="s">
        <v>35</v>
      </c>
      <c r="B17" s="33">
        <v>2.9534883720930232</v>
      </c>
    </row>
    <row r="18" spans="1:2" x14ac:dyDescent="0.25">
      <c r="A18" s="32" t="s">
        <v>40</v>
      </c>
      <c r="B18" s="33">
        <v>2.941860465116279</v>
      </c>
    </row>
    <row r="19" spans="1:2" x14ac:dyDescent="0.25">
      <c r="A19" s="32" t="s">
        <v>60</v>
      </c>
      <c r="B19" s="33">
        <v>2.9272727272727272</v>
      </c>
    </row>
    <row r="20" spans="1:2" x14ac:dyDescent="0.25">
      <c r="A20" s="32" t="s">
        <v>57</v>
      </c>
      <c r="B20" s="33">
        <v>2.8846153846153846</v>
      </c>
    </row>
    <row r="21" spans="1:2" x14ac:dyDescent="0.25">
      <c r="A21" s="32" t="s">
        <v>46</v>
      </c>
      <c r="B21" s="33">
        <v>2.7627118644067798</v>
      </c>
    </row>
    <row r="22" spans="1:2" x14ac:dyDescent="0.25">
      <c r="A22" s="32" t="s">
        <v>42</v>
      </c>
      <c r="B22" s="33">
        <v>2.7209302325581395</v>
      </c>
    </row>
    <row r="23" spans="1:2" x14ac:dyDescent="0.25">
      <c r="A23" s="32" t="s">
        <v>50</v>
      </c>
      <c r="B23" s="33">
        <v>2.5873015873015874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6F5-7BDD-8242-82DF-8791B8A660D9}">
  <dimension ref="A1:C433"/>
  <sheetViews>
    <sheetView workbookViewId="0">
      <selection activeCell="F6" sqref="F6"/>
    </sheetView>
  </sheetViews>
  <sheetFormatPr defaultColWidth="8.85546875" defaultRowHeight="15" x14ac:dyDescent="0.25"/>
  <cols>
    <col min="1" max="1" width="11.42578125" customWidth="1"/>
    <col min="2" max="2" width="18.85546875" customWidth="1"/>
    <col min="3" max="3" width="13" customWidth="1"/>
  </cols>
  <sheetData>
    <row r="1" spans="1:3" x14ac:dyDescent="0.25">
      <c r="A1" s="18" t="s">
        <v>1</v>
      </c>
      <c r="B1" s="18" t="s">
        <v>126</v>
      </c>
      <c r="C1" s="18" t="s">
        <v>125</v>
      </c>
    </row>
    <row r="2" spans="1:3" x14ac:dyDescent="0.25">
      <c r="A2">
        <v>300</v>
      </c>
      <c r="B2" t="s">
        <v>29</v>
      </c>
      <c r="C2" t="s">
        <v>61</v>
      </c>
    </row>
    <row r="3" spans="1:3" x14ac:dyDescent="0.25">
      <c r="A3">
        <v>486</v>
      </c>
      <c r="B3" t="s">
        <v>76</v>
      </c>
      <c r="C3" t="s">
        <v>75</v>
      </c>
    </row>
    <row r="4" spans="1:3" x14ac:dyDescent="0.25">
      <c r="A4">
        <v>76</v>
      </c>
      <c r="B4" t="s">
        <v>69</v>
      </c>
      <c r="C4" t="s">
        <v>124</v>
      </c>
    </row>
    <row r="5" spans="1:3" x14ac:dyDescent="0.25">
      <c r="A5">
        <v>240</v>
      </c>
      <c r="B5" t="s">
        <v>40</v>
      </c>
      <c r="C5" t="s">
        <v>91</v>
      </c>
    </row>
    <row r="6" spans="1:3" x14ac:dyDescent="0.25">
      <c r="A6">
        <v>32</v>
      </c>
      <c r="B6" t="s">
        <v>31</v>
      </c>
      <c r="C6" t="s">
        <v>95</v>
      </c>
    </row>
    <row r="7" spans="1:3" x14ac:dyDescent="0.25">
      <c r="A7">
        <v>162</v>
      </c>
      <c r="B7" t="s">
        <v>33</v>
      </c>
      <c r="C7" t="s">
        <v>32</v>
      </c>
    </row>
    <row r="8" spans="1:3" x14ac:dyDescent="0.25">
      <c r="A8">
        <v>323</v>
      </c>
      <c r="B8" t="s">
        <v>55</v>
      </c>
      <c r="C8" t="s">
        <v>54</v>
      </c>
    </row>
    <row r="9" spans="1:3" x14ac:dyDescent="0.25">
      <c r="A9">
        <v>60</v>
      </c>
      <c r="B9" t="s">
        <v>53</v>
      </c>
      <c r="C9" t="s">
        <v>82</v>
      </c>
    </row>
    <row r="10" spans="1:3" x14ac:dyDescent="0.25">
      <c r="A10">
        <v>401</v>
      </c>
      <c r="B10" t="s">
        <v>60</v>
      </c>
      <c r="C10" t="s">
        <v>107</v>
      </c>
    </row>
    <row r="11" spans="1:3" x14ac:dyDescent="0.25">
      <c r="A11">
        <v>100</v>
      </c>
      <c r="B11" t="s">
        <v>46</v>
      </c>
      <c r="C11" t="s">
        <v>73</v>
      </c>
    </row>
    <row r="12" spans="1:3" x14ac:dyDescent="0.25">
      <c r="A12">
        <v>217</v>
      </c>
      <c r="B12" t="s">
        <v>108</v>
      </c>
      <c r="C12" t="s">
        <v>110</v>
      </c>
    </row>
    <row r="13" spans="1:3" x14ac:dyDescent="0.25">
      <c r="A13">
        <v>445</v>
      </c>
      <c r="B13" t="s">
        <v>29</v>
      </c>
      <c r="C13" t="s">
        <v>28</v>
      </c>
    </row>
    <row r="14" spans="1:3" x14ac:dyDescent="0.25">
      <c r="A14">
        <v>284</v>
      </c>
      <c r="B14" t="s">
        <v>108</v>
      </c>
      <c r="C14" t="s">
        <v>115</v>
      </c>
    </row>
    <row r="15" spans="1:3" x14ac:dyDescent="0.25">
      <c r="A15">
        <v>116</v>
      </c>
      <c r="B15" t="s">
        <v>76</v>
      </c>
      <c r="C15" t="s">
        <v>96</v>
      </c>
    </row>
    <row r="16" spans="1:3" x14ac:dyDescent="0.25">
      <c r="A16">
        <v>378</v>
      </c>
      <c r="B16" t="s">
        <v>33</v>
      </c>
      <c r="C16" t="s">
        <v>32</v>
      </c>
    </row>
    <row r="17" spans="1:3" x14ac:dyDescent="0.25">
      <c r="A17">
        <v>299</v>
      </c>
      <c r="B17" t="s">
        <v>60</v>
      </c>
      <c r="C17" t="s">
        <v>70</v>
      </c>
    </row>
    <row r="18" spans="1:3" x14ac:dyDescent="0.25">
      <c r="A18">
        <v>359</v>
      </c>
      <c r="B18" t="s">
        <v>108</v>
      </c>
      <c r="C18" t="s">
        <v>14</v>
      </c>
    </row>
    <row r="19" spans="1:3" x14ac:dyDescent="0.25">
      <c r="A19">
        <v>337</v>
      </c>
      <c r="B19" t="s">
        <v>40</v>
      </c>
      <c r="C19" t="s">
        <v>39</v>
      </c>
    </row>
    <row r="20" spans="1:3" x14ac:dyDescent="0.25">
      <c r="A20">
        <v>226</v>
      </c>
      <c r="B20" t="s">
        <v>50</v>
      </c>
      <c r="C20" t="s">
        <v>92</v>
      </c>
    </row>
    <row r="21" spans="1:3" x14ac:dyDescent="0.25">
      <c r="A21">
        <v>310</v>
      </c>
      <c r="B21" t="s">
        <v>40</v>
      </c>
      <c r="C21" t="s">
        <v>39</v>
      </c>
    </row>
    <row r="22" spans="1:3" x14ac:dyDescent="0.25">
      <c r="A22">
        <v>137</v>
      </c>
      <c r="B22" t="s">
        <v>35</v>
      </c>
      <c r="C22" t="s">
        <v>74</v>
      </c>
    </row>
    <row r="23" spans="1:3" x14ac:dyDescent="0.25">
      <c r="A23">
        <v>385</v>
      </c>
      <c r="B23" t="s">
        <v>40</v>
      </c>
      <c r="C23" t="s">
        <v>101</v>
      </c>
    </row>
    <row r="24" spans="1:3" x14ac:dyDescent="0.25">
      <c r="A24">
        <v>451</v>
      </c>
      <c r="B24" t="s">
        <v>90</v>
      </c>
      <c r="C24" t="s">
        <v>114</v>
      </c>
    </row>
    <row r="25" spans="1:3" x14ac:dyDescent="0.25">
      <c r="A25">
        <v>7</v>
      </c>
      <c r="B25" t="s">
        <v>50</v>
      </c>
      <c r="C25" t="s">
        <v>104</v>
      </c>
    </row>
    <row r="26" spans="1:3" x14ac:dyDescent="0.25">
      <c r="A26">
        <v>495</v>
      </c>
      <c r="B26" t="s">
        <v>60</v>
      </c>
      <c r="C26" t="s">
        <v>107</v>
      </c>
    </row>
    <row r="27" spans="1:3" x14ac:dyDescent="0.25">
      <c r="A27">
        <v>415</v>
      </c>
      <c r="B27" t="s">
        <v>72</v>
      </c>
      <c r="C27" t="s">
        <v>102</v>
      </c>
    </row>
    <row r="28" spans="1:3" x14ac:dyDescent="0.25">
      <c r="A28">
        <v>176</v>
      </c>
      <c r="B28" t="s">
        <v>29</v>
      </c>
      <c r="C28" t="s">
        <v>61</v>
      </c>
    </row>
    <row r="29" spans="1:3" x14ac:dyDescent="0.25">
      <c r="A29">
        <v>181</v>
      </c>
      <c r="B29" t="s">
        <v>44</v>
      </c>
      <c r="C29" t="s">
        <v>99</v>
      </c>
    </row>
    <row r="30" spans="1:3" x14ac:dyDescent="0.25">
      <c r="A30">
        <v>399</v>
      </c>
      <c r="B30" t="s">
        <v>37</v>
      </c>
      <c r="C30" t="s">
        <v>87</v>
      </c>
    </row>
    <row r="31" spans="1:3" x14ac:dyDescent="0.25">
      <c r="A31">
        <v>382</v>
      </c>
      <c r="B31" t="s">
        <v>31</v>
      </c>
      <c r="C31" t="s">
        <v>62</v>
      </c>
    </row>
    <row r="32" spans="1:3" x14ac:dyDescent="0.25">
      <c r="A32">
        <v>103</v>
      </c>
      <c r="B32" t="s">
        <v>55</v>
      </c>
      <c r="C32" t="s">
        <v>118</v>
      </c>
    </row>
    <row r="33" spans="1:3" x14ac:dyDescent="0.25">
      <c r="A33">
        <v>104</v>
      </c>
      <c r="B33" t="s">
        <v>46</v>
      </c>
      <c r="C33" t="s">
        <v>73</v>
      </c>
    </row>
    <row r="34" spans="1:3" x14ac:dyDescent="0.25">
      <c r="A34">
        <v>213</v>
      </c>
      <c r="B34" t="s">
        <v>29</v>
      </c>
      <c r="C34" t="s">
        <v>61</v>
      </c>
    </row>
    <row r="35" spans="1:3" x14ac:dyDescent="0.25">
      <c r="A35">
        <v>157</v>
      </c>
      <c r="B35" t="s">
        <v>50</v>
      </c>
      <c r="C35" t="s">
        <v>104</v>
      </c>
    </row>
    <row r="36" spans="1:3" x14ac:dyDescent="0.25">
      <c r="A36">
        <v>237</v>
      </c>
      <c r="B36" t="s">
        <v>48</v>
      </c>
      <c r="C36" t="s">
        <v>80</v>
      </c>
    </row>
    <row r="37" spans="1:3" x14ac:dyDescent="0.25">
      <c r="A37">
        <v>8</v>
      </c>
      <c r="B37" t="s">
        <v>40</v>
      </c>
      <c r="C37" t="s">
        <v>39</v>
      </c>
    </row>
    <row r="38" spans="1:3" x14ac:dyDescent="0.25">
      <c r="A38">
        <v>65</v>
      </c>
      <c r="B38" t="s">
        <v>37</v>
      </c>
      <c r="C38" t="s">
        <v>87</v>
      </c>
    </row>
    <row r="39" spans="1:3" x14ac:dyDescent="0.25">
      <c r="A39">
        <v>45</v>
      </c>
      <c r="B39" t="s">
        <v>33</v>
      </c>
      <c r="C39" t="s">
        <v>51</v>
      </c>
    </row>
    <row r="40" spans="1:3" x14ac:dyDescent="0.25">
      <c r="A40">
        <v>36</v>
      </c>
      <c r="B40" t="s">
        <v>40</v>
      </c>
      <c r="C40" t="s">
        <v>116</v>
      </c>
    </row>
    <row r="41" spans="1:3" x14ac:dyDescent="0.25">
      <c r="A41">
        <v>443</v>
      </c>
      <c r="B41" t="s">
        <v>53</v>
      </c>
      <c r="C41" t="s">
        <v>82</v>
      </c>
    </row>
    <row r="42" spans="1:3" x14ac:dyDescent="0.25">
      <c r="A42">
        <v>384</v>
      </c>
      <c r="B42" t="s">
        <v>29</v>
      </c>
      <c r="C42" t="s">
        <v>28</v>
      </c>
    </row>
    <row r="43" spans="1:3" x14ac:dyDescent="0.25">
      <c r="A43">
        <v>41</v>
      </c>
      <c r="B43" t="s">
        <v>90</v>
      </c>
      <c r="C43" t="s">
        <v>120</v>
      </c>
    </row>
    <row r="44" spans="1:3" x14ac:dyDescent="0.25">
      <c r="A44">
        <v>484</v>
      </c>
      <c r="B44" t="s">
        <v>69</v>
      </c>
      <c r="C44" t="s">
        <v>100</v>
      </c>
    </row>
    <row r="45" spans="1:3" x14ac:dyDescent="0.25">
      <c r="A45">
        <v>390</v>
      </c>
      <c r="B45" t="s">
        <v>33</v>
      </c>
      <c r="C45" t="s">
        <v>121</v>
      </c>
    </row>
    <row r="46" spans="1:3" x14ac:dyDescent="0.25">
      <c r="A46">
        <v>57</v>
      </c>
      <c r="B46" t="s">
        <v>69</v>
      </c>
      <c r="C46" t="s">
        <v>124</v>
      </c>
    </row>
    <row r="47" spans="1:3" x14ac:dyDescent="0.25">
      <c r="A47">
        <v>285</v>
      </c>
      <c r="B47" t="s">
        <v>40</v>
      </c>
      <c r="C47" t="s">
        <v>39</v>
      </c>
    </row>
    <row r="48" spans="1:3" x14ac:dyDescent="0.25">
      <c r="A48">
        <v>444</v>
      </c>
      <c r="B48" t="s">
        <v>46</v>
      </c>
      <c r="C48" t="s">
        <v>66</v>
      </c>
    </row>
    <row r="49" spans="1:3" x14ac:dyDescent="0.25">
      <c r="A49">
        <v>35</v>
      </c>
      <c r="B49" t="s">
        <v>42</v>
      </c>
      <c r="C49" t="s">
        <v>63</v>
      </c>
    </row>
    <row r="50" spans="1:3" x14ac:dyDescent="0.25">
      <c r="A50">
        <v>296</v>
      </c>
      <c r="B50" t="s">
        <v>42</v>
      </c>
      <c r="C50" t="s">
        <v>63</v>
      </c>
    </row>
    <row r="51" spans="1:3" x14ac:dyDescent="0.25">
      <c r="A51">
        <v>227</v>
      </c>
      <c r="B51" t="s">
        <v>40</v>
      </c>
      <c r="C51" t="s">
        <v>101</v>
      </c>
    </row>
    <row r="52" spans="1:3" x14ac:dyDescent="0.25">
      <c r="A52">
        <v>167</v>
      </c>
      <c r="B52" t="s">
        <v>108</v>
      </c>
      <c r="C52" t="s">
        <v>115</v>
      </c>
    </row>
    <row r="53" spans="1:3" x14ac:dyDescent="0.25">
      <c r="A53">
        <v>146</v>
      </c>
      <c r="B53" t="s">
        <v>33</v>
      </c>
      <c r="C53" t="s">
        <v>51</v>
      </c>
    </row>
    <row r="54" spans="1:3" x14ac:dyDescent="0.25">
      <c r="A54">
        <v>338</v>
      </c>
      <c r="B54" t="s">
        <v>50</v>
      </c>
      <c r="C54" t="s">
        <v>104</v>
      </c>
    </row>
    <row r="55" spans="1:3" x14ac:dyDescent="0.25">
      <c r="A55">
        <v>155</v>
      </c>
      <c r="B55" t="s">
        <v>46</v>
      </c>
      <c r="C55" t="s">
        <v>66</v>
      </c>
    </row>
    <row r="56" spans="1:3" x14ac:dyDescent="0.25">
      <c r="A56">
        <v>239</v>
      </c>
      <c r="B56" t="s">
        <v>46</v>
      </c>
      <c r="C56" t="s">
        <v>66</v>
      </c>
    </row>
    <row r="57" spans="1:3" x14ac:dyDescent="0.25">
      <c r="A57">
        <v>158</v>
      </c>
      <c r="B57" t="s">
        <v>29</v>
      </c>
      <c r="C57" t="s">
        <v>28</v>
      </c>
    </row>
    <row r="58" spans="1:3" x14ac:dyDescent="0.25">
      <c r="A58">
        <v>147</v>
      </c>
      <c r="B58" t="s">
        <v>48</v>
      </c>
      <c r="C58" t="s">
        <v>64</v>
      </c>
    </row>
    <row r="59" spans="1:3" x14ac:dyDescent="0.25">
      <c r="A59">
        <v>311</v>
      </c>
      <c r="B59" t="s">
        <v>40</v>
      </c>
      <c r="C59" t="s">
        <v>39</v>
      </c>
    </row>
    <row r="60" spans="1:3" x14ac:dyDescent="0.25">
      <c r="A60">
        <v>465</v>
      </c>
      <c r="B60" t="s">
        <v>46</v>
      </c>
      <c r="C60" t="s">
        <v>73</v>
      </c>
    </row>
    <row r="61" spans="1:3" x14ac:dyDescent="0.25">
      <c r="A61">
        <v>449</v>
      </c>
      <c r="B61" t="s">
        <v>108</v>
      </c>
      <c r="C61" t="s">
        <v>110</v>
      </c>
    </row>
    <row r="62" spans="1:3" x14ac:dyDescent="0.25">
      <c r="A62">
        <v>144</v>
      </c>
      <c r="B62" t="s">
        <v>40</v>
      </c>
      <c r="C62" t="s">
        <v>116</v>
      </c>
    </row>
    <row r="63" spans="1:3" x14ac:dyDescent="0.25">
      <c r="A63">
        <v>375</v>
      </c>
      <c r="B63" t="s">
        <v>40</v>
      </c>
      <c r="C63" t="s">
        <v>91</v>
      </c>
    </row>
    <row r="64" spans="1:3" x14ac:dyDescent="0.25">
      <c r="A64">
        <v>408</v>
      </c>
      <c r="B64" t="s">
        <v>46</v>
      </c>
      <c r="C64" t="s">
        <v>66</v>
      </c>
    </row>
    <row r="65" spans="1:3" x14ac:dyDescent="0.25">
      <c r="A65">
        <v>425</v>
      </c>
      <c r="B65" t="s">
        <v>76</v>
      </c>
      <c r="C65" t="s">
        <v>96</v>
      </c>
    </row>
    <row r="66" spans="1:3" x14ac:dyDescent="0.25">
      <c r="A66">
        <v>277</v>
      </c>
      <c r="B66" t="s">
        <v>60</v>
      </c>
      <c r="C66" t="s">
        <v>107</v>
      </c>
    </row>
    <row r="67" spans="1:3" x14ac:dyDescent="0.25">
      <c r="A67">
        <v>130</v>
      </c>
      <c r="B67" t="s">
        <v>76</v>
      </c>
      <c r="C67" t="s">
        <v>75</v>
      </c>
    </row>
    <row r="68" spans="1:3" x14ac:dyDescent="0.25">
      <c r="A68">
        <v>30</v>
      </c>
      <c r="B68" t="s">
        <v>72</v>
      </c>
      <c r="C68" t="s">
        <v>102</v>
      </c>
    </row>
    <row r="69" spans="1:3" x14ac:dyDescent="0.25">
      <c r="A69">
        <v>75</v>
      </c>
      <c r="B69" t="s">
        <v>69</v>
      </c>
      <c r="C69" t="s">
        <v>68</v>
      </c>
    </row>
    <row r="70" spans="1:3" x14ac:dyDescent="0.25">
      <c r="A70">
        <v>118</v>
      </c>
      <c r="B70" t="s">
        <v>29</v>
      </c>
      <c r="C70" t="s">
        <v>61</v>
      </c>
    </row>
    <row r="71" spans="1:3" x14ac:dyDescent="0.25">
      <c r="A71">
        <v>19</v>
      </c>
      <c r="B71" t="s">
        <v>108</v>
      </c>
      <c r="C71" t="s">
        <v>109</v>
      </c>
    </row>
    <row r="72" spans="1:3" x14ac:dyDescent="0.25">
      <c r="A72">
        <v>204</v>
      </c>
      <c r="B72" t="s">
        <v>69</v>
      </c>
      <c r="C72" t="s">
        <v>124</v>
      </c>
    </row>
    <row r="73" spans="1:3" x14ac:dyDescent="0.25">
      <c r="A73">
        <v>304</v>
      </c>
      <c r="B73" t="s">
        <v>48</v>
      </c>
      <c r="C73" t="s">
        <v>80</v>
      </c>
    </row>
    <row r="74" spans="1:3" x14ac:dyDescent="0.25">
      <c r="A74">
        <v>189</v>
      </c>
      <c r="B74" t="s">
        <v>37</v>
      </c>
      <c r="C74" t="s">
        <v>36</v>
      </c>
    </row>
    <row r="75" spans="1:3" x14ac:dyDescent="0.25">
      <c r="A75">
        <v>392</v>
      </c>
      <c r="B75" t="s">
        <v>53</v>
      </c>
      <c r="C75" t="s">
        <v>84</v>
      </c>
    </row>
    <row r="76" spans="1:3" x14ac:dyDescent="0.25">
      <c r="A76">
        <v>10</v>
      </c>
      <c r="B76" t="s">
        <v>33</v>
      </c>
      <c r="C76" t="s">
        <v>32</v>
      </c>
    </row>
    <row r="77" spans="1:3" x14ac:dyDescent="0.25">
      <c r="A77">
        <v>64</v>
      </c>
      <c r="B77" t="s">
        <v>57</v>
      </c>
      <c r="C77" t="s">
        <v>81</v>
      </c>
    </row>
    <row r="78" spans="1:3" x14ac:dyDescent="0.25">
      <c r="A78">
        <v>334</v>
      </c>
      <c r="B78" t="s">
        <v>44</v>
      </c>
      <c r="C78" t="s">
        <v>43</v>
      </c>
    </row>
    <row r="79" spans="1:3" x14ac:dyDescent="0.25">
      <c r="A79">
        <v>345</v>
      </c>
      <c r="B79" t="s">
        <v>48</v>
      </c>
      <c r="C79" t="s">
        <v>80</v>
      </c>
    </row>
    <row r="80" spans="1:3" x14ac:dyDescent="0.25">
      <c r="A80">
        <v>281</v>
      </c>
      <c r="B80" t="s">
        <v>60</v>
      </c>
      <c r="C80" t="s">
        <v>70</v>
      </c>
    </row>
    <row r="81" spans="1:3" x14ac:dyDescent="0.25">
      <c r="A81">
        <v>276</v>
      </c>
      <c r="B81" t="s">
        <v>57</v>
      </c>
      <c r="C81" t="s">
        <v>78</v>
      </c>
    </row>
    <row r="82" spans="1:3" x14ac:dyDescent="0.25">
      <c r="A82">
        <v>234</v>
      </c>
      <c r="B82" t="s">
        <v>60</v>
      </c>
      <c r="C82" t="s">
        <v>107</v>
      </c>
    </row>
    <row r="83" spans="1:3" x14ac:dyDescent="0.25">
      <c r="A83">
        <v>319</v>
      </c>
      <c r="B83" t="s">
        <v>46</v>
      </c>
      <c r="C83" t="s">
        <v>66</v>
      </c>
    </row>
    <row r="84" spans="1:3" x14ac:dyDescent="0.25">
      <c r="A84">
        <v>24</v>
      </c>
      <c r="B84" t="s">
        <v>46</v>
      </c>
      <c r="C84" t="s">
        <v>45</v>
      </c>
    </row>
    <row r="85" spans="1:3" x14ac:dyDescent="0.25">
      <c r="A85">
        <v>357</v>
      </c>
      <c r="B85" t="s">
        <v>108</v>
      </c>
      <c r="C85" t="s">
        <v>109</v>
      </c>
    </row>
    <row r="86" spans="1:3" x14ac:dyDescent="0.25">
      <c r="A86">
        <v>265</v>
      </c>
      <c r="B86" t="s">
        <v>108</v>
      </c>
      <c r="C86" t="s">
        <v>14</v>
      </c>
    </row>
    <row r="87" spans="1:3" x14ac:dyDescent="0.25">
      <c r="A87">
        <v>102</v>
      </c>
      <c r="B87" t="s">
        <v>69</v>
      </c>
      <c r="C87" t="s">
        <v>68</v>
      </c>
    </row>
    <row r="88" spans="1:3" x14ac:dyDescent="0.25">
      <c r="A88">
        <v>212</v>
      </c>
      <c r="B88" t="s">
        <v>72</v>
      </c>
      <c r="C88" t="s">
        <v>122</v>
      </c>
    </row>
    <row r="89" spans="1:3" x14ac:dyDescent="0.25">
      <c r="A89">
        <v>215</v>
      </c>
      <c r="B89" t="s">
        <v>33</v>
      </c>
      <c r="C89" t="s">
        <v>32</v>
      </c>
    </row>
    <row r="90" spans="1:3" x14ac:dyDescent="0.25">
      <c r="A90">
        <v>364</v>
      </c>
      <c r="B90" t="s">
        <v>29</v>
      </c>
      <c r="C90" t="s">
        <v>89</v>
      </c>
    </row>
    <row r="91" spans="1:3" x14ac:dyDescent="0.25">
      <c r="A91">
        <v>499</v>
      </c>
      <c r="B91" t="s">
        <v>69</v>
      </c>
      <c r="C91" t="s">
        <v>98</v>
      </c>
    </row>
    <row r="92" spans="1:3" x14ac:dyDescent="0.25">
      <c r="A92">
        <v>202</v>
      </c>
      <c r="B92" t="s">
        <v>31</v>
      </c>
      <c r="C92" t="s">
        <v>62</v>
      </c>
    </row>
    <row r="93" spans="1:3" x14ac:dyDescent="0.25">
      <c r="A93">
        <v>244</v>
      </c>
      <c r="B93" t="s">
        <v>108</v>
      </c>
      <c r="C93" t="s">
        <v>115</v>
      </c>
    </row>
    <row r="94" spans="1:3" x14ac:dyDescent="0.25">
      <c r="A94">
        <v>363</v>
      </c>
      <c r="B94" t="s">
        <v>37</v>
      </c>
      <c r="C94" t="s">
        <v>36</v>
      </c>
    </row>
    <row r="95" spans="1:3" x14ac:dyDescent="0.25">
      <c r="A95">
        <v>434</v>
      </c>
      <c r="B95" t="s">
        <v>50</v>
      </c>
      <c r="C95" t="s">
        <v>49</v>
      </c>
    </row>
    <row r="96" spans="1:3" x14ac:dyDescent="0.25">
      <c r="A96">
        <v>305</v>
      </c>
      <c r="B96" t="s">
        <v>69</v>
      </c>
      <c r="C96" t="s">
        <v>98</v>
      </c>
    </row>
    <row r="97" spans="1:3" x14ac:dyDescent="0.25">
      <c r="A97">
        <v>37</v>
      </c>
      <c r="B97" t="s">
        <v>76</v>
      </c>
      <c r="C97" t="s">
        <v>75</v>
      </c>
    </row>
    <row r="98" spans="1:3" x14ac:dyDescent="0.25">
      <c r="A98">
        <v>242</v>
      </c>
      <c r="B98" t="s">
        <v>31</v>
      </c>
      <c r="C98" t="s">
        <v>62</v>
      </c>
    </row>
    <row r="99" spans="1:3" x14ac:dyDescent="0.25">
      <c r="A99">
        <v>332</v>
      </c>
      <c r="B99" t="s">
        <v>60</v>
      </c>
      <c r="C99" t="s">
        <v>59</v>
      </c>
    </row>
    <row r="100" spans="1:3" x14ac:dyDescent="0.25">
      <c r="A100">
        <v>452</v>
      </c>
      <c r="B100" t="s">
        <v>35</v>
      </c>
      <c r="C100" t="s">
        <v>74</v>
      </c>
    </row>
    <row r="101" spans="1:3" x14ac:dyDescent="0.25">
      <c r="A101">
        <v>132</v>
      </c>
      <c r="B101" t="s">
        <v>55</v>
      </c>
      <c r="C101" t="s">
        <v>54</v>
      </c>
    </row>
    <row r="102" spans="1:3" x14ac:dyDescent="0.25">
      <c r="A102">
        <v>457</v>
      </c>
      <c r="B102" t="s">
        <v>33</v>
      </c>
      <c r="C102" t="s">
        <v>112</v>
      </c>
    </row>
    <row r="103" spans="1:3" x14ac:dyDescent="0.25">
      <c r="A103">
        <v>250</v>
      </c>
      <c r="B103" t="s">
        <v>35</v>
      </c>
      <c r="C103" t="s">
        <v>58</v>
      </c>
    </row>
    <row r="104" spans="1:3" x14ac:dyDescent="0.25">
      <c r="A104">
        <v>195</v>
      </c>
      <c r="B104" t="s">
        <v>37</v>
      </c>
      <c r="C104" t="s">
        <v>111</v>
      </c>
    </row>
    <row r="105" spans="1:3" x14ac:dyDescent="0.25">
      <c r="A105">
        <v>186</v>
      </c>
      <c r="B105" t="s">
        <v>50</v>
      </c>
      <c r="C105" t="s">
        <v>104</v>
      </c>
    </row>
    <row r="106" spans="1:3" x14ac:dyDescent="0.25">
      <c r="A106">
        <v>490</v>
      </c>
      <c r="B106" t="s">
        <v>50</v>
      </c>
      <c r="C106" t="s">
        <v>49</v>
      </c>
    </row>
    <row r="107" spans="1:3" x14ac:dyDescent="0.25">
      <c r="A107">
        <v>72</v>
      </c>
      <c r="B107" t="s">
        <v>48</v>
      </c>
      <c r="C107" t="s">
        <v>64</v>
      </c>
    </row>
    <row r="108" spans="1:3" x14ac:dyDescent="0.25">
      <c r="A108">
        <v>430</v>
      </c>
      <c r="B108" t="s">
        <v>60</v>
      </c>
      <c r="C108" t="s">
        <v>88</v>
      </c>
    </row>
    <row r="109" spans="1:3" x14ac:dyDescent="0.25">
      <c r="A109">
        <v>223</v>
      </c>
      <c r="B109" t="s">
        <v>60</v>
      </c>
      <c r="C109" t="s">
        <v>107</v>
      </c>
    </row>
    <row r="110" spans="1:3" x14ac:dyDescent="0.25">
      <c r="A110">
        <v>164</v>
      </c>
      <c r="B110" t="s">
        <v>44</v>
      </c>
      <c r="C110" t="s">
        <v>65</v>
      </c>
    </row>
    <row r="111" spans="1:3" x14ac:dyDescent="0.25">
      <c r="A111">
        <v>393</v>
      </c>
      <c r="B111" t="s">
        <v>55</v>
      </c>
      <c r="C111" t="s">
        <v>86</v>
      </c>
    </row>
    <row r="112" spans="1:3" x14ac:dyDescent="0.25">
      <c r="A112">
        <v>166</v>
      </c>
      <c r="B112" t="s">
        <v>33</v>
      </c>
      <c r="C112" t="s">
        <v>51</v>
      </c>
    </row>
    <row r="113" spans="1:3" x14ac:dyDescent="0.25">
      <c r="A113">
        <v>249</v>
      </c>
      <c r="B113" t="s">
        <v>60</v>
      </c>
      <c r="C113" t="s">
        <v>70</v>
      </c>
    </row>
    <row r="114" spans="1:3" x14ac:dyDescent="0.25">
      <c r="A114">
        <v>83</v>
      </c>
      <c r="B114" t="s">
        <v>33</v>
      </c>
      <c r="C114" t="s">
        <v>121</v>
      </c>
    </row>
    <row r="115" spans="1:3" x14ac:dyDescent="0.25">
      <c r="A115">
        <v>236</v>
      </c>
      <c r="B115" t="s">
        <v>69</v>
      </c>
      <c r="C115" t="s">
        <v>98</v>
      </c>
    </row>
    <row r="116" spans="1:3" x14ac:dyDescent="0.25">
      <c r="A116">
        <v>379</v>
      </c>
      <c r="B116" t="s">
        <v>46</v>
      </c>
      <c r="C116" t="s">
        <v>77</v>
      </c>
    </row>
    <row r="117" spans="1:3" x14ac:dyDescent="0.25">
      <c r="A117">
        <v>431</v>
      </c>
      <c r="B117" t="s">
        <v>31</v>
      </c>
      <c r="C117" t="s">
        <v>103</v>
      </c>
    </row>
    <row r="118" spans="1:3" x14ac:dyDescent="0.25">
      <c r="A118">
        <v>463</v>
      </c>
      <c r="B118" t="s">
        <v>53</v>
      </c>
      <c r="C118" t="s">
        <v>84</v>
      </c>
    </row>
    <row r="119" spans="1:3" x14ac:dyDescent="0.25">
      <c r="A119">
        <v>494</v>
      </c>
      <c r="B119" t="s">
        <v>50</v>
      </c>
      <c r="C119" t="s">
        <v>49</v>
      </c>
    </row>
    <row r="120" spans="1:3" x14ac:dyDescent="0.25">
      <c r="A120">
        <v>394</v>
      </c>
      <c r="B120" t="s">
        <v>53</v>
      </c>
      <c r="C120" t="s">
        <v>84</v>
      </c>
    </row>
    <row r="121" spans="1:3" x14ac:dyDescent="0.25">
      <c r="A121">
        <v>380</v>
      </c>
      <c r="B121" t="s">
        <v>48</v>
      </c>
      <c r="C121" t="s">
        <v>64</v>
      </c>
    </row>
    <row r="122" spans="1:3" x14ac:dyDescent="0.25">
      <c r="A122">
        <v>309</v>
      </c>
      <c r="B122" t="s">
        <v>48</v>
      </c>
      <c r="C122" t="s">
        <v>80</v>
      </c>
    </row>
    <row r="123" spans="1:3" x14ac:dyDescent="0.25">
      <c r="A123">
        <v>112</v>
      </c>
      <c r="B123" t="s">
        <v>44</v>
      </c>
      <c r="C123" t="s">
        <v>65</v>
      </c>
    </row>
    <row r="124" spans="1:3" x14ac:dyDescent="0.25">
      <c r="A124">
        <v>81</v>
      </c>
      <c r="B124" t="s">
        <v>60</v>
      </c>
      <c r="C124" t="s">
        <v>59</v>
      </c>
    </row>
    <row r="125" spans="1:3" x14ac:dyDescent="0.25">
      <c r="A125">
        <v>4</v>
      </c>
      <c r="B125" t="s">
        <v>90</v>
      </c>
      <c r="C125" t="s">
        <v>114</v>
      </c>
    </row>
    <row r="126" spans="1:3" x14ac:dyDescent="0.25">
      <c r="A126">
        <v>209</v>
      </c>
      <c r="B126" t="s">
        <v>37</v>
      </c>
      <c r="C126" t="s">
        <v>93</v>
      </c>
    </row>
    <row r="127" spans="1:3" x14ac:dyDescent="0.25">
      <c r="A127">
        <v>156</v>
      </c>
      <c r="B127" t="s">
        <v>35</v>
      </c>
      <c r="C127" t="s">
        <v>58</v>
      </c>
    </row>
    <row r="128" spans="1:3" x14ac:dyDescent="0.25">
      <c r="A128">
        <v>441</v>
      </c>
      <c r="B128" t="s">
        <v>60</v>
      </c>
      <c r="C128" t="s">
        <v>70</v>
      </c>
    </row>
    <row r="129" spans="1:3" x14ac:dyDescent="0.25">
      <c r="A129">
        <v>180</v>
      </c>
      <c r="B129" t="s">
        <v>72</v>
      </c>
      <c r="C129" t="s">
        <v>117</v>
      </c>
    </row>
    <row r="130" spans="1:3" x14ac:dyDescent="0.25">
      <c r="A130">
        <v>438</v>
      </c>
      <c r="B130" t="s">
        <v>53</v>
      </c>
      <c r="C130" t="s">
        <v>105</v>
      </c>
    </row>
    <row r="131" spans="1:3" x14ac:dyDescent="0.25">
      <c r="A131">
        <v>232</v>
      </c>
      <c r="B131" t="s">
        <v>44</v>
      </c>
      <c r="C131" t="s">
        <v>99</v>
      </c>
    </row>
    <row r="132" spans="1:3" x14ac:dyDescent="0.25">
      <c r="A132">
        <v>206</v>
      </c>
      <c r="B132" t="s">
        <v>44</v>
      </c>
      <c r="C132" t="s">
        <v>43</v>
      </c>
    </row>
    <row r="133" spans="1:3" x14ac:dyDescent="0.25">
      <c r="A133">
        <v>295</v>
      </c>
      <c r="B133" t="s">
        <v>69</v>
      </c>
      <c r="C133" t="s">
        <v>68</v>
      </c>
    </row>
    <row r="134" spans="1:3" x14ac:dyDescent="0.25">
      <c r="A134">
        <v>221</v>
      </c>
      <c r="B134" t="s">
        <v>72</v>
      </c>
      <c r="C134" t="s">
        <v>102</v>
      </c>
    </row>
    <row r="135" spans="1:3" x14ac:dyDescent="0.25">
      <c r="A135">
        <v>333</v>
      </c>
      <c r="B135" t="s">
        <v>55</v>
      </c>
      <c r="C135" t="s">
        <v>118</v>
      </c>
    </row>
    <row r="136" spans="1:3" x14ac:dyDescent="0.25">
      <c r="A136">
        <v>498</v>
      </c>
      <c r="B136" t="s">
        <v>44</v>
      </c>
      <c r="C136" t="s">
        <v>43</v>
      </c>
    </row>
    <row r="137" spans="1:3" x14ac:dyDescent="0.25">
      <c r="A137">
        <v>476</v>
      </c>
      <c r="B137" t="s">
        <v>55</v>
      </c>
      <c r="C137" t="s">
        <v>97</v>
      </c>
    </row>
    <row r="138" spans="1:3" x14ac:dyDescent="0.25">
      <c r="A138">
        <v>126</v>
      </c>
      <c r="B138" t="s">
        <v>29</v>
      </c>
      <c r="C138" t="s">
        <v>89</v>
      </c>
    </row>
    <row r="139" spans="1:3" x14ac:dyDescent="0.25">
      <c r="A139">
        <v>255</v>
      </c>
      <c r="B139" t="s">
        <v>53</v>
      </c>
      <c r="C139" t="s">
        <v>105</v>
      </c>
    </row>
    <row r="140" spans="1:3" x14ac:dyDescent="0.25">
      <c r="A140">
        <v>138</v>
      </c>
      <c r="B140" t="s">
        <v>50</v>
      </c>
      <c r="C140" t="s">
        <v>49</v>
      </c>
    </row>
    <row r="141" spans="1:3" x14ac:dyDescent="0.25">
      <c r="A141">
        <v>403</v>
      </c>
      <c r="B141" t="s">
        <v>60</v>
      </c>
      <c r="C141" t="s">
        <v>88</v>
      </c>
    </row>
    <row r="142" spans="1:3" x14ac:dyDescent="0.25">
      <c r="A142">
        <v>280</v>
      </c>
      <c r="B142" t="s">
        <v>50</v>
      </c>
      <c r="C142" t="s">
        <v>104</v>
      </c>
    </row>
    <row r="143" spans="1:3" x14ac:dyDescent="0.25">
      <c r="A143">
        <v>356</v>
      </c>
      <c r="B143" t="s">
        <v>69</v>
      </c>
      <c r="C143" t="s">
        <v>98</v>
      </c>
    </row>
    <row r="144" spans="1:3" x14ac:dyDescent="0.25">
      <c r="A144">
        <v>282</v>
      </c>
      <c r="B144" t="s">
        <v>90</v>
      </c>
      <c r="C144" t="s">
        <v>120</v>
      </c>
    </row>
    <row r="145" spans="1:3" x14ac:dyDescent="0.25">
      <c r="A145">
        <v>459</v>
      </c>
      <c r="B145" t="s">
        <v>42</v>
      </c>
      <c r="C145" t="s">
        <v>85</v>
      </c>
    </row>
    <row r="146" spans="1:3" x14ac:dyDescent="0.25">
      <c r="A146">
        <v>402</v>
      </c>
      <c r="B146" t="s">
        <v>37</v>
      </c>
      <c r="C146" t="s">
        <v>111</v>
      </c>
    </row>
    <row r="147" spans="1:3" x14ac:dyDescent="0.25">
      <c r="A147">
        <v>320</v>
      </c>
      <c r="B147" t="s">
        <v>48</v>
      </c>
      <c r="C147" t="s">
        <v>64</v>
      </c>
    </row>
    <row r="148" spans="1:3" x14ac:dyDescent="0.25">
      <c r="A148">
        <v>447</v>
      </c>
      <c r="B148" t="s">
        <v>46</v>
      </c>
      <c r="C148" t="s">
        <v>66</v>
      </c>
    </row>
    <row r="149" spans="1:3" x14ac:dyDescent="0.25">
      <c r="A149">
        <v>406</v>
      </c>
      <c r="B149" t="s">
        <v>33</v>
      </c>
      <c r="C149" t="s">
        <v>32</v>
      </c>
    </row>
    <row r="150" spans="1:3" x14ac:dyDescent="0.25">
      <c r="A150">
        <v>391</v>
      </c>
      <c r="B150" t="s">
        <v>55</v>
      </c>
      <c r="C150" t="s">
        <v>97</v>
      </c>
    </row>
    <row r="151" spans="1:3" x14ac:dyDescent="0.25">
      <c r="A151">
        <v>82</v>
      </c>
      <c r="B151" t="s">
        <v>50</v>
      </c>
      <c r="C151" t="s">
        <v>123</v>
      </c>
    </row>
    <row r="152" spans="1:3" x14ac:dyDescent="0.25">
      <c r="A152">
        <v>243</v>
      </c>
      <c r="B152" t="s">
        <v>90</v>
      </c>
      <c r="C152" t="s">
        <v>114</v>
      </c>
    </row>
    <row r="153" spans="1:3" x14ac:dyDescent="0.25">
      <c r="A153">
        <v>432</v>
      </c>
      <c r="B153" t="s">
        <v>40</v>
      </c>
      <c r="C153" t="s">
        <v>91</v>
      </c>
    </row>
    <row r="154" spans="1:3" x14ac:dyDescent="0.25">
      <c r="A154">
        <v>159</v>
      </c>
      <c r="B154" t="s">
        <v>42</v>
      </c>
      <c r="C154" t="s">
        <v>85</v>
      </c>
    </row>
    <row r="155" spans="1:3" x14ac:dyDescent="0.25">
      <c r="A155">
        <v>197</v>
      </c>
      <c r="B155" t="s">
        <v>69</v>
      </c>
      <c r="C155" t="s">
        <v>124</v>
      </c>
    </row>
    <row r="156" spans="1:3" x14ac:dyDescent="0.25">
      <c r="A156">
        <v>110</v>
      </c>
      <c r="B156" t="s">
        <v>40</v>
      </c>
      <c r="C156" t="s">
        <v>39</v>
      </c>
    </row>
    <row r="157" spans="1:3" x14ac:dyDescent="0.25">
      <c r="A157">
        <v>288</v>
      </c>
      <c r="B157" t="s">
        <v>50</v>
      </c>
      <c r="C157" t="s">
        <v>123</v>
      </c>
    </row>
    <row r="158" spans="1:3" x14ac:dyDescent="0.25">
      <c r="A158">
        <v>493</v>
      </c>
      <c r="B158" t="s">
        <v>31</v>
      </c>
      <c r="C158" t="s">
        <v>62</v>
      </c>
    </row>
    <row r="159" spans="1:3" x14ac:dyDescent="0.25">
      <c r="A159">
        <v>446</v>
      </c>
      <c r="B159" t="s">
        <v>72</v>
      </c>
      <c r="C159" t="s">
        <v>122</v>
      </c>
    </row>
    <row r="160" spans="1:3" x14ac:dyDescent="0.25">
      <c r="A160">
        <v>428</v>
      </c>
      <c r="B160" t="s">
        <v>48</v>
      </c>
      <c r="C160" t="s">
        <v>64</v>
      </c>
    </row>
    <row r="161" spans="1:3" x14ac:dyDescent="0.25">
      <c r="A161">
        <v>192</v>
      </c>
      <c r="B161" t="s">
        <v>108</v>
      </c>
      <c r="C161" t="s">
        <v>109</v>
      </c>
    </row>
    <row r="162" spans="1:3" x14ac:dyDescent="0.25">
      <c r="A162">
        <v>69</v>
      </c>
      <c r="B162" t="s">
        <v>72</v>
      </c>
      <c r="C162" t="s">
        <v>71</v>
      </c>
    </row>
    <row r="163" spans="1:3" x14ac:dyDescent="0.25">
      <c r="A163">
        <v>270</v>
      </c>
      <c r="B163" t="s">
        <v>76</v>
      </c>
      <c r="C163" t="s">
        <v>79</v>
      </c>
    </row>
    <row r="164" spans="1:3" x14ac:dyDescent="0.25">
      <c r="A164">
        <v>348</v>
      </c>
      <c r="B164" t="s">
        <v>72</v>
      </c>
      <c r="C164" t="s">
        <v>71</v>
      </c>
    </row>
    <row r="165" spans="1:3" x14ac:dyDescent="0.25">
      <c r="A165">
        <v>321</v>
      </c>
      <c r="B165" t="s">
        <v>108</v>
      </c>
      <c r="C165" t="s">
        <v>115</v>
      </c>
    </row>
    <row r="166" spans="1:3" x14ac:dyDescent="0.25">
      <c r="A166">
        <v>341</v>
      </c>
      <c r="B166" t="s">
        <v>40</v>
      </c>
      <c r="C166" t="s">
        <v>101</v>
      </c>
    </row>
    <row r="167" spans="1:3" x14ac:dyDescent="0.25">
      <c r="A167">
        <v>473</v>
      </c>
      <c r="B167" t="s">
        <v>37</v>
      </c>
      <c r="C167" t="s">
        <v>87</v>
      </c>
    </row>
    <row r="168" spans="1:3" x14ac:dyDescent="0.25">
      <c r="A168">
        <v>482</v>
      </c>
      <c r="B168" t="s">
        <v>42</v>
      </c>
      <c r="C168" t="s">
        <v>63</v>
      </c>
    </row>
    <row r="169" spans="1:3" x14ac:dyDescent="0.25">
      <c r="A169">
        <v>169</v>
      </c>
      <c r="B169" t="s">
        <v>35</v>
      </c>
      <c r="C169" t="s">
        <v>38</v>
      </c>
    </row>
    <row r="170" spans="1:3" x14ac:dyDescent="0.25">
      <c r="A170">
        <v>397</v>
      </c>
      <c r="B170" t="s">
        <v>46</v>
      </c>
      <c r="C170" t="s">
        <v>73</v>
      </c>
    </row>
    <row r="171" spans="1:3" x14ac:dyDescent="0.25">
      <c r="A171">
        <v>436</v>
      </c>
      <c r="B171" t="s">
        <v>31</v>
      </c>
      <c r="C171" t="s">
        <v>103</v>
      </c>
    </row>
    <row r="172" spans="1:3" x14ac:dyDescent="0.25">
      <c r="A172">
        <v>369</v>
      </c>
      <c r="B172" t="s">
        <v>44</v>
      </c>
      <c r="C172" t="s">
        <v>43</v>
      </c>
    </row>
    <row r="173" spans="1:3" x14ac:dyDescent="0.25">
      <c r="A173">
        <v>361</v>
      </c>
      <c r="B173" t="s">
        <v>108</v>
      </c>
      <c r="C173" t="s">
        <v>115</v>
      </c>
    </row>
    <row r="174" spans="1:3" x14ac:dyDescent="0.25">
      <c r="A174">
        <v>87</v>
      </c>
      <c r="B174" t="s">
        <v>53</v>
      </c>
      <c r="C174" t="s">
        <v>82</v>
      </c>
    </row>
    <row r="175" spans="1:3" x14ac:dyDescent="0.25">
      <c r="A175">
        <v>376</v>
      </c>
      <c r="B175" t="s">
        <v>48</v>
      </c>
      <c r="C175" t="s">
        <v>83</v>
      </c>
    </row>
    <row r="176" spans="1:3" x14ac:dyDescent="0.25">
      <c r="A176">
        <v>111</v>
      </c>
      <c r="B176" t="s">
        <v>29</v>
      </c>
      <c r="C176" t="s">
        <v>28</v>
      </c>
    </row>
    <row r="177" spans="1:3" x14ac:dyDescent="0.25">
      <c r="A177">
        <v>344</v>
      </c>
      <c r="B177" t="s">
        <v>33</v>
      </c>
      <c r="C177" t="s">
        <v>121</v>
      </c>
    </row>
    <row r="178" spans="1:3" x14ac:dyDescent="0.25">
      <c r="A178">
        <v>462</v>
      </c>
      <c r="B178" t="s">
        <v>90</v>
      </c>
      <c r="C178" t="s">
        <v>114</v>
      </c>
    </row>
    <row r="179" spans="1:3" x14ac:dyDescent="0.25">
      <c r="A179">
        <v>279</v>
      </c>
      <c r="B179" t="s">
        <v>42</v>
      </c>
      <c r="C179" t="s">
        <v>67</v>
      </c>
    </row>
    <row r="180" spans="1:3" x14ac:dyDescent="0.25">
      <c r="A180">
        <v>322</v>
      </c>
      <c r="B180" t="s">
        <v>42</v>
      </c>
      <c r="C180" t="s">
        <v>67</v>
      </c>
    </row>
    <row r="181" spans="1:3" x14ac:dyDescent="0.25">
      <c r="A181">
        <v>317</v>
      </c>
      <c r="B181" t="s">
        <v>33</v>
      </c>
      <c r="C181" t="s">
        <v>32</v>
      </c>
    </row>
    <row r="182" spans="1:3" x14ac:dyDescent="0.25">
      <c r="A182">
        <v>25</v>
      </c>
      <c r="B182" t="s">
        <v>72</v>
      </c>
      <c r="C182" t="s">
        <v>117</v>
      </c>
    </row>
    <row r="183" spans="1:3" x14ac:dyDescent="0.25">
      <c r="A183">
        <v>410</v>
      </c>
      <c r="B183" t="s">
        <v>72</v>
      </c>
      <c r="C183" t="s">
        <v>122</v>
      </c>
    </row>
    <row r="184" spans="1:3" x14ac:dyDescent="0.25">
      <c r="A184">
        <v>207</v>
      </c>
      <c r="B184" t="s">
        <v>29</v>
      </c>
      <c r="C184" t="s">
        <v>94</v>
      </c>
    </row>
    <row r="185" spans="1:3" x14ac:dyDescent="0.25">
      <c r="A185">
        <v>131</v>
      </c>
      <c r="B185" t="s">
        <v>33</v>
      </c>
      <c r="C185" t="s">
        <v>121</v>
      </c>
    </row>
    <row r="186" spans="1:3" x14ac:dyDescent="0.25">
      <c r="A186">
        <v>96</v>
      </c>
      <c r="B186" t="s">
        <v>76</v>
      </c>
      <c r="C186" t="s">
        <v>106</v>
      </c>
    </row>
    <row r="187" spans="1:3" x14ac:dyDescent="0.25">
      <c r="A187">
        <v>268</v>
      </c>
      <c r="B187" t="s">
        <v>90</v>
      </c>
      <c r="C187" t="s">
        <v>63</v>
      </c>
    </row>
    <row r="188" spans="1:3" x14ac:dyDescent="0.25">
      <c r="A188">
        <v>358</v>
      </c>
      <c r="B188" t="s">
        <v>48</v>
      </c>
      <c r="C188" t="s">
        <v>47</v>
      </c>
    </row>
    <row r="189" spans="1:3" x14ac:dyDescent="0.25">
      <c r="A189">
        <v>160</v>
      </c>
      <c r="B189" t="s">
        <v>42</v>
      </c>
      <c r="C189" t="s">
        <v>63</v>
      </c>
    </row>
    <row r="190" spans="1:3" x14ac:dyDescent="0.25">
      <c r="A190">
        <v>23</v>
      </c>
      <c r="B190" t="s">
        <v>55</v>
      </c>
      <c r="C190" t="s">
        <v>118</v>
      </c>
    </row>
    <row r="191" spans="1:3" x14ac:dyDescent="0.25">
      <c r="A191">
        <v>49</v>
      </c>
      <c r="B191" t="s">
        <v>90</v>
      </c>
      <c r="C191" t="s">
        <v>120</v>
      </c>
    </row>
    <row r="192" spans="1:3" x14ac:dyDescent="0.25">
      <c r="A192">
        <v>485</v>
      </c>
      <c r="B192" t="s">
        <v>40</v>
      </c>
      <c r="C192" t="s">
        <v>91</v>
      </c>
    </row>
    <row r="193" spans="1:3" x14ac:dyDescent="0.25">
      <c r="A193">
        <v>40</v>
      </c>
      <c r="B193" t="s">
        <v>57</v>
      </c>
      <c r="C193" t="s">
        <v>119</v>
      </c>
    </row>
    <row r="194" spans="1:3" x14ac:dyDescent="0.25">
      <c r="A194">
        <v>275</v>
      </c>
      <c r="B194" t="s">
        <v>50</v>
      </c>
      <c r="C194" t="s">
        <v>49</v>
      </c>
    </row>
    <row r="195" spans="1:3" x14ac:dyDescent="0.25">
      <c r="A195">
        <v>205</v>
      </c>
      <c r="B195" t="s">
        <v>40</v>
      </c>
      <c r="C195" t="s">
        <v>91</v>
      </c>
    </row>
    <row r="196" spans="1:3" x14ac:dyDescent="0.25">
      <c r="A196">
        <v>219</v>
      </c>
      <c r="B196" t="s">
        <v>46</v>
      </c>
      <c r="C196" t="s">
        <v>45</v>
      </c>
    </row>
    <row r="197" spans="1:3" x14ac:dyDescent="0.25">
      <c r="A197">
        <v>435</v>
      </c>
      <c r="B197" t="s">
        <v>108</v>
      </c>
      <c r="C197" t="s">
        <v>109</v>
      </c>
    </row>
    <row r="198" spans="1:3" x14ac:dyDescent="0.25">
      <c r="A198">
        <v>26</v>
      </c>
      <c r="B198" t="s">
        <v>108</v>
      </c>
      <c r="C198" t="s">
        <v>115</v>
      </c>
    </row>
    <row r="199" spans="1:3" x14ac:dyDescent="0.25">
      <c r="A199">
        <v>273</v>
      </c>
      <c r="B199" t="s">
        <v>48</v>
      </c>
      <c r="C199" t="s">
        <v>83</v>
      </c>
    </row>
    <row r="200" spans="1:3" x14ac:dyDescent="0.25">
      <c r="A200">
        <v>340</v>
      </c>
      <c r="B200" t="s">
        <v>50</v>
      </c>
      <c r="C200" t="s">
        <v>92</v>
      </c>
    </row>
    <row r="201" spans="1:3" x14ac:dyDescent="0.25">
      <c r="A201">
        <v>34</v>
      </c>
      <c r="B201" t="s">
        <v>42</v>
      </c>
      <c r="C201" t="s">
        <v>41</v>
      </c>
    </row>
    <row r="202" spans="1:3" x14ac:dyDescent="0.25">
      <c r="A202">
        <v>117</v>
      </c>
      <c r="B202" t="s">
        <v>40</v>
      </c>
      <c r="C202" t="s">
        <v>116</v>
      </c>
    </row>
    <row r="203" spans="1:3" x14ac:dyDescent="0.25">
      <c r="A203">
        <v>201</v>
      </c>
      <c r="B203" t="s">
        <v>69</v>
      </c>
      <c r="C203" t="s">
        <v>68</v>
      </c>
    </row>
    <row r="204" spans="1:3" x14ac:dyDescent="0.25">
      <c r="A204">
        <v>377</v>
      </c>
      <c r="B204" t="s">
        <v>57</v>
      </c>
      <c r="C204" t="s">
        <v>81</v>
      </c>
    </row>
    <row r="205" spans="1:3" x14ac:dyDescent="0.25">
      <c r="A205">
        <v>251</v>
      </c>
      <c r="B205" t="s">
        <v>31</v>
      </c>
      <c r="C205" t="s">
        <v>103</v>
      </c>
    </row>
    <row r="206" spans="1:3" x14ac:dyDescent="0.25">
      <c r="A206">
        <v>409</v>
      </c>
      <c r="B206" t="s">
        <v>35</v>
      </c>
      <c r="C206" t="s">
        <v>38</v>
      </c>
    </row>
    <row r="207" spans="1:3" x14ac:dyDescent="0.25">
      <c r="A207">
        <v>422</v>
      </c>
      <c r="B207" t="s">
        <v>53</v>
      </c>
      <c r="C207" t="s">
        <v>105</v>
      </c>
    </row>
    <row r="208" spans="1:3" x14ac:dyDescent="0.25">
      <c r="A208">
        <v>222</v>
      </c>
      <c r="B208" t="s">
        <v>44</v>
      </c>
      <c r="C208" t="s">
        <v>99</v>
      </c>
    </row>
    <row r="209" spans="1:3" x14ac:dyDescent="0.25">
      <c r="A209">
        <v>497</v>
      </c>
      <c r="B209" t="s">
        <v>48</v>
      </c>
      <c r="C209" t="s">
        <v>64</v>
      </c>
    </row>
    <row r="210" spans="1:3" x14ac:dyDescent="0.25">
      <c r="A210">
        <v>351</v>
      </c>
      <c r="B210" t="s">
        <v>72</v>
      </c>
      <c r="C210" t="s">
        <v>117</v>
      </c>
    </row>
    <row r="211" spans="1:3" x14ac:dyDescent="0.25">
      <c r="A211">
        <v>464</v>
      </c>
      <c r="B211" t="s">
        <v>50</v>
      </c>
      <c r="C211" t="s">
        <v>49</v>
      </c>
    </row>
    <row r="212" spans="1:3" x14ac:dyDescent="0.25">
      <c r="A212">
        <v>241</v>
      </c>
      <c r="B212" t="s">
        <v>57</v>
      </c>
      <c r="C212" t="s">
        <v>81</v>
      </c>
    </row>
    <row r="213" spans="1:3" x14ac:dyDescent="0.25">
      <c r="A213">
        <v>258</v>
      </c>
      <c r="B213" t="s">
        <v>55</v>
      </c>
      <c r="C213" t="s">
        <v>118</v>
      </c>
    </row>
    <row r="214" spans="1:3" x14ac:dyDescent="0.25">
      <c r="A214">
        <v>216</v>
      </c>
      <c r="B214" t="s">
        <v>53</v>
      </c>
      <c r="C214" t="s">
        <v>84</v>
      </c>
    </row>
    <row r="215" spans="1:3" x14ac:dyDescent="0.25">
      <c r="A215">
        <v>272</v>
      </c>
      <c r="B215" t="s">
        <v>42</v>
      </c>
      <c r="C215" t="s">
        <v>41</v>
      </c>
    </row>
    <row r="216" spans="1:3" x14ac:dyDescent="0.25">
      <c r="A216">
        <v>225</v>
      </c>
      <c r="B216" t="s">
        <v>76</v>
      </c>
      <c r="C216" t="s">
        <v>75</v>
      </c>
    </row>
    <row r="217" spans="1:3" x14ac:dyDescent="0.25">
      <c r="A217">
        <v>467</v>
      </c>
      <c r="B217" t="s">
        <v>40</v>
      </c>
      <c r="C217" t="s">
        <v>91</v>
      </c>
    </row>
    <row r="218" spans="1:3" x14ac:dyDescent="0.25">
      <c r="A218">
        <v>139</v>
      </c>
      <c r="B218" t="s">
        <v>46</v>
      </c>
      <c r="C218" t="s">
        <v>73</v>
      </c>
    </row>
    <row r="219" spans="1:3" x14ac:dyDescent="0.25">
      <c r="A219">
        <v>404</v>
      </c>
      <c r="B219" t="s">
        <v>46</v>
      </c>
      <c r="C219" t="s">
        <v>73</v>
      </c>
    </row>
    <row r="220" spans="1:3" x14ac:dyDescent="0.25">
      <c r="A220">
        <v>328</v>
      </c>
      <c r="B220" t="s">
        <v>72</v>
      </c>
      <c r="C220" t="s">
        <v>117</v>
      </c>
    </row>
    <row r="221" spans="1:3" x14ac:dyDescent="0.25">
      <c r="A221">
        <v>424</v>
      </c>
      <c r="B221" t="s">
        <v>69</v>
      </c>
      <c r="C221" t="s">
        <v>100</v>
      </c>
    </row>
    <row r="222" spans="1:3" x14ac:dyDescent="0.25">
      <c r="A222">
        <v>86</v>
      </c>
      <c r="B222" t="s">
        <v>29</v>
      </c>
      <c r="C222" t="s">
        <v>89</v>
      </c>
    </row>
    <row r="223" spans="1:3" x14ac:dyDescent="0.25">
      <c r="A223">
        <v>17</v>
      </c>
      <c r="B223" t="s">
        <v>53</v>
      </c>
      <c r="C223" t="s">
        <v>82</v>
      </c>
    </row>
    <row r="224" spans="1:3" x14ac:dyDescent="0.25">
      <c r="A224">
        <v>43</v>
      </c>
      <c r="B224" t="s">
        <v>69</v>
      </c>
      <c r="C224" t="s">
        <v>100</v>
      </c>
    </row>
    <row r="225" spans="1:3" x14ac:dyDescent="0.25">
      <c r="A225">
        <v>5</v>
      </c>
      <c r="B225" t="s">
        <v>40</v>
      </c>
      <c r="C225" t="s">
        <v>116</v>
      </c>
    </row>
    <row r="226" spans="1:3" x14ac:dyDescent="0.25">
      <c r="A226">
        <v>298</v>
      </c>
      <c r="B226" t="s">
        <v>42</v>
      </c>
      <c r="C226" t="s">
        <v>67</v>
      </c>
    </row>
    <row r="227" spans="1:3" x14ac:dyDescent="0.25">
      <c r="A227">
        <v>421</v>
      </c>
      <c r="B227" t="s">
        <v>60</v>
      </c>
      <c r="C227" t="s">
        <v>107</v>
      </c>
    </row>
    <row r="228" spans="1:3" x14ac:dyDescent="0.25">
      <c r="A228">
        <v>483</v>
      </c>
      <c r="B228" t="s">
        <v>57</v>
      </c>
      <c r="C228" t="s">
        <v>78</v>
      </c>
    </row>
    <row r="229" spans="1:3" x14ac:dyDescent="0.25">
      <c r="A229">
        <v>414</v>
      </c>
      <c r="B229" t="s">
        <v>35</v>
      </c>
      <c r="C229" t="s">
        <v>74</v>
      </c>
    </row>
    <row r="230" spans="1:3" x14ac:dyDescent="0.25">
      <c r="A230">
        <v>389</v>
      </c>
      <c r="B230" t="s">
        <v>60</v>
      </c>
      <c r="C230" t="s">
        <v>88</v>
      </c>
    </row>
    <row r="231" spans="1:3" x14ac:dyDescent="0.25">
      <c r="A231">
        <v>367</v>
      </c>
      <c r="B231" t="s">
        <v>57</v>
      </c>
      <c r="C231" t="s">
        <v>81</v>
      </c>
    </row>
    <row r="232" spans="1:3" x14ac:dyDescent="0.25">
      <c r="A232">
        <v>128</v>
      </c>
      <c r="B232" t="s">
        <v>108</v>
      </c>
      <c r="C232" t="s">
        <v>14</v>
      </c>
    </row>
    <row r="233" spans="1:3" x14ac:dyDescent="0.25">
      <c r="A233">
        <v>368</v>
      </c>
      <c r="B233" t="s">
        <v>50</v>
      </c>
      <c r="C233" t="s">
        <v>49</v>
      </c>
    </row>
    <row r="234" spans="1:3" x14ac:dyDescent="0.25">
      <c r="A234">
        <v>74</v>
      </c>
      <c r="B234" t="s">
        <v>57</v>
      </c>
      <c r="C234" t="s">
        <v>56</v>
      </c>
    </row>
    <row r="235" spans="1:3" x14ac:dyDescent="0.25">
      <c r="A235">
        <v>149</v>
      </c>
      <c r="B235" t="s">
        <v>48</v>
      </c>
      <c r="C235" t="s">
        <v>64</v>
      </c>
    </row>
    <row r="236" spans="1:3" x14ac:dyDescent="0.25">
      <c r="A236">
        <v>229</v>
      </c>
      <c r="B236" t="s">
        <v>108</v>
      </c>
      <c r="C236" t="s">
        <v>115</v>
      </c>
    </row>
    <row r="237" spans="1:3" x14ac:dyDescent="0.25">
      <c r="A237">
        <v>28</v>
      </c>
      <c r="B237" t="s">
        <v>42</v>
      </c>
      <c r="C237" t="s">
        <v>85</v>
      </c>
    </row>
    <row r="238" spans="1:3" x14ac:dyDescent="0.25">
      <c r="A238">
        <v>260</v>
      </c>
      <c r="B238" t="s">
        <v>76</v>
      </c>
      <c r="C238" t="s">
        <v>96</v>
      </c>
    </row>
    <row r="239" spans="1:3" x14ac:dyDescent="0.25">
      <c r="A239">
        <v>140</v>
      </c>
      <c r="B239" t="s">
        <v>90</v>
      </c>
      <c r="C239" t="s">
        <v>114</v>
      </c>
    </row>
    <row r="240" spans="1:3" x14ac:dyDescent="0.25">
      <c r="A240">
        <v>67</v>
      </c>
      <c r="B240" t="s">
        <v>46</v>
      </c>
      <c r="C240" t="s">
        <v>45</v>
      </c>
    </row>
    <row r="241" spans="1:3" x14ac:dyDescent="0.25">
      <c r="A241">
        <v>448</v>
      </c>
      <c r="B241" t="s">
        <v>46</v>
      </c>
      <c r="C241" t="s">
        <v>73</v>
      </c>
    </row>
    <row r="242" spans="1:3" x14ac:dyDescent="0.25">
      <c r="A242">
        <v>331</v>
      </c>
      <c r="B242" t="s">
        <v>76</v>
      </c>
      <c r="C242" t="s">
        <v>106</v>
      </c>
    </row>
    <row r="243" spans="1:3" x14ac:dyDescent="0.25">
      <c r="A243">
        <v>325</v>
      </c>
      <c r="B243" t="s">
        <v>33</v>
      </c>
      <c r="C243" t="s">
        <v>51</v>
      </c>
    </row>
    <row r="244" spans="1:3" x14ac:dyDescent="0.25">
      <c r="A244">
        <v>346</v>
      </c>
      <c r="B244" t="s">
        <v>60</v>
      </c>
      <c r="C244" t="s">
        <v>107</v>
      </c>
    </row>
    <row r="245" spans="1:3" x14ac:dyDescent="0.25">
      <c r="A245">
        <v>115</v>
      </c>
      <c r="B245" t="s">
        <v>50</v>
      </c>
      <c r="C245" t="s">
        <v>104</v>
      </c>
    </row>
    <row r="246" spans="1:3" x14ac:dyDescent="0.25">
      <c r="A246">
        <v>360</v>
      </c>
      <c r="B246" t="s">
        <v>76</v>
      </c>
      <c r="C246" t="s">
        <v>79</v>
      </c>
    </row>
    <row r="247" spans="1:3" x14ac:dyDescent="0.25">
      <c r="A247">
        <v>230</v>
      </c>
      <c r="B247" t="s">
        <v>33</v>
      </c>
      <c r="C247" t="s">
        <v>32</v>
      </c>
    </row>
    <row r="248" spans="1:3" x14ac:dyDescent="0.25">
      <c r="A248">
        <v>353</v>
      </c>
      <c r="B248" t="s">
        <v>40</v>
      </c>
      <c r="C248" t="s">
        <v>39</v>
      </c>
    </row>
    <row r="249" spans="1:3" x14ac:dyDescent="0.25">
      <c r="A249">
        <v>188</v>
      </c>
      <c r="B249" t="s">
        <v>44</v>
      </c>
      <c r="C249" t="s">
        <v>113</v>
      </c>
    </row>
    <row r="250" spans="1:3" x14ac:dyDescent="0.25">
      <c r="A250">
        <v>405</v>
      </c>
      <c r="B250" t="s">
        <v>37</v>
      </c>
      <c r="C250" t="s">
        <v>111</v>
      </c>
    </row>
    <row r="251" spans="1:3" x14ac:dyDescent="0.25">
      <c r="A251">
        <v>99</v>
      </c>
      <c r="B251" t="s">
        <v>31</v>
      </c>
      <c r="C251" t="s">
        <v>30</v>
      </c>
    </row>
    <row r="252" spans="1:3" x14ac:dyDescent="0.25">
      <c r="A252">
        <v>196</v>
      </c>
      <c r="B252" t="s">
        <v>48</v>
      </c>
      <c r="C252" t="s">
        <v>80</v>
      </c>
    </row>
    <row r="253" spans="1:3" x14ac:dyDescent="0.25">
      <c r="A253">
        <v>271</v>
      </c>
      <c r="B253" t="s">
        <v>50</v>
      </c>
      <c r="C253" t="s">
        <v>49</v>
      </c>
    </row>
    <row r="254" spans="1:3" x14ac:dyDescent="0.25">
      <c r="A254">
        <v>210</v>
      </c>
      <c r="B254" t="s">
        <v>57</v>
      </c>
      <c r="C254" t="s">
        <v>81</v>
      </c>
    </row>
    <row r="255" spans="1:3" x14ac:dyDescent="0.25">
      <c r="A255">
        <v>178</v>
      </c>
      <c r="B255" t="s">
        <v>46</v>
      </c>
      <c r="C255" t="s">
        <v>73</v>
      </c>
    </row>
    <row r="256" spans="1:3" x14ac:dyDescent="0.25">
      <c r="A256">
        <v>423</v>
      </c>
      <c r="B256" t="s">
        <v>72</v>
      </c>
      <c r="C256" t="s">
        <v>102</v>
      </c>
    </row>
    <row r="257" spans="1:3" x14ac:dyDescent="0.25">
      <c r="A257">
        <v>70</v>
      </c>
      <c r="B257" t="s">
        <v>90</v>
      </c>
      <c r="C257" t="s">
        <v>63</v>
      </c>
    </row>
    <row r="258" spans="1:3" x14ac:dyDescent="0.25">
      <c r="A258">
        <v>335</v>
      </c>
      <c r="B258" t="s">
        <v>37</v>
      </c>
      <c r="C258" t="s">
        <v>111</v>
      </c>
    </row>
    <row r="259" spans="1:3" x14ac:dyDescent="0.25">
      <c r="A259">
        <v>427</v>
      </c>
      <c r="B259" t="s">
        <v>37</v>
      </c>
      <c r="C259" t="s">
        <v>93</v>
      </c>
    </row>
    <row r="260" spans="1:3" x14ac:dyDescent="0.25">
      <c r="A260">
        <v>303</v>
      </c>
      <c r="B260" t="s">
        <v>35</v>
      </c>
      <c r="C260" t="s">
        <v>38</v>
      </c>
    </row>
    <row r="261" spans="1:3" x14ac:dyDescent="0.25">
      <c r="A261">
        <v>398</v>
      </c>
      <c r="B261" t="s">
        <v>33</v>
      </c>
      <c r="C261" t="s">
        <v>32</v>
      </c>
    </row>
    <row r="262" spans="1:3" x14ac:dyDescent="0.25">
      <c r="A262">
        <v>290</v>
      </c>
      <c r="B262" t="s">
        <v>29</v>
      </c>
      <c r="C262" t="s">
        <v>61</v>
      </c>
    </row>
    <row r="263" spans="1:3" x14ac:dyDescent="0.25">
      <c r="A263">
        <v>386</v>
      </c>
      <c r="B263" t="s">
        <v>42</v>
      </c>
      <c r="C263" t="s">
        <v>67</v>
      </c>
    </row>
    <row r="264" spans="1:3" x14ac:dyDescent="0.25">
      <c r="A264">
        <v>350</v>
      </c>
      <c r="B264" t="s">
        <v>35</v>
      </c>
      <c r="C264" t="s">
        <v>58</v>
      </c>
    </row>
    <row r="265" spans="1:3" x14ac:dyDescent="0.25">
      <c r="A265">
        <v>329</v>
      </c>
      <c r="B265" t="s">
        <v>76</v>
      </c>
      <c r="C265" t="s">
        <v>79</v>
      </c>
    </row>
    <row r="266" spans="1:3" x14ac:dyDescent="0.25">
      <c r="A266">
        <v>233</v>
      </c>
      <c r="B266" t="s">
        <v>46</v>
      </c>
      <c r="C266" t="s">
        <v>73</v>
      </c>
    </row>
    <row r="267" spans="1:3" x14ac:dyDescent="0.25">
      <c r="A267">
        <v>293</v>
      </c>
      <c r="B267" t="s">
        <v>48</v>
      </c>
      <c r="C267" t="s">
        <v>64</v>
      </c>
    </row>
    <row r="268" spans="1:3" x14ac:dyDescent="0.25">
      <c r="A268">
        <v>286</v>
      </c>
      <c r="B268" t="s">
        <v>46</v>
      </c>
      <c r="C268" t="s">
        <v>73</v>
      </c>
    </row>
    <row r="269" spans="1:3" x14ac:dyDescent="0.25">
      <c r="A269">
        <v>11</v>
      </c>
      <c r="B269" t="s">
        <v>37</v>
      </c>
      <c r="C269" t="s">
        <v>93</v>
      </c>
    </row>
    <row r="270" spans="1:3" x14ac:dyDescent="0.25">
      <c r="A270">
        <v>142</v>
      </c>
      <c r="B270" t="s">
        <v>35</v>
      </c>
      <c r="C270" t="s">
        <v>38</v>
      </c>
    </row>
    <row r="271" spans="1:3" x14ac:dyDescent="0.25">
      <c r="A271">
        <v>466</v>
      </c>
      <c r="B271" t="s">
        <v>35</v>
      </c>
      <c r="C271" t="s">
        <v>34</v>
      </c>
    </row>
    <row r="272" spans="1:3" x14ac:dyDescent="0.25">
      <c r="A272">
        <v>71</v>
      </c>
      <c r="B272" t="s">
        <v>69</v>
      </c>
      <c r="C272" t="s">
        <v>68</v>
      </c>
    </row>
    <row r="273" spans="1:3" x14ac:dyDescent="0.25">
      <c r="A273">
        <v>480</v>
      </c>
      <c r="B273" t="s">
        <v>44</v>
      </c>
      <c r="C273" t="s">
        <v>65</v>
      </c>
    </row>
    <row r="274" spans="1:3" x14ac:dyDescent="0.25">
      <c r="A274">
        <v>129</v>
      </c>
      <c r="B274" t="s">
        <v>108</v>
      </c>
      <c r="C274" t="s">
        <v>110</v>
      </c>
    </row>
    <row r="275" spans="1:3" x14ac:dyDescent="0.25">
      <c r="A275">
        <v>283</v>
      </c>
      <c r="B275" t="s">
        <v>48</v>
      </c>
      <c r="C275" t="s">
        <v>80</v>
      </c>
    </row>
    <row r="276" spans="1:3" x14ac:dyDescent="0.25">
      <c r="A276">
        <v>313</v>
      </c>
      <c r="B276" t="s">
        <v>48</v>
      </c>
      <c r="C276" t="s">
        <v>64</v>
      </c>
    </row>
    <row r="277" spans="1:3" x14ac:dyDescent="0.25">
      <c r="A277">
        <v>18</v>
      </c>
      <c r="B277" t="s">
        <v>55</v>
      </c>
      <c r="C277" t="s">
        <v>54</v>
      </c>
    </row>
    <row r="278" spans="1:3" x14ac:dyDescent="0.25">
      <c r="A278">
        <v>145</v>
      </c>
      <c r="B278" t="s">
        <v>31</v>
      </c>
      <c r="C278" t="s">
        <v>30</v>
      </c>
    </row>
    <row r="279" spans="1:3" x14ac:dyDescent="0.25">
      <c r="A279">
        <v>491</v>
      </c>
      <c r="B279" t="s">
        <v>31</v>
      </c>
      <c r="C279" t="s">
        <v>95</v>
      </c>
    </row>
    <row r="280" spans="1:3" x14ac:dyDescent="0.25">
      <c r="A280">
        <v>29</v>
      </c>
      <c r="B280" t="s">
        <v>76</v>
      </c>
      <c r="C280" t="s">
        <v>75</v>
      </c>
    </row>
    <row r="281" spans="1:3" x14ac:dyDescent="0.25">
      <c r="A281">
        <v>50</v>
      </c>
      <c r="B281" t="s">
        <v>33</v>
      </c>
      <c r="C281" t="s">
        <v>51</v>
      </c>
    </row>
    <row r="282" spans="1:3" x14ac:dyDescent="0.25">
      <c r="A282">
        <v>336</v>
      </c>
      <c r="B282" t="s">
        <v>72</v>
      </c>
      <c r="C282" t="s">
        <v>71</v>
      </c>
    </row>
    <row r="283" spans="1:3" x14ac:dyDescent="0.25">
      <c r="A283">
        <v>440</v>
      </c>
      <c r="B283" t="s">
        <v>35</v>
      </c>
      <c r="C283" t="s">
        <v>38</v>
      </c>
    </row>
    <row r="284" spans="1:3" x14ac:dyDescent="0.25">
      <c r="A284">
        <v>51</v>
      </c>
      <c r="B284" t="s">
        <v>57</v>
      </c>
      <c r="C284" t="s">
        <v>78</v>
      </c>
    </row>
    <row r="285" spans="1:3" x14ac:dyDescent="0.25">
      <c r="A285">
        <v>371</v>
      </c>
      <c r="B285" t="s">
        <v>29</v>
      </c>
      <c r="C285" t="s">
        <v>89</v>
      </c>
    </row>
    <row r="286" spans="1:3" x14ac:dyDescent="0.25">
      <c r="A286">
        <v>14</v>
      </c>
      <c r="B286" t="s">
        <v>33</v>
      </c>
      <c r="C286" t="s">
        <v>112</v>
      </c>
    </row>
    <row r="287" spans="1:3" x14ac:dyDescent="0.25">
      <c r="A287">
        <v>312</v>
      </c>
      <c r="B287" t="s">
        <v>37</v>
      </c>
      <c r="C287" t="s">
        <v>111</v>
      </c>
    </row>
    <row r="288" spans="1:3" x14ac:dyDescent="0.25">
      <c r="A288">
        <v>477</v>
      </c>
      <c r="B288" t="s">
        <v>40</v>
      </c>
      <c r="C288" t="s">
        <v>91</v>
      </c>
    </row>
    <row r="289" spans="1:3" x14ac:dyDescent="0.25">
      <c r="A289">
        <v>91</v>
      </c>
      <c r="B289" t="s">
        <v>50</v>
      </c>
      <c r="C289" t="s">
        <v>49</v>
      </c>
    </row>
    <row r="290" spans="1:3" x14ac:dyDescent="0.25">
      <c r="A290">
        <v>52</v>
      </c>
      <c r="B290" t="s">
        <v>76</v>
      </c>
      <c r="C290" t="s">
        <v>75</v>
      </c>
    </row>
    <row r="291" spans="1:3" x14ac:dyDescent="0.25">
      <c r="A291">
        <v>383</v>
      </c>
      <c r="B291" t="s">
        <v>35</v>
      </c>
      <c r="C291" t="s">
        <v>38</v>
      </c>
    </row>
    <row r="292" spans="1:3" x14ac:dyDescent="0.25">
      <c r="A292">
        <v>252</v>
      </c>
      <c r="B292" t="s">
        <v>60</v>
      </c>
      <c r="C292" t="s">
        <v>70</v>
      </c>
    </row>
    <row r="293" spans="1:3" x14ac:dyDescent="0.25">
      <c r="A293">
        <v>365</v>
      </c>
      <c r="B293" t="s">
        <v>108</v>
      </c>
      <c r="C293" t="s">
        <v>110</v>
      </c>
    </row>
    <row r="294" spans="1:3" x14ac:dyDescent="0.25">
      <c r="A294">
        <v>420</v>
      </c>
      <c r="B294" t="s">
        <v>37</v>
      </c>
      <c r="C294" t="s">
        <v>87</v>
      </c>
    </row>
    <row r="295" spans="1:3" x14ac:dyDescent="0.25">
      <c r="A295">
        <v>97</v>
      </c>
      <c r="B295" t="s">
        <v>69</v>
      </c>
      <c r="C295" t="s">
        <v>100</v>
      </c>
    </row>
    <row r="296" spans="1:3" x14ac:dyDescent="0.25">
      <c r="A296">
        <v>47</v>
      </c>
      <c r="B296" t="s">
        <v>108</v>
      </c>
      <c r="C296" t="s">
        <v>109</v>
      </c>
    </row>
    <row r="297" spans="1:3" x14ac:dyDescent="0.25">
      <c r="A297">
        <v>187</v>
      </c>
      <c r="B297" t="s">
        <v>40</v>
      </c>
      <c r="C297" t="s">
        <v>39</v>
      </c>
    </row>
    <row r="298" spans="1:3" x14ac:dyDescent="0.25">
      <c r="A298">
        <v>429</v>
      </c>
      <c r="B298" t="s">
        <v>42</v>
      </c>
      <c r="C298" t="s">
        <v>67</v>
      </c>
    </row>
    <row r="299" spans="1:3" x14ac:dyDescent="0.25">
      <c r="A299">
        <v>93</v>
      </c>
      <c r="B299" t="s">
        <v>60</v>
      </c>
      <c r="C299" t="s">
        <v>107</v>
      </c>
    </row>
    <row r="300" spans="1:3" x14ac:dyDescent="0.25">
      <c r="A300">
        <v>198</v>
      </c>
      <c r="B300" t="s">
        <v>108</v>
      </c>
      <c r="C300" t="s">
        <v>14</v>
      </c>
    </row>
    <row r="301" spans="1:3" x14ac:dyDescent="0.25">
      <c r="A301">
        <v>362</v>
      </c>
      <c r="B301" t="s">
        <v>37</v>
      </c>
      <c r="C301" t="s">
        <v>93</v>
      </c>
    </row>
    <row r="302" spans="1:3" x14ac:dyDescent="0.25">
      <c r="A302">
        <v>461</v>
      </c>
      <c r="B302" t="s">
        <v>35</v>
      </c>
      <c r="C302" t="s">
        <v>34</v>
      </c>
    </row>
    <row r="303" spans="1:3" x14ac:dyDescent="0.25">
      <c r="A303">
        <v>84</v>
      </c>
      <c r="B303" t="s">
        <v>53</v>
      </c>
      <c r="C303" t="s">
        <v>52</v>
      </c>
    </row>
    <row r="304" spans="1:3" x14ac:dyDescent="0.25">
      <c r="A304">
        <v>172</v>
      </c>
      <c r="B304" t="s">
        <v>35</v>
      </c>
      <c r="C304" t="s">
        <v>34</v>
      </c>
    </row>
    <row r="305" spans="1:3" x14ac:dyDescent="0.25">
      <c r="A305">
        <v>171</v>
      </c>
      <c r="B305" t="s">
        <v>60</v>
      </c>
      <c r="C305" t="s">
        <v>107</v>
      </c>
    </row>
    <row r="306" spans="1:3" x14ac:dyDescent="0.25">
      <c r="A306">
        <v>194</v>
      </c>
      <c r="B306" t="s">
        <v>76</v>
      </c>
      <c r="C306" t="s">
        <v>106</v>
      </c>
    </row>
    <row r="307" spans="1:3" x14ac:dyDescent="0.25">
      <c r="A307">
        <v>235</v>
      </c>
      <c r="B307" t="s">
        <v>37</v>
      </c>
      <c r="C307" t="s">
        <v>93</v>
      </c>
    </row>
    <row r="308" spans="1:3" x14ac:dyDescent="0.25">
      <c r="A308">
        <v>458</v>
      </c>
      <c r="B308" t="s">
        <v>40</v>
      </c>
      <c r="C308" t="s">
        <v>91</v>
      </c>
    </row>
    <row r="309" spans="1:3" x14ac:dyDescent="0.25">
      <c r="A309">
        <v>193</v>
      </c>
      <c r="B309" t="s">
        <v>76</v>
      </c>
      <c r="C309" t="s">
        <v>106</v>
      </c>
    </row>
    <row r="310" spans="1:3" x14ac:dyDescent="0.25">
      <c r="A310">
        <v>450</v>
      </c>
      <c r="B310" t="s">
        <v>37</v>
      </c>
      <c r="C310" t="s">
        <v>87</v>
      </c>
    </row>
    <row r="311" spans="1:3" x14ac:dyDescent="0.25">
      <c r="A311">
        <v>163</v>
      </c>
      <c r="B311" t="s">
        <v>76</v>
      </c>
      <c r="C311" t="s">
        <v>96</v>
      </c>
    </row>
    <row r="312" spans="1:3" x14ac:dyDescent="0.25">
      <c r="A312">
        <v>12</v>
      </c>
      <c r="B312" t="s">
        <v>40</v>
      </c>
      <c r="C312" t="s">
        <v>101</v>
      </c>
    </row>
    <row r="313" spans="1:3" x14ac:dyDescent="0.25">
      <c r="A313">
        <v>61</v>
      </c>
      <c r="B313" t="s">
        <v>46</v>
      </c>
      <c r="C313" t="s">
        <v>66</v>
      </c>
    </row>
    <row r="314" spans="1:3" x14ac:dyDescent="0.25">
      <c r="A314">
        <v>15</v>
      </c>
      <c r="B314" t="s">
        <v>29</v>
      </c>
      <c r="C314" t="s">
        <v>94</v>
      </c>
    </row>
    <row r="315" spans="1:3" x14ac:dyDescent="0.25">
      <c r="A315">
        <v>90</v>
      </c>
      <c r="B315" t="s">
        <v>53</v>
      </c>
      <c r="C315" t="s">
        <v>105</v>
      </c>
    </row>
    <row r="316" spans="1:3" x14ac:dyDescent="0.25">
      <c r="A316">
        <v>396</v>
      </c>
      <c r="B316" t="s">
        <v>44</v>
      </c>
      <c r="C316" t="s">
        <v>43</v>
      </c>
    </row>
    <row r="317" spans="1:3" x14ac:dyDescent="0.25">
      <c r="A317">
        <v>481</v>
      </c>
      <c r="B317" t="s">
        <v>72</v>
      </c>
      <c r="C317" t="s">
        <v>102</v>
      </c>
    </row>
    <row r="318" spans="1:3" x14ac:dyDescent="0.25">
      <c r="A318">
        <v>246</v>
      </c>
      <c r="B318" t="s">
        <v>50</v>
      </c>
      <c r="C318" t="s">
        <v>104</v>
      </c>
    </row>
    <row r="319" spans="1:3" x14ac:dyDescent="0.25">
      <c r="A319">
        <v>174</v>
      </c>
      <c r="B319" t="s">
        <v>60</v>
      </c>
      <c r="C319" t="s">
        <v>88</v>
      </c>
    </row>
    <row r="320" spans="1:3" x14ac:dyDescent="0.25">
      <c r="A320">
        <v>479</v>
      </c>
      <c r="B320" t="s">
        <v>31</v>
      </c>
      <c r="C320" t="s">
        <v>103</v>
      </c>
    </row>
    <row r="321" spans="1:3" x14ac:dyDescent="0.25">
      <c r="A321">
        <v>224</v>
      </c>
      <c r="B321" t="s">
        <v>72</v>
      </c>
      <c r="C321" t="s">
        <v>102</v>
      </c>
    </row>
    <row r="322" spans="1:3" x14ac:dyDescent="0.25">
      <c r="A322">
        <v>42</v>
      </c>
      <c r="B322" t="s">
        <v>90</v>
      </c>
      <c r="C322" t="s">
        <v>63</v>
      </c>
    </row>
    <row r="323" spans="1:3" x14ac:dyDescent="0.25">
      <c r="A323">
        <v>267</v>
      </c>
      <c r="B323" t="s">
        <v>31</v>
      </c>
      <c r="C323" t="s">
        <v>30</v>
      </c>
    </row>
    <row r="324" spans="1:3" x14ac:dyDescent="0.25">
      <c r="A324">
        <v>161</v>
      </c>
      <c r="B324" t="s">
        <v>44</v>
      </c>
      <c r="C324" t="s">
        <v>99</v>
      </c>
    </row>
    <row r="325" spans="1:3" x14ac:dyDescent="0.25">
      <c r="A325">
        <v>315</v>
      </c>
      <c r="B325" t="s">
        <v>46</v>
      </c>
      <c r="C325" t="s">
        <v>45</v>
      </c>
    </row>
    <row r="326" spans="1:3" x14ac:dyDescent="0.25">
      <c r="A326">
        <v>121</v>
      </c>
      <c r="B326" t="s">
        <v>72</v>
      </c>
      <c r="C326" t="s">
        <v>102</v>
      </c>
    </row>
    <row r="327" spans="1:3" x14ac:dyDescent="0.25">
      <c r="A327">
        <v>433</v>
      </c>
      <c r="B327" t="s">
        <v>55</v>
      </c>
      <c r="C327" t="s">
        <v>54</v>
      </c>
    </row>
    <row r="328" spans="1:3" x14ac:dyDescent="0.25">
      <c r="A328">
        <v>453</v>
      </c>
      <c r="B328" t="s">
        <v>40</v>
      </c>
      <c r="C328" t="s">
        <v>101</v>
      </c>
    </row>
    <row r="329" spans="1:3" x14ac:dyDescent="0.25">
      <c r="A329">
        <v>248</v>
      </c>
      <c r="B329" t="s">
        <v>48</v>
      </c>
      <c r="C329" t="s">
        <v>83</v>
      </c>
    </row>
    <row r="330" spans="1:3" x14ac:dyDescent="0.25">
      <c r="A330">
        <v>492</v>
      </c>
      <c r="B330" t="s">
        <v>55</v>
      </c>
      <c r="C330" t="s">
        <v>86</v>
      </c>
    </row>
    <row r="331" spans="1:3" x14ac:dyDescent="0.25">
      <c r="A331">
        <v>122</v>
      </c>
      <c r="B331" t="s">
        <v>35</v>
      </c>
      <c r="C331" t="s">
        <v>58</v>
      </c>
    </row>
    <row r="332" spans="1:3" x14ac:dyDescent="0.25">
      <c r="A332">
        <v>62</v>
      </c>
      <c r="B332" t="s">
        <v>55</v>
      </c>
      <c r="C332" t="s">
        <v>97</v>
      </c>
    </row>
    <row r="333" spans="1:3" x14ac:dyDescent="0.25">
      <c r="A333">
        <v>119</v>
      </c>
      <c r="B333" t="s">
        <v>69</v>
      </c>
      <c r="C333" t="s">
        <v>100</v>
      </c>
    </row>
    <row r="334" spans="1:3" x14ac:dyDescent="0.25">
      <c r="A334">
        <v>388</v>
      </c>
      <c r="B334" t="s">
        <v>55</v>
      </c>
      <c r="C334" t="s">
        <v>54</v>
      </c>
    </row>
    <row r="335" spans="1:3" x14ac:dyDescent="0.25">
      <c r="A335">
        <v>66</v>
      </c>
      <c r="B335" t="s">
        <v>53</v>
      </c>
      <c r="C335" t="s">
        <v>84</v>
      </c>
    </row>
    <row r="336" spans="1:3" x14ac:dyDescent="0.25">
      <c r="A336">
        <v>125</v>
      </c>
      <c r="B336" t="s">
        <v>90</v>
      </c>
      <c r="C336" t="s">
        <v>85</v>
      </c>
    </row>
    <row r="337" spans="1:3" x14ac:dyDescent="0.25">
      <c r="A337">
        <v>274</v>
      </c>
      <c r="B337" t="s">
        <v>44</v>
      </c>
      <c r="C337" t="s">
        <v>99</v>
      </c>
    </row>
    <row r="338" spans="1:3" x14ac:dyDescent="0.25">
      <c r="A338">
        <v>471</v>
      </c>
      <c r="B338" t="s">
        <v>31</v>
      </c>
      <c r="C338" t="s">
        <v>95</v>
      </c>
    </row>
    <row r="339" spans="1:3" x14ac:dyDescent="0.25">
      <c r="A339">
        <v>395</v>
      </c>
      <c r="B339" t="s">
        <v>76</v>
      </c>
      <c r="C339" t="s">
        <v>79</v>
      </c>
    </row>
    <row r="340" spans="1:3" x14ac:dyDescent="0.25">
      <c r="A340">
        <v>474</v>
      </c>
      <c r="B340" t="s">
        <v>44</v>
      </c>
      <c r="C340" t="s">
        <v>99</v>
      </c>
    </row>
    <row r="341" spans="1:3" x14ac:dyDescent="0.25">
      <c r="A341">
        <v>63</v>
      </c>
      <c r="B341" t="s">
        <v>55</v>
      </c>
      <c r="C341" t="s">
        <v>97</v>
      </c>
    </row>
    <row r="342" spans="1:3" x14ac:dyDescent="0.25">
      <c r="A342">
        <v>89</v>
      </c>
      <c r="B342" t="s">
        <v>48</v>
      </c>
      <c r="C342" t="s">
        <v>80</v>
      </c>
    </row>
    <row r="343" spans="1:3" x14ac:dyDescent="0.25">
      <c r="A343">
        <v>27</v>
      </c>
      <c r="B343" t="s">
        <v>40</v>
      </c>
      <c r="C343" t="s">
        <v>39</v>
      </c>
    </row>
    <row r="344" spans="1:3" x14ac:dyDescent="0.25">
      <c r="A344">
        <v>127</v>
      </c>
      <c r="B344" t="s">
        <v>31</v>
      </c>
      <c r="C344" t="s">
        <v>30</v>
      </c>
    </row>
    <row r="345" spans="1:3" x14ac:dyDescent="0.25">
      <c r="A345">
        <v>426</v>
      </c>
      <c r="B345" t="s">
        <v>69</v>
      </c>
      <c r="C345" t="s">
        <v>98</v>
      </c>
    </row>
    <row r="346" spans="1:3" x14ac:dyDescent="0.25">
      <c r="A346">
        <v>355</v>
      </c>
      <c r="B346" t="s">
        <v>53</v>
      </c>
      <c r="C346" t="s">
        <v>82</v>
      </c>
    </row>
    <row r="347" spans="1:3" x14ac:dyDescent="0.25">
      <c r="A347">
        <v>113</v>
      </c>
      <c r="B347" t="s">
        <v>33</v>
      </c>
      <c r="C347" t="s">
        <v>51</v>
      </c>
    </row>
    <row r="348" spans="1:3" x14ac:dyDescent="0.25">
      <c r="A348">
        <v>291</v>
      </c>
      <c r="B348" t="s">
        <v>55</v>
      </c>
      <c r="C348" t="s">
        <v>97</v>
      </c>
    </row>
    <row r="349" spans="1:3" x14ac:dyDescent="0.25">
      <c r="A349">
        <v>182</v>
      </c>
      <c r="B349" t="s">
        <v>76</v>
      </c>
      <c r="C349" t="s">
        <v>96</v>
      </c>
    </row>
    <row r="350" spans="1:3" x14ac:dyDescent="0.25">
      <c r="A350">
        <v>105</v>
      </c>
      <c r="B350" t="s">
        <v>35</v>
      </c>
      <c r="C350" t="s">
        <v>58</v>
      </c>
    </row>
    <row r="351" spans="1:3" x14ac:dyDescent="0.25">
      <c r="A351">
        <v>199</v>
      </c>
      <c r="B351" t="s">
        <v>40</v>
      </c>
      <c r="C351" t="s">
        <v>91</v>
      </c>
    </row>
    <row r="352" spans="1:3" x14ac:dyDescent="0.25">
      <c r="A352">
        <v>211</v>
      </c>
      <c r="B352" t="s">
        <v>31</v>
      </c>
      <c r="C352" t="s">
        <v>62</v>
      </c>
    </row>
    <row r="353" spans="1:3" x14ac:dyDescent="0.25">
      <c r="A353">
        <v>22</v>
      </c>
      <c r="B353" t="s">
        <v>48</v>
      </c>
      <c r="C353" t="s">
        <v>64</v>
      </c>
    </row>
    <row r="354" spans="1:3" x14ac:dyDescent="0.25">
      <c r="A354">
        <v>150</v>
      </c>
      <c r="B354" t="s">
        <v>55</v>
      </c>
      <c r="C354" t="s">
        <v>54</v>
      </c>
    </row>
    <row r="355" spans="1:3" x14ac:dyDescent="0.25">
      <c r="A355">
        <v>191</v>
      </c>
      <c r="B355" t="s">
        <v>57</v>
      </c>
      <c r="C355" t="s">
        <v>81</v>
      </c>
    </row>
    <row r="356" spans="1:3" x14ac:dyDescent="0.25">
      <c r="A356">
        <v>245</v>
      </c>
      <c r="B356" t="s">
        <v>29</v>
      </c>
      <c r="C356" t="s">
        <v>61</v>
      </c>
    </row>
    <row r="357" spans="1:3" x14ac:dyDescent="0.25">
      <c r="A357">
        <v>154</v>
      </c>
      <c r="B357" t="s">
        <v>31</v>
      </c>
      <c r="C357" t="s">
        <v>95</v>
      </c>
    </row>
    <row r="358" spans="1:3" x14ac:dyDescent="0.25">
      <c r="A358">
        <v>266</v>
      </c>
      <c r="B358" t="s">
        <v>55</v>
      </c>
      <c r="C358" t="s">
        <v>54</v>
      </c>
    </row>
    <row r="359" spans="1:3" x14ac:dyDescent="0.25">
      <c r="A359">
        <v>143</v>
      </c>
      <c r="B359" t="s">
        <v>29</v>
      </c>
      <c r="C359" t="s">
        <v>94</v>
      </c>
    </row>
    <row r="360" spans="1:3" x14ac:dyDescent="0.25">
      <c r="A360">
        <v>475</v>
      </c>
      <c r="B360" t="s">
        <v>37</v>
      </c>
      <c r="C360" t="s">
        <v>93</v>
      </c>
    </row>
    <row r="361" spans="1:3" x14ac:dyDescent="0.25">
      <c r="A361">
        <v>292</v>
      </c>
      <c r="B361" t="s">
        <v>57</v>
      </c>
      <c r="C361" t="s">
        <v>78</v>
      </c>
    </row>
    <row r="362" spans="1:3" x14ac:dyDescent="0.25">
      <c r="A362">
        <v>307</v>
      </c>
      <c r="B362" t="s">
        <v>50</v>
      </c>
      <c r="C362" t="s">
        <v>92</v>
      </c>
    </row>
    <row r="363" spans="1:3" x14ac:dyDescent="0.25">
      <c r="A363">
        <v>39</v>
      </c>
      <c r="B363" t="s">
        <v>50</v>
      </c>
      <c r="C363" t="s">
        <v>49</v>
      </c>
    </row>
    <row r="364" spans="1:3" x14ac:dyDescent="0.25">
      <c r="A364">
        <v>316</v>
      </c>
      <c r="B364" t="s">
        <v>40</v>
      </c>
      <c r="C364" t="s">
        <v>91</v>
      </c>
    </row>
    <row r="365" spans="1:3" x14ac:dyDescent="0.25">
      <c r="A365">
        <v>228</v>
      </c>
      <c r="B365" t="s">
        <v>90</v>
      </c>
      <c r="C365" t="s">
        <v>63</v>
      </c>
    </row>
    <row r="366" spans="1:3" x14ac:dyDescent="0.25">
      <c r="A366">
        <v>269</v>
      </c>
      <c r="B366" t="s">
        <v>29</v>
      </c>
      <c r="C366" t="s">
        <v>89</v>
      </c>
    </row>
    <row r="367" spans="1:3" x14ac:dyDescent="0.25">
      <c r="A367">
        <v>151</v>
      </c>
      <c r="B367" t="s">
        <v>44</v>
      </c>
      <c r="C367" t="s">
        <v>65</v>
      </c>
    </row>
    <row r="368" spans="1:3" x14ac:dyDescent="0.25">
      <c r="A368">
        <v>101</v>
      </c>
      <c r="B368" t="s">
        <v>60</v>
      </c>
      <c r="C368" t="s">
        <v>88</v>
      </c>
    </row>
    <row r="369" spans="1:3" x14ac:dyDescent="0.25">
      <c r="A369">
        <v>411</v>
      </c>
      <c r="B369" t="s">
        <v>37</v>
      </c>
      <c r="C369" t="s">
        <v>87</v>
      </c>
    </row>
    <row r="370" spans="1:3" x14ac:dyDescent="0.25">
      <c r="A370">
        <v>381</v>
      </c>
      <c r="B370" t="s">
        <v>55</v>
      </c>
      <c r="C370" t="s">
        <v>86</v>
      </c>
    </row>
    <row r="371" spans="1:3" x14ac:dyDescent="0.25">
      <c r="A371">
        <v>400</v>
      </c>
      <c r="B371" t="s">
        <v>44</v>
      </c>
      <c r="C371" t="s">
        <v>65</v>
      </c>
    </row>
    <row r="372" spans="1:3" x14ac:dyDescent="0.25">
      <c r="A372">
        <v>55</v>
      </c>
      <c r="B372" t="s">
        <v>42</v>
      </c>
      <c r="C372" t="s">
        <v>85</v>
      </c>
    </row>
    <row r="373" spans="1:3" x14ac:dyDescent="0.25">
      <c r="A373">
        <v>372</v>
      </c>
      <c r="B373" t="s">
        <v>53</v>
      </c>
      <c r="C373" t="s">
        <v>84</v>
      </c>
    </row>
    <row r="374" spans="1:3" x14ac:dyDescent="0.25">
      <c r="A374">
        <v>80</v>
      </c>
      <c r="B374" t="s">
        <v>48</v>
      </c>
      <c r="C374" t="s">
        <v>83</v>
      </c>
    </row>
    <row r="375" spans="1:3" x14ac:dyDescent="0.25">
      <c r="A375">
        <v>413</v>
      </c>
      <c r="B375" t="s">
        <v>53</v>
      </c>
      <c r="C375" t="s">
        <v>82</v>
      </c>
    </row>
    <row r="376" spans="1:3" x14ac:dyDescent="0.25">
      <c r="A376">
        <v>46</v>
      </c>
      <c r="B376" t="s">
        <v>46</v>
      </c>
      <c r="C376" t="s">
        <v>77</v>
      </c>
    </row>
    <row r="377" spans="1:3" x14ac:dyDescent="0.25">
      <c r="A377">
        <v>1</v>
      </c>
      <c r="B377" t="s">
        <v>42</v>
      </c>
      <c r="C377" t="s">
        <v>41</v>
      </c>
    </row>
    <row r="378" spans="1:3" x14ac:dyDescent="0.25">
      <c r="A378">
        <v>478</v>
      </c>
      <c r="B378" t="s">
        <v>48</v>
      </c>
      <c r="C378" t="s">
        <v>80</v>
      </c>
    </row>
    <row r="379" spans="1:3" x14ac:dyDescent="0.25">
      <c r="A379">
        <v>456</v>
      </c>
      <c r="B379" t="s">
        <v>57</v>
      </c>
      <c r="C379" t="s">
        <v>81</v>
      </c>
    </row>
    <row r="380" spans="1:3" x14ac:dyDescent="0.25">
      <c r="A380">
        <v>38</v>
      </c>
      <c r="B380" t="s">
        <v>48</v>
      </c>
      <c r="C380" t="s">
        <v>80</v>
      </c>
    </row>
    <row r="381" spans="1:3" x14ac:dyDescent="0.25">
      <c r="A381">
        <v>134</v>
      </c>
      <c r="B381" t="s">
        <v>55</v>
      </c>
      <c r="C381" t="s">
        <v>54</v>
      </c>
    </row>
    <row r="382" spans="1:3" x14ac:dyDescent="0.25">
      <c r="A382">
        <v>77</v>
      </c>
      <c r="B382" t="s">
        <v>40</v>
      </c>
      <c r="C382" t="s">
        <v>39</v>
      </c>
    </row>
    <row r="383" spans="1:3" x14ac:dyDescent="0.25">
      <c r="A383">
        <v>455</v>
      </c>
      <c r="B383" t="s">
        <v>76</v>
      </c>
      <c r="C383" t="s">
        <v>79</v>
      </c>
    </row>
    <row r="384" spans="1:3" x14ac:dyDescent="0.25">
      <c r="A384">
        <v>218</v>
      </c>
      <c r="B384" t="s">
        <v>57</v>
      </c>
      <c r="C384" t="s">
        <v>78</v>
      </c>
    </row>
    <row r="385" spans="1:3" x14ac:dyDescent="0.25">
      <c r="A385">
        <v>263</v>
      </c>
      <c r="B385" t="s">
        <v>46</v>
      </c>
      <c r="C385" t="s">
        <v>77</v>
      </c>
    </row>
    <row r="386" spans="1:3" x14ac:dyDescent="0.25">
      <c r="A386">
        <v>254</v>
      </c>
      <c r="B386" t="s">
        <v>76</v>
      </c>
      <c r="C386" t="s">
        <v>75</v>
      </c>
    </row>
    <row r="387" spans="1:3" x14ac:dyDescent="0.25">
      <c r="A387">
        <v>370</v>
      </c>
      <c r="B387" t="s">
        <v>33</v>
      </c>
      <c r="C387" t="s">
        <v>32</v>
      </c>
    </row>
    <row r="388" spans="1:3" x14ac:dyDescent="0.25">
      <c r="A388">
        <v>301</v>
      </c>
      <c r="B388" t="s">
        <v>35</v>
      </c>
      <c r="C388" t="s">
        <v>74</v>
      </c>
    </row>
    <row r="389" spans="1:3" x14ac:dyDescent="0.25">
      <c r="A389">
        <v>259</v>
      </c>
      <c r="B389" t="s">
        <v>46</v>
      </c>
      <c r="C389" t="s">
        <v>73</v>
      </c>
    </row>
    <row r="390" spans="1:3" x14ac:dyDescent="0.25">
      <c r="A390">
        <v>468</v>
      </c>
      <c r="B390" t="s">
        <v>46</v>
      </c>
      <c r="C390" t="s">
        <v>45</v>
      </c>
    </row>
    <row r="391" spans="1:3" x14ac:dyDescent="0.25">
      <c r="A391">
        <v>200</v>
      </c>
      <c r="B391" t="s">
        <v>72</v>
      </c>
      <c r="C391" t="s">
        <v>71</v>
      </c>
    </row>
    <row r="392" spans="1:3" x14ac:dyDescent="0.25">
      <c r="A392">
        <v>354</v>
      </c>
      <c r="B392" t="s">
        <v>60</v>
      </c>
      <c r="C392" t="s">
        <v>70</v>
      </c>
    </row>
    <row r="393" spans="1:3" x14ac:dyDescent="0.25">
      <c r="A393">
        <v>460</v>
      </c>
      <c r="B393" t="s">
        <v>53</v>
      </c>
      <c r="C393" t="s">
        <v>52</v>
      </c>
    </row>
    <row r="394" spans="1:3" x14ac:dyDescent="0.25">
      <c r="A394">
        <v>184</v>
      </c>
      <c r="B394" t="s">
        <v>48</v>
      </c>
      <c r="C394" t="s">
        <v>47</v>
      </c>
    </row>
    <row r="395" spans="1:3" x14ac:dyDescent="0.25">
      <c r="A395">
        <v>308</v>
      </c>
      <c r="B395" t="s">
        <v>48</v>
      </c>
      <c r="C395" t="s">
        <v>64</v>
      </c>
    </row>
    <row r="396" spans="1:3" x14ac:dyDescent="0.25">
      <c r="A396">
        <v>407</v>
      </c>
      <c r="B396" t="s">
        <v>48</v>
      </c>
      <c r="C396" t="s">
        <v>47</v>
      </c>
    </row>
    <row r="397" spans="1:3" x14ac:dyDescent="0.25">
      <c r="A397">
        <v>148</v>
      </c>
      <c r="B397" t="s">
        <v>33</v>
      </c>
      <c r="C397" t="s">
        <v>32</v>
      </c>
    </row>
    <row r="398" spans="1:3" x14ac:dyDescent="0.25">
      <c r="A398">
        <v>152</v>
      </c>
      <c r="B398" t="s">
        <v>69</v>
      </c>
      <c r="C398" t="s">
        <v>68</v>
      </c>
    </row>
    <row r="399" spans="1:3" x14ac:dyDescent="0.25">
      <c r="A399">
        <v>326</v>
      </c>
      <c r="B399" t="s">
        <v>42</v>
      </c>
      <c r="C399" t="s">
        <v>67</v>
      </c>
    </row>
    <row r="400" spans="1:3" x14ac:dyDescent="0.25">
      <c r="A400">
        <v>352</v>
      </c>
      <c r="B400" t="s">
        <v>46</v>
      </c>
      <c r="C400" t="s">
        <v>66</v>
      </c>
    </row>
    <row r="401" spans="1:3" x14ac:dyDescent="0.25">
      <c r="A401">
        <v>44</v>
      </c>
      <c r="B401" t="s">
        <v>44</v>
      </c>
      <c r="C401" t="s">
        <v>65</v>
      </c>
    </row>
    <row r="402" spans="1:3" x14ac:dyDescent="0.25">
      <c r="A402">
        <v>183</v>
      </c>
      <c r="B402" t="s">
        <v>48</v>
      </c>
      <c r="C402" t="s">
        <v>64</v>
      </c>
    </row>
    <row r="403" spans="1:3" x14ac:dyDescent="0.25">
      <c r="A403">
        <v>88</v>
      </c>
      <c r="B403" t="s">
        <v>42</v>
      </c>
      <c r="C403" t="s">
        <v>63</v>
      </c>
    </row>
    <row r="404" spans="1:3" x14ac:dyDescent="0.25">
      <c r="A404">
        <v>347</v>
      </c>
      <c r="B404" t="s">
        <v>40</v>
      </c>
      <c r="C404" t="s">
        <v>39</v>
      </c>
    </row>
    <row r="405" spans="1:3" x14ac:dyDescent="0.25">
      <c r="A405">
        <v>342</v>
      </c>
      <c r="B405" t="s">
        <v>31</v>
      </c>
      <c r="C405" t="s">
        <v>62</v>
      </c>
    </row>
    <row r="406" spans="1:3" x14ac:dyDescent="0.25">
      <c r="A406">
        <v>59</v>
      </c>
      <c r="B406" t="s">
        <v>29</v>
      </c>
      <c r="C406" t="s">
        <v>61</v>
      </c>
    </row>
    <row r="407" spans="1:3" x14ac:dyDescent="0.25">
      <c r="A407">
        <v>16</v>
      </c>
      <c r="B407" t="s">
        <v>50</v>
      </c>
      <c r="C407" t="s">
        <v>49</v>
      </c>
    </row>
    <row r="408" spans="1:3" x14ac:dyDescent="0.25">
      <c r="A408">
        <v>220</v>
      </c>
      <c r="B408" t="s">
        <v>60</v>
      </c>
      <c r="C408" t="s">
        <v>59</v>
      </c>
    </row>
    <row r="409" spans="1:3" x14ac:dyDescent="0.25">
      <c r="A409">
        <v>439</v>
      </c>
      <c r="B409" t="s">
        <v>33</v>
      </c>
      <c r="C409" t="s">
        <v>51</v>
      </c>
    </row>
    <row r="410" spans="1:3" x14ac:dyDescent="0.25">
      <c r="A410">
        <v>437</v>
      </c>
      <c r="B410" t="s">
        <v>60</v>
      </c>
      <c r="C410" t="s">
        <v>59</v>
      </c>
    </row>
    <row r="411" spans="1:3" x14ac:dyDescent="0.25">
      <c r="A411">
        <v>73</v>
      </c>
      <c r="B411" t="s">
        <v>37</v>
      </c>
      <c r="C411" t="s">
        <v>36</v>
      </c>
    </row>
    <row r="412" spans="1:3" x14ac:dyDescent="0.25">
      <c r="A412">
        <v>208</v>
      </c>
      <c r="B412" t="s">
        <v>48</v>
      </c>
      <c r="C412" t="s">
        <v>47</v>
      </c>
    </row>
    <row r="413" spans="1:3" x14ac:dyDescent="0.25">
      <c r="A413">
        <v>6</v>
      </c>
      <c r="B413" t="s">
        <v>35</v>
      </c>
      <c r="C413" t="s">
        <v>58</v>
      </c>
    </row>
    <row r="414" spans="1:3" x14ac:dyDescent="0.25">
      <c r="A414">
        <v>318</v>
      </c>
      <c r="B414" t="s">
        <v>44</v>
      </c>
      <c r="C414" t="s">
        <v>43</v>
      </c>
    </row>
    <row r="415" spans="1:3" x14ac:dyDescent="0.25">
      <c r="A415">
        <v>327</v>
      </c>
      <c r="B415" t="s">
        <v>57</v>
      </c>
      <c r="C415" t="s">
        <v>56</v>
      </c>
    </row>
    <row r="416" spans="1:3" x14ac:dyDescent="0.25">
      <c r="A416">
        <v>416</v>
      </c>
      <c r="B416" t="s">
        <v>55</v>
      </c>
      <c r="C416" t="s">
        <v>54</v>
      </c>
    </row>
    <row r="417" spans="1:3" x14ac:dyDescent="0.25">
      <c r="A417">
        <v>374</v>
      </c>
      <c r="B417" t="s">
        <v>53</v>
      </c>
      <c r="C417" t="s">
        <v>52</v>
      </c>
    </row>
    <row r="418" spans="1:3" x14ac:dyDescent="0.25">
      <c r="A418">
        <v>289</v>
      </c>
      <c r="B418" t="s">
        <v>33</v>
      </c>
      <c r="C418" t="s">
        <v>51</v>
      </c>
    </row>
    <row r="419" spans="1:3" x14ac:dyDescent="0.25">
      <c r="A419">
        <v>173</v>
      </c>
      <c r="B419" t="s">
        <v>33</v>
      </c>
      <c r="C419" t="s">
        <v>32</v>
      </c>
    </row>
    <row r="420" spans="1:3" x14ac:dyDescent="0.25">
      <c r="A420">
        <v>114</v>
      </c>
      <c r="B420" t="s">
        <v>50</v>
      </c>
      <c r="C420" t="s">
        <v>49</v>
      </c>
    </row>
    <row r="421" spans="1:3" x14ac:dyDescent="0.25">
      <c r="A421">
        <v>170</v>
      </c>
      <c r="B421" t="s">
        <v>48</v>
      </c>
      <c r="C421" t="s">
        <v>47</v>
      </c>
    </row>
    <row r="422" spans="1:3" x14ac:dyDescent="0.25">
      <c r="A422">
        <v>9</v>
      </c>
      <c r="B422" t="s">
        <v>46</v>
      </c>
      <c r="C422" t="s">
        <v>45</v>
      </c>
    </row>
    <row r="423" spans="1:3" x14ac:dyDescent="0.25">
      <c r="A423">
        <v>302</v>
      </c>
      <c r="B423" t="s">
        <v>44</v>
      </c>
      <c r="C423" t="s">
        <v>43</v>
      </c>
    </row>
    <row r="424" spans="1:3" x14ac:dyDescent="0.25">
      <c r="A424">
        <v>48</v>
      </c>
      <c r="B424" t="s">
        <v>35</v>
      </c>
      <c r="C424" t="s">
        <v>38</v>
      </c>
    </row>
    <row r="425" spans="1:3" x14ac:dyDescent="0.25">
      <c r="A425">
        <v>3</v>
      </c>
      <c r="B425" t="s">
        <v>42</v>
      </c>
      <c r="C425" t="s">
        <v>41</v>
      </c>
    </row>
    <row r="426" spans="1:3" x14ac:dyDescent="0.25">
      <c r="A426">
        <v>168</v>
      </c>
      <c r="B426" t="s">
        <v>42</v>
      </c>
      <c r="C426" t="s">
        <v>41</v>
      </c>
    </row>
    <row r="427" spans="1:3" x14ac:dyDescent="0.25">
      <c r="A427">
        <v>13</v>
      </c>
      <c r="B427" t="s">
        <v>40</v>
      </c>
      <c r="C427" t="s">
        <v>39</v>
      </c>
    </row>
    <row r="428" spans="1:3" x14ac:dyDescent="0.25">
      <c r="A428">
        <v>141</v>
      </c>
      <c r="B428" t="s">
        <v>35</v>
      </c>
      <c r="C428" t="s">
        <v>38</v>
      </c>
    </row>
    <row r="429" spans="1:3" x14ac:dyDescent="0.25">
      <c r="A429">
        <v>120</v>
      </c>
      <c r="B429" t="s">
        <v>37</v>
      </c>
      <c r="C429" t="s">
        <v>36</v>
      </c>
    </row>
    <row r="430" spans="1:3" x14ac:dyDescent="0.25">
      <c r="A430">
        <v>418</v>
      </c>
      <c r="B430" t="s">
        <v>35</v>
      </c>
      <c r="C430" t="s">
        <v>34</v>
      </c>
    </row>
    <row r="431" spans="1:3" x14ac:dyDescent="0.25">
      <c r="A431">
        <v>294</v>
      </c>
      <c r="B431" t="s">
        <v>33</v>
      </c>
      <c r="C431" t="s">
        <v>32</v>
      </c>
    </row>
    <row r="432" spans="1:3" x14ac:dyDescent="0.25">
      <c r="A432">
        <v>175</v>
      </c>
      <c r="B432" t="s">
        <v>31</v>
      </c>
      <c r="C432" t="s">
        <v>30</v>
      </c>
    </row>
    <row r="433" spans="1:3" x14ac:dyDescent="0.25">
      <c r="A433">
        <v>469</v>
      </c>
      <c r="B433" t="s">
        <v>29</v>
      </c>
      <c r="C433" t="s">
        <v>28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FB38-05CA-41DC-A389-C7E7CC55450C}">
  <dimension ref="A3:B6"/>
  <sheetViews>
    <sheetView workbookViewId="0">
      <selection activeCell="B5" sqref="B5"/>
    </sheetView>
  </sheetViews>
  <sheetFormatPr defaultRowHeight="15" x14ac:dyDescent="0.25"/>
  <cols>
    <col min="1" max="1" width="17.28515625" bestFit="1" customWidth="1"/>
    <col min="2" max="2" width="30.42578125" bestFit="1" customWidth="1"/>
  </cols>
  <sheetData>
    <row r="3" spans="1:2" x14ac:dyDescent="0.25">
      <c r="A3" s="14" t="s">
        <v>813</v>
      </c>
      <c r="B3" t="s">
        <v>839</v>
      </c>
    </row>
    <row r="4" spans="1:2" x14ac:dyDescent="0.25">
      <c r="A4" s="15" t="s">
        <v>142</v>
      </c>
      <c r="B4" s="16">
        <v>215</v>
      </c>
    </row>
    <row r="5" spans="1:2" x14ac:dyDescent="0.25">
      <c r="A5" s="15" t="s">
        <v>140</v>
      </c>
      <c r="B5" s="16">
        <v>219</v>
      </c>
    </row>
    <row r="6" spans="1:2" x14ac:dyDescent="0.25">
      <c r="A6" s="15" t="s">
        <v>814</v>
      </c>
      <c r="B6" s="16">
        <v>434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E4-9118-AA45-9E62-E585C86E8186}">
  <dimension ref="A1:L435"/>
  <sheetViews>
    <sheetView workbookViewId="0">
      <selection activeCell="A2" sqref="A2"/>
    </sheetView>
  </sheetViews>
  <sheetFormatPr defaultColWidth="8.85546875" defaultRowHeight="15" x14ac:dyDescent="0.25"/>
  <cols>
    <col min="1" max="1" width="12.7109375" customWidth="1"/>
    <col min="2" max="2" width="26.5703125" customWidth="1"/>
    <col min="3" max="3" width="42.5703125" bestFit="1" customWidth="1"/>
    <col min="4" max="4" width="32.5703125" customWidth="1"/>
    <col min="5" max="5" width="27.140625" customWidth="1"/>
    <col min="6" max="6" width="20.28515625" bestFit="1" customWidth="1"/>
    <col min="7" max="7" width="19.85546875" bestFit="1" customWidth="1"/>
    <col min="8" max="8" width="18.140625" bestFit="1" customWidth="1"/>
    <col min="9" max="9" width="25.42578125" bestFit="1" customWidth="1"/>
    <col min="10" max="11" width="14.140625" bestFit="1" customWidth="1"/>
    <col min="12" max="12" width="15.85546875" bestFit="1" customWidth="1"/>
  </cols>
  <sheetData>
    <row r="1" spans="1:12" x14ac:dyDescent="0.25">
      <c r="A1" s="13" t="s">
        <v>7</v>
      </c>
      <c r="B1" s="13" t="s">
        <v>781</v>
      </c>
      <c r="C1" s="13" t="s">
        <v>780</v>
      </c>
      <c r="D1" s="13" t="s">
        <v>779</v>
      </c>
      <c r="E1" s="13" t="s">
        <v>778</v>
      </c>
      <c r="F1" s="13" t="s">
        <v>837</v>
      </c>
      <c r="G1" s="13" t="s">
        <v>838</v>
      </c>
      <c r="H1" s="13" t="s">
        <v>842</v>
      </c>
      <c r="I1" s="13" t="s">
        <v>856</v>
      </c>
      <c r="J1" s="13" t="s">
        <v>859</v>
      </c>
      <c r="K1" s="13" t="s">
        <v>858</v>
      </c>
      <c r="L1" s="13" t="s">
        <v>860</v>
      </c>
    </row>
    <row r="2" spans="1:12" x14ac:dyDescent="0.25">
      <c r="A2">
        <v>315</v>
      </c>
      <c r="B2" t="s">
        <v>777</v>
      </c>
      <c r="C2" s="35" t="s">
        <v>1093</v>
      </c>
      <c r="D2" t="s">
        <v>142</v>
      </c>
      <c r="E2" s="23">
        <v>44747</v>
      </c>
      <c r="F2" t="str">
        <f>LEFT(Таблица4[[#This Row],[номер телефона клиента]],LEN(Таблица4[[#This Row],[номер телефона клиента]])-13)</f>
        <v>+998</v>
      </c>
      <c r="G2" t="str">
        <f>_xlfn.XLOOKUP(Таблица4[[#This Row],[Коды телефона]],Таблица5[Код],Таблица5[Страна],"Не найдено",0)</f>
        <v>Узбекистан</v>
      </c>
      <c r="H2" s="23">
        <f t="shared" ref="H2:H65" ca="1" si="0">TODAY()</f>
        <v>46020</v>
      </c>
      <c r="I2" s="19">
        <f ca="1">(Таблица4[[#This Row],[Текущая дата]]-Таблица4[[#This Row],[Дата регистрации клиента]])/30</f>
        <v>42.43333333333333</v>
      </c>
      <c r="J2" t="str">
        <f t="shared" ref="J2:J65" si="1">LEFT(C2,FIND(" ",C2)-1)</f>
        <v>Калинин</v>
      </c>
      <c r="K2" t="str">
        <f t="shared" ref="K2:K65" si="2">MID(C2,FIND(" ",C2)+1,FIND(" ",C2,FIND(" ",C2)+1)-FIND(" ",C2)-1)</f>
        <v>Фадей</v>
      </c>
      <c r="L2" t="str">
        <f t="shared" ref="L2:L65" si="3">RIGHT(C2,LEN(C2)-FIND("~",SUBSTITUTE(C2," ","~",2)))</f>
        <v>Ефимович</v>
      </c>
    </row>
    <row r="3" spans="1:12" x14ac:dyDescent="0.25">
      <c r="A3">
        <v>253</v>
      </c>
      <c r="B3" t="s">
        <v>776</v>
      </c>
      <c r="C3" s="35" t="s">
        <v>1094</v>
      </c>
      <c r="D3" t="s">
        <v>142</v>
      </c>
      <c r="E3" s="23">
        <v>44750</v>
      </c>
      <c r="F3" t="str">
        <f>LEFT(Таблица4[[#This Row],[номер телефона клиента]],LEN(Таблица4[[#This Row],[номер телефона клиента]])-13)</f>
        <v>+375</v>
      </c>
      <c r="G3" t="str">
        <f>_xlfn.XLOOKUP(Таблица4[[#This Row],[Коды телефона]],Таблица5[Код],Таблица5[Страна],"Не найдено",0)</f>
        <v>Беларусь</v>
      </c>
      <c r="H3" s="23">
        <f t="shared" ca="1" si="0"/>
        <v>46020</v>
      </c>
      <c r="I3" s="19">
        <f ca="1">(Таблица4[[#This Row],[Текущая дата]]-Таблица4[[#This Row],[Дата регистрации клиента]])/30</f>
        <v>42.333333333333336</v>
      </c>
      <c r="J3" t="str">
        <f t="shared" si="1"/>
        <v>Некрасова</v>
      </c>
      <c r="K3" t="str">
        <f t="shared" si="2"/>
        <v>Вера</v>
      </c>
      <c r="L3" t="str">
        <f t="shared" si="3"/>
        <v>Георгиевна</v>
      </c>
    </row>
    <row r="4" spans="1:12" x14ac:dyDescent="0.25">
      <c r="A4">
        <v>12</v>
      </c>
      <c r="B4" t="s">
        <v>775</v>
      </c>
      <c r="C4" s="35" t="s">
        <v>1095</v>
      </c>
      <c r="D4" t="s">
        <v>142</v>
      </c>
      <c r="E4" s="23">
        <v>44842</v>
      </c>
      <c r="F4" t="str">
        <f>LEFT(Таблица4[[#This Row],[номер телефона клиента]],LEN(Таблица4[[#This Row],[номер телефона клиента]])-13)</f>
        <v>+375</v>
      </c>
      <c r="G4" t="str">
        <f>_xlfn.XLOOKUP(Таблица4[[#This Row],[Коды телефона]],Таблица5[Код],Таблица5[Страна],"Не найдено",0)</f>
        <v>Беларусь</v>
      </c>
      <c r="H4" s="23">
        <f t="shared" ca="1" si="0"/>
        <v>46020</v>
      </c>
      <c r="I4" s="19">
        <f ca="1">(Таблица4[[#This Row],[Текущая дата]]-Таблица4[[#This Row],[Дата регистрации клиента]])/30</f>
        <v>39.266666666666666</v>
      </c>
      <c r="J4" t="str">
        <f t="shared" si="1"/>
        <v>Бобров</v>
      </c>
      <c r="K4" t="str">
        <f t="shared" si="2"/>
        <v>Никодим</v>
      </c>
      <c r="L4" t="str">
        <f t="shared" si="3"/>
        <v>Игоревич</v>
      </c>
    </row>
    <row r="5" spans="1:12" x14ac:dyDescent="0.25">
      <c r="A5">
        <v>116</v>
      </c>
      <c r="B5" t="s">
        <v>774</v>
      </c>
      <c r="C5" s="35" t="s">
        <v>773</v>
      </c>
      <c r="D5" t="s">
        <v>140</v>
      </c>
      <c r="E5" s="23">
        <v>44643</v>
      </c>
      <c r="F5" t="str">
        <f>LEFT(Таблица4[[#This Row],[номер телефона клиента]],LEN(Таблица4[[#This Row],[номер телефона клиента]])-13)</f>
        <v>+7</v>
      </c>
      <c r="G5" t="str">
        <f>_xlfn.XLOOKUP(Таблица4[[#This Row],[Коды телефона]],Таблица5[Код],Таблица5[Страна],"Не найдено",0)</f>
        <v>Россия</v>
      </c>
      <c r="H5" s="23">
        <f t="shared" ca="1" si="0"/>
        <v>46020</v>
      </c>
      <c r="I5" s="19">
        <f ca="1">(Таблица4[[#This Row],[Текущая дата]]-Таблица4[[#This Row],[Дата регистрации клиента]])/30</f>
        <v>45.9</v>
      </c>
      <c r="J5" t="str">
        <f t="shared" si="1"/>
        <v>Носкова</v>
      </c>
      <c r="K5" t="str">
        <f t="shared" si="2"/>
        <v>Вера</v>
      </c>
      <c r="L5" t="str">
        <f t="shared" si="3"/>
        <v>Федоровна</v>
      </c>
    </row>
    <row r="6" spans="1:12" x14ac:dyDescent="0.25">
      <c r="A6">
        <v>471</v>
      </c>
      <c r="B6" t="s">
        <v>772</v>
      </c>
      <c r="C6" s="35" t="s">
        <v>1096</v>
      </c>
      <c r="D6" t="s">
        <v>142</v>
      </c>
      <c r="E6" s="23">
        <v>44577</v>
      </c>
      <c r="F6" t="str">
        <f>LEFT(Таблица4[[#This Row],[номер телефона клиента]],LEN(Таблица4[[#This Row],[номер телефона клиента]])-13)</f>
        <v>+380</v>
      </c>
      <c r="G6" t="str">
        <f>_xlfn.XLOOKUP(Таблица4[[#This Row],[Коды телефона]],Таблица5[Код],Таблица5[Страна],"Не найдено",0)</f>
        <v>Украина</v>
      </c>
      <c r="H6" s="23">
        <f t="shared" ca="1" si="0"/>
        <v>46020</v>
      </c>
      <c r="I6" s="19">
        <f ca="1">(Таблица4[[#This Row],[Текущая дата]]-Таблица4[[#This Row],[Дата регистрации клиента]])/30</f>
        <v>48.1</v>
      </c>
      <c r="J6" t="str">
        <f t="shared" si="1"/>
        <v>Артемьева</v>
      </c>
      <c r="K6" t="str">
        <f t="shared" si="2"/>
        <v>Александра</v>
      </c>
      <c r="L6" t="str">
        <f t="shared" si="3"/>
        <v>Матвеевна</v>
      </c>
    </row>
    <row r="7" spans="1:12" x14ac:dyDescent="0.25">
      <c r="A7">
        <v>374</v>
      </c>
      <c r="B7" t="s">
        <v>771</v>
      </c>
      <c r="C7" s="35" t="s">
        <v>770</v>
      </c>
      <c r="D7" t="s">
        <v>140</v>
      </c>
      <c r="E7" s="23">
        <v>44582</v>
      </c>
      <c r="F7" t="str">
        <f>LEFT(Таблица4[[#This Row],[номер телефона клиента]],LEN(Таблица4[[#This Row],[номер телефона клиента]])-13)</f>
        <v>+380</v>
      </c>
      <c r="G7" t="str">
        <f>_xlfn.XLOOKUP(Таблица4[[#This Row],[Коды телефона]],Таблица5[Код],Таблица5[Страна],"Не найдено",0)</f>
        <v>Украина</v>
      </c>
      <c r="H7" s="23">
        <f t="shared" ca="1" si="0"/>
        <v>46020</v>
      </c>
      <c r="I7" s="19">
        <f ca="1">(Таблица4[[#This Row],[Текущая дата]]-Таблица4[[#This Row],[Дата регистрации клиента]])/30</f>
        <v>47.93333333333333</v>
      </c>
      <c r="J7" t="str">
        <f t="shared" si="1"/>
        <v>Калинина</v>
      </c>
      <c r="K7" t="str">
        <f t="shared" si="2"/>
        <v>Ирина</v>
      </c>
      <c r="L7" t="str">
        <f t="shared" si="3"/>
        <v>Филипповна</v>
      </c>
    </row>
    <row r="8" spans="1:12" x14ac:dyDescent="0.25">
      <c r="A8">
        <v>477</v>
      </c>
      <c r="B8" t="s">
        <v>769</v>
      </c>
      <c r="C8" s="35" t="s">
        <v>1097</v>
      </c>
      <c r="D8" t="s">
        <v>142</v>
      </c>
      <c r="E8" s="23">
        <v>44738</v>
      </c>
      <c r="F8" t="str">
        <f>LEFT(Таблица4[[#This Row],[номер телефона клиента]],LEN(Таблица4[[#This Row],[номер телефона клиента]])-13)</f>
        <v>+998</v>
      </c>
      <c r="G8" t="str">
        <f>_xlfn.XLOOKUP(Таблица4[[#This Row],[Коды телефона]],Таблица5[Код],Таблица5[Страна],"Не найдено",0)</f>
        <v>Узбекистан</v>
      </c>
      <c r="H8" s="23">
        <f t="shared" ca="1" si="0"/>
        <v>46020</v>
      </c>
      <c r="I8" s="19">
        <f ca="1">(Таблица4[[#This Row],[Текущая дата]]-Таблица4[[#This Row],[Дата регистрации клиента]])/30</f>
        <v>42.733333333333334</v>
      </c>
      <c r="J8" t="str">
        <f t="shared" si="1"/>
        <v>Брагина</v>
      </c>
      <c r="K8" t="str">
        <f t="shared" si="2"/>
        <v>Зоя</v>
      </c>
      <c r="L8" t="str">
        <f t="shared" si="3"/>
        <v>Кирилловна</v>
      </c>
    </row>
    <row r="9" spans="1:12" x14ac:dyDescent="0.25">
      <c r="A9">
        <v>335</v>
      </c>
      <c r="B9" t="s">
        <v>768</v>
      </c>
      <c r="C9" s="35" t="s">
        <v>767</v>
      </c>
      <c r="D9" t="s">
        <v>140</v>
      </c>
      <c r="E9" s="23">
        <v>44619</v>
      </c>
      <c r="F9" t="str">
        <f>LEFT(Таблица4[[#This Row],[номер телефона клиента]],LEN(Таблица4[[#This Row],[номер телефона клиента]])-13)</f>
        <v>+998</v>
      </c>
      <c r="G9" t="str">
        <f>_xlfn.XLOOKUP(Таблица4[[#This Row],[Коды телефона]],Таблица5[Код],Таблица5[Страна],"Не найдено",0)</f>
        <v>Узбекистан</v>
      </c>
      <c r="H9" s="23">
        <f t="shared" ca="1" si="0"/>
        <v>46020</v>
      </c>
      <c r="I9" s="19">
        <f ca="1">(Таблица4[[#This Row],[Текущая дата]]-Таблица4[[#This Row],[Дата регистрации клиента]])/30</f>
        <v>46.7</v>
      </c>
      <c r="J9" t="str">
        <f t="shared" si="1"/>
        <v>Осипов</v>
      </c>
      <c r="K9" t="str">
        <f t="shared" si="2"/>
        <v>Светозар</v>
      </c>
      <c r="L9" t="str">
        <f t="shared" si="3"/>
        <v>Ефремович</v>
      </c>
    </row>
    <row r="10" spans="1:12" x14ac:dyDescent="0.25">
      <c r="A10">
        <v>350</v>
      </c>
      <c r="B10" t="s">
        <v>766</v>
      </c>
      <c r="C10" s="35" t="s">
        <v>1098</v>
      </c>
      <c r="D10" t="s">
        <v>140</v>
      </c>
      <c r="E10" s="23">
        <v>44684</v>
      </c>
      <c r="F10" t="str">
        <f>LEFT(Таблица4[[#This Row],[номер телефона клиента]],LEN(Таблица4[[#This Row],[номер телефона клиента]])-13)</f>
        <v>+380</v>
      </c>
      <c r="G10" t="str">
        <f>_xlfn.XLOOKUP(Таблица4[[#This Row],[Коды телефона]],Таблица5[Код],Таблица5[Страна],"Не найдено",0)</f>
        <v>Украина</v>
      </c>
      <c r="H10" s="23">
        <f t="shared" ca="1" si="0"/>
        <v>46020</v>
      </c>
      <c r="I10" s="19">
        <f ca="1">(Таблица4[[#This Row],[Текущая дата]]-Таблица4[[#This Row],[Дата регистрации клиента]])/30</f>
        <v>44.533333333333331</v>
      </c>
      <c r="J10" t="str">
        <f t="shared" si="1"/>
        <v>Мамонтова</v>
      </c>
      <c r="K10" t="str">
        <f t="shared" si="2"/>
        <v>Любовь</v>
      </c>
      <c r="L10" t="str">
        <f t="shared" si="3"/>
        <v>Георгиевна</v>
      </c>
    </row>
    <row r="11" spans="1:12" x14ac:dyDescent="0.25">
      <c r="A11">
        <v>413</v>
      </c>
      <c r="B11" t="s">
        <v>765</v>
      </c>
      <c r="C11" s="35" t="s">
        <v>1099</v>
      </c>
      <c r="D11" t="s">
        <v>140</v>
      </c>
      <c r="E11" s="23">
        <v>44699</v>
      </c>
      <c r="F11" t="str">
        <f>LEFT(Таблица4[[#This Row],[номер телефона клиента]],LEN(Таблица4[[#This Row],[номер телефона клиента]])-13)</f>
        <v>+7</v>
      </c>
      <c r="G11" t="str">
        <f>_xlfn.XLOOKUP(Таблица4[[#This Row],[Коды телефона]],Таблица5[Код],Таблица5[Страна],"Не найдено",0)</f>
        <v>Россия</v>
      </c>
      <c r="H11" s="23">
        <f t="shared" ca="1" si="0"/>
        <v>46020</v>
      </c>
      <c r="I11" s="19">
        <f ca="1">(Таблица4[[#This Row],[Текущая дата]]-Таблица4[[#This Row],[Дата регистрации клиента]])/30</f>
        <v>44.033333333333331</v>
      </c>
      <c r="J11" t="str">
        <f t="shared" si="1"/>
        <v>Брагин</v>
      </c>
      <c r="K11" t="str">
        <f t="shared" si="2"/>
        <v>Август</v>
      </c>
      <c r="L11" t="str">
        <f t="shared" si="3"/>
        <v>Вячеславович</v>
      </c>
    </row>
    <row r="12" spans="1:12" x14ac:dyDescent="0.25">
      <c r="A12">
        <v>495</v>
      </c>
      <c r="B12" t="s">
        <v>764</v>
      </c>
      <c r="C12" s="35" t="s">
        <v>1100</v>
      </c>
      <c r="D12" t="s">
        <v>142</v>
      </c>
      <c r="E12" s="23">
        <v>44654</v>
      </c>
      <c r="F12" t="str">
        <f>LEFT(Таблица4[[#This Row],[номер телефона клиента]],LEN(Таблица4[[#This Row],[номер телефона клиента]])-13)</f>
        <v>+998</v>
      </c>
      <c r="G12" t="str">
        <f>_xlfn.XLOOKUP(Таблица4[[#This Row],[Коды телефона]],Таблица5[Код],Таблица5[Страна],"Не найдено",0)</f>
        <v>Узбекистан</v>
      </c>
      <c r="H12" s="23">
        <f t="shared" ca="1" si="0"/>
        <v>46020</v>
      </c>
      <c r="I12" s="19">
        <f ca="1">(Таблица4[[#This Row],[Текущая дата]]-Таблица4[[#This Row],[Дата регистрации клиента]])/30</f>
        <v>45.533333333333331</v>
      </c>
      <c r="J12" t="str">
        <f t="shared" si="1"/>
        <v>Воробьев</v>
      </c>
      <c r="K12" t="str">
        <f t="shared" si="2"/>
        <v>Мефодий</v>
      </c>
      <c r="L12" t="str">
        <f t="shared" si="3"/>
        <v>Филиппович</v>
      </c>
    </row>
    <row r="13" spans="1:12" x14ac:dyDescent="0.25">
      <c r="A13">
        <v>353</v>
      </c>
      <c r="B13" t="s">
        <v>763</v>
      </c>
      <c r="C13" s="35" t="s">
        <v>762</v>
      </c>
      <c r="D13" t="s">
        <v>142</v>
      </c>
      <c r="E13" s="23">
        <v>44656</v>
      </c>
      <c r="F13" t="str">
        <f>LEFT(Таблица4[[#This Row],[номер телефона клиента]],LEN(Таблица4[[#This Row],[номер телефона клиента]])-13)</f>
        <v>+992</v>
      </c>
      <c r="G13" t="str">
        <f>_xlfn.XLOOKUP(Таблица4[[#This Row],[Коды телефона]],Таблица5[Код],Таблица5[Страна],"Не найдено",0)</f>
        <v>Таджикистан</v>
      </c>
      <c r="H13" s="23">
        <f t="shared" ca="1" si="0"/>
        <v>46020</v>
      </c>
      <c r="I13" s="19">
        <f ca="1">(Таблица4[[#This Row],[Текущая дата]]-Таблица4[[#This Row],[Дата регистрации клиента]])/30</f>
        <v>45.466666666666669</v>
      </c>
      <c r="J13" t="str">
        <f t="shared" si="1"/>
        <v>Гурьев</v>
      </c>
      <c r="K13" t="str">
        <f t="shared" si="2"/>
        <v>Влас</v>
      </c>
      <c r="L13" t="str">
        <f t="shared" si="3"/>
        <v>Юлианович</v>
      </c>
    </row>
    <row r="14" spans="1:12" x14ac:dyDescent="0.25">
      <c r="A14">
        <v>332</v>
      </c>
      <c r="B14" t="s">
        <v>761</v>
      </c>
      <c r="C14" s="35" t="s">
        <v>1101</v>
      </c>
      <c r="D14" t="s">
        <v>140</v>
      </c>
      <c r="E14" s="23">
        <v>44858</v>
      </c>
      <c r="F14" t="str">
        <f>LEFT(Таблица4[[#This Row],[номер телефона клиента]],LEN(Таблица4[[#This Row],[номер телефона клиента]])-13)</f>
        <v>+998</v>
      </c>
      <c r="G14" t="str">
        <f>_xlfn.XLOOKUP(Таблица4[[#This Row],[Коды телефона]],Таблица5[Код],Таблица5[Страна],"Не найдено",0)</f>
        <v>Узбекистан</v>
      </c>
      <c r="H14" s="23">
        <f t="shared" ca="1" si="0"/>
        <v>46020</v>
      </c>
      <c r="I14" s="19">
        <f ca="1">(Таблица4[[#This Row],[Текущая дата]]-Таблица4[[#This Row],[Дата регистрации клиента]])/30</f>
        <v>38.733333333333334</v>
      </c>
      <c r="J14" t="str">
        <f t="shared" si="1"/>
        <v>Галкина</v>
      </c>
      <c r="K14" t="str">
        <f t="shared" si="2"/>
        <v>Агата</v>
      </c>
      <c r="L14" t="str">
        <f t="shared" si="3"/>
        <v>Юрьевна</v>
      </c>
    </row>
    <row r="15" spans="1:12" x14ac:dyDescent="0.25">
      <c r="A15">
        <v>414</v>
      </c>
      <c r="B15" t="s">
        <v>760</v>
      </c>
      <c r="C15" s="35" t="s">
        <v>1102</v>
      </c>
      <c r="D15" t="s">
        <v>140</v>
      </c>
      <c r="E15" s="23">
        <v>44794</v>
      </c>
      <c r="F15" t="str">
        <f>LEFT(Таблица4[[#This Row],[номер телефона клиента]],LEN(Таблица4[[#This Row],[номер телефона клиента]])-13)</f>
        <v>+375</v>
      </c>
      <c r="G15" t="str">
        <f>_xlfn.XLOOKUP(Таблица4[[#This Row],[Коды телефона]],Таблица5[Код],Таблица5[Страна],"Не найдено",0)</f>
        <v>Беларусь</v>
      </c>
      <c r="H15" s="23">
        <f t="shared" ca="1" si="0"/>
        <v>46020</v>
      </c>
      <c r="I15" s="19">
        <f ca="1">(Таблица4[[#This Row],[Текущая дата]]-Таблица4[[#This Row],[Дата регистрации клиента]])/30</f>
        <v>40.866666666666667</v>
      </c>
      <c r="J15" t="str">
        <f t="shared" si="1"/>
        <v>Наумова</v>
      </c>
      <c r="K15" t="str">
        <f t="shared" si="2"/>
        <v>Юлия</v>
      </c>
      <c r="L15" t="str">
        <f t="shared" si="3"/>
        <v>Леоновна</v>
      </c>
    </row>
    <row r="16" spans="1:12" x14ac:dyDescent="0.25">
      <c r="A16">
        <v>236</v>
      </c>
      <c r="B16" t="s">
        <v>759</v>
      </c>
      <c r="C16" s="35" t="s">
        <v>1103</v>
      </c>
      <c r="D16" t="s">
        <v>142</v>
      </c>
      <c r="E16" s="23">
        <v>44820</v>
      </c>
      <c r="F16" t="str">
        <f>LEFT(Таблица4[[#This Row],[номер телефона клиента]],LEN(Таблица4[[#This Row],[номер телефона клиента]])-13)</f>
        <v>+998</v>
      </c>
      <c r="G16" t="str">
        <f>_xlfn.XLOOKUP(Таблица4[[#This Row],[Коды телефона]],Таблица5[Код],Таблица5[Страна],"Не найдено",0)</f>
        <v>Узбекистан</v>
      </c>
      <c r="H16" s="23">
        <f t="shared" ca="1" si="0"/>
        <v>46020</v>
      </c>
      <c r="I16" s="19">
        <f ca="1">(Таблица4[[#This Row],[Текущая дата]]-Таблица4[[#This Row],[Дата регистрации клиента]])/30</f>
        <v>40</v>
      </c>
      <c r="J16" t="str">
        <f t="shared" si="1"/>
        <v>Никонов</v>
      </c>
      <c r="K16" t="str">
        <f t="shared" si="2"/>
        <v>Лонгин</v>
      </c>
      <c r="L16" t="str">
        <f t="shared" si="3"/>
        <v>Арсенович</v>
      </c>
    </row>
    <row r="17" spans="1:12" x14ac:dyDescent="0.25">
      <c r="A17">
        <v>164</v>
      </c>
      <c r="B17" t="s">
        <v>758</v>
      </c>
      <c r="C17" s="35" t="s">
        <v>1104</v>
      </c>
      <c r="D17" t="s">
        <v>140</v>
      </c>
      <c r="E17" s="23">
        <v>44678</v>
      </c>
      <c r="F17" t="str">
        <f>LEFT(Таблица4[[#This Row],[номер телефона клиента]],LEN(Таблица4[[#This Row],[номер телефона клиента]])-13)</f>
        <v>+7</v>
      </c>
      <c r="G17" t="str">
        <f>_xlfn.XLOOKUP(Таблица4[[#This Row],[Коды телефона]],Таблица5[Код],Таблица5[Страна],"Не найдено",0)</f>
        <v>Россия</v>
      </c>
      <c r="H17" s="23">
        <f t="shared" ca="1" si="0"/>
        <v>46020</v>
      </c>
      <c r="I17" s="19">
        <f ca="1">(Таблица4[[#This Row],[Текущая дата]]-Таблица4[[#This Row],[Дата регистрации клиента]])/30</f>
        <v>44.733333333333334</v>
      </c>
      <c r="J17" t="str">
        <f t="shared" si="1"/>
        <v>Иванов</v>
      </c>
      <c r="K17" t="str">
        <f t="shared" si="2"/>
        <v>Филимон</v>
      </c>
      <c r="L17" t="str">
        <f t="shared" si="3"/>
        <v>Федотович</v>
      </c>
    </row>
    <row r="18" spans="1:12" x14ac:dyDescent="0.25">
      <c r="A18">
        <v>490</v>
      </c>
      <c r="B18" t="s">
        <v>757</v>
      </c>
      <c r="C18" s="35" t="s">
        <v>756</v>
      </c>
      <c r="D18" t="s">
        <v>140</v>
      </c>
      <c r="E18" s="23">
        <v>44603</v>
      </c>
      <c r="F18" t="str">
        <f>LEFT(Таблица4[[#This Row],[номер телефона клиента]],LEN(Таблица4[[#This Row],[номер телефона клиента]])-13)</f>
        <v>+7</v>
      </c>
      <c r="G18" t="str">
        <f>_xlfn.XLOOKUP(Таблица4[[#This Row],[Коды телефона]],Таблица5[Код],Таблица5[Страна],"Не найдено",0)</f>
        <v>Россия</v>
      </c>
      <c r="H18" s="23">
        <f t="shared" ca="1" si="0"/>
        <v>46020</v>
      </c>
      <c r="I18" s="19">
        <f ca="1">(Таблица4[[#This Row],[Текущая дата]]-Таблица4[[#This Row],[Дата регистрации клиента]])/30</f>
        <v>47.233333333333334</v>
      </c>
      <c r="J18" t="str">
        <f t="shared" si="1"/>
        <v>Кудрявцев</v>
      </c>
      <c r="K18" t="str">
        <f t="shared" si="2"/>
        <v>Демид</v>
      </c>
      <c r="L18" t="str">
        <f t="shared" si="3"/>
        <v>Ерофеевич</v>
      </c>
    </row>
    <row r="19" spans="1:12" x14ac:dyDescent="0.25">
      <c r="A19">
        <v>223</v>
      </c>
      <c r="B19" t="s">
        <v>755</v>
      </c>
      <c r="C19" s="35" t="s">
        <v>1105</v>
      </c>
      <c r="D19" t="s">
        <v>142</v>
      </c>
      <c r="E19" s="23">
        <v>44893</v>
      </c>
      <c r="F19" t="str">
        <f>LEFT(Таблица4[[#This Row],[номер телефона клиента]],LEN(Таблица4[[#This Row],[номер телефона клиента]])-13)</f>
        <v>+380</v>
      </c>
      <c r="G19" t="str">
        <f>_xlfn.XLOOKUP(Таблица4[[#This Row],[Коды телефона]],Таблица5[Код],Таблица5[Страна],"Не найдено",0)</f>
        <v>Украина</v>
      </c>
      <c r="H19" s="23">
        <f t="shared" ca="1" si="0"/>
        <v>46020</v>
      </c>
      <c r="I19" s="19">
        <f ca="1">(Таблица4[[#This Row],[Текущая дата]]-Таблица4[[#This Row],[Дата регистрации клиента]])/30</f>
        <v>37.56666666666667</v>
      </c>
      <c r="J19" t="str">
        <f t="shared" si="1"/>
        <v>Федосеева</v>
      </c>
      <c r="K19" t="str">
        <f t="shared" si="2"/>
        <v>Вероника</v>
      </c>
      <c r="L19" t="str">
        <f t="shared" si="3"/>
        <v>Евгеньевна</v>
      </c>
    </row>
    <row r="20" spans="1:12" x14ac:dyDescent="0.25">
      <c r="A20">
        <v>204</v>
      </c>
      <c r="B20" t="s">
        <v>754</v>
      </c>
      <c r="C20" s="35" t="s">
        <v>753</v>
      </c>
      <c r="D20" t="s">
        <v>142</v>
      </c>
      <c r="E20" s="23">
        <v>44867</v>
      </c>
      <c r="F20" t="str">
        <f>LEFT(Таблица4[[#This Row],[номер телефона клиента]],LEN(Таблица4[[#This Row],[номер телефона клиента]])-13)</f>
        <v>+7</v>
      </c>
      <c r="G20" t="str">
        <f>_xlfn.XLOOKUP(Таблица4[[#This Row],[Коды телефона]],Таблица5[Код],Таблица5[Страна],"Не найдено",0)</f>
        <v>Россия</v>
      </c>
      <c r="H20" s="23">
        <f t="shared" ca="1" si="0"/>
        <v>46020</v>
      </c>
      <c r="I20" s="19">
        <f ca="1">(Таблица4[[#This Row],[Текущая дата]]-Таблица4[[#This Row],[Дата регистрации клиента]])/30</f>
        <v>38.43333333333333</v>
      </c>
      <c r="J20" t="str">
        <f t="shared" si="1"/>
        <v>Герасимов</v>
      </c>
      <c r="K20" t="str">
        <f t="shared" si="2"/>
        <v>Еремей</v>
      </c>
      <c r="L20" t="str">
        <f t="shared" si="3"/>
        <v>Демидович</v>
      </c>
    </row>
    <row r="21" spans="1:12" x14ac:dyDescent="0.25">
      <c r="A21">
        <v>481</v>
      </c>
      <c r="B21" t="s">
        <v>752</v>
      </c>
      <c r="C21" s="35" t="s">
        <v>751</v>
      </c>
      <c r="D21" t="s">
        <v>142</v>
      </c>
      <c r="E21" s="23">
        <v>44756</v>
      </c>
      <c r="F21" t="str">
        <f>LEFT(Таблица4[[#This Row],[номер телефона клиента]],LEN(Таблица4[[#This Row],[номер телефона клиента]])-13)</f>
        <v>+375</v>
      </c>
      <c r="G21" t="str">
        <f>_xlfn.XLOOKUP(Таблица4[[#This Row],[Коды телефона]],Таблица5[Код],Таблица5[Страна],"Не найдено",0)</f>
        <v>Беларусь</v>
      </c>
      <c r="H21" s="23">
        <f t="shared" ca="1" si="0"/>
        <v>46020</v>
      </c>
      <c r="I21" s="19">
        <f ca="1">(Таблица4[[#This Row],[Текущая дата]]-Таблица4[[#This Row],[Дата регистрации клиента]])/30</f>
        <v>42.133333333333333</v>
      </c>
      <c r="J21" t="str">
        <f t="shared" si="1"/>
        <v>Новикова</v>
      </c>
      <c r="K21" t="str">
        <f t="shared" si="2"/>
        <v>Лидия</v>
      </c>
      <c r="L21" t="str">
        <f t="shared" si="3"/>
        <v>Павловна</v>
      </c>
    </row>
    <row r="22" spans="1:12" x14ac:dyDescent="0.25">
      <c r="A22">
        <v>363</v>
      </c>
      <c r="B22" t="s">
        <v>750</v>
      </c>
      <c r="C22" s="35" t="s">
        <v>749</v>
      </c>
      <c r="D22" t="s">
        <v>140</v>
      </c>
      <c r="E22" s="23">
        <v>44675</v>
      </c>
      <c r="F22" t="str">
        <f>LEFT(Таблица4[[#This Row],[номер телефона клиента]],LEN(Таблица4[[#This Row],[номер телефона клиента]])-13)</f>
        <v>+998</v>
      </c>
      <c r="G22" t="str">
        <f>_xlfn.XLOOKUP(Таблица4[[#This Row],[Коды телефона]],Таблица5[Код],Таблица5[Страна],"Не найдено",0)</f>
        <v>Узбекистан</v>
      </c>
      <c r="H22" s="23">
        <f t="shared" ca="1" si="0"/>
        <v>46020</v>
      </c>
      <c r="I22" s="19">
        <f ca="1">(Таблица4[[#This Row],[Текущая дата]]-Таблица4[[#This Row],[Дата регистрации клиента]])/30</f>
        <v>44.833333333333336</v>
      </c>
      <c r="J22" t="str">
        <f t="shared" si="1"/>
        <v>Сорокина</v>
      </c>
      <c r="K22" t="str">
        <f t="shared" si="2"/>
        <v>Феврония</v>
      </c>
      <c r="L22" t="str">
        <f t="shared" si="3"/>
        <v>Натановна</v>
      </c>
    </row>
    <row r="23" spans="1:12" x14ac:dyDescent="0.25">
      <c r="A23">
        <v>397</v>
      </c>
      <c r="B23" t="s">
        <v>748</v>
      </c>
      <c r="C23" s="35" t="s">
        <v>1106</v>
      </c>
      <c r="D23" t="s">
        <v>140</v>
      </c>
      <c r="E23" s="23">
        <v>44728</v>
      </c>
      <c r="F23" t="str">
        <f>LEFT(Таблица4[[#This Row],[номер телефона клиента]],LEN(Таблица4[[#This Row],[номер телефона клиента]])-13)</f>
        <v>+375</v>
      </c>
      <c r="G23" t="str">
        <f>_xlfn.XLOOKUP(Таблица4[[#This Row],[Коды телефона]],Таблица5[Код],Таблица5[Страна],"Не найдено",0)</f>
        <v>Беларусь</v>
      </c>
      <c r="H23" s="23">
        <f t="shared" ca="1" si="0"/>
        <v>46020</v>
      </c>
      <c r="I23" s="19">
        <f ca="1">(Таблица4[[#This Row],[Текущая дата]]-Таблица4[[#This Row],[Дата регистрации клиента]])/30</f>
        <v>43.06666666666667</v>
      </c>
      <c r="J23" t="str">
        <f t="shared" si="1"/>
        <v>Лазарева</v>
      </c>
      <c r="K23" t="str">
        <f t="shared" si="2"/>
        <v>Нинель</v>
      </c>
      <c r="L23" t="str">
        <f t="shared" si="3"/>
        <v>Натановна</v>
      </c>
    </row>
    <row r="24" spans="1:12" x14ac:dyDescent="0.25">
      <c r="A24">
        <v>280</v>
      </c>
      <c r="B24" t="s">
        <v>747</v>
      </c>
      <c r="C24" s="35" t="s">
        <v>1107</v>
      </c>
      <c r="D24" t="s">
        <v>140</v>
      </c>
      <c r="E24" s="23">
        <v>44563</v>
      </c>
      <c r="F24" t="str">
        <f>LEFT(Таблица4[[#This Row],[номер телефона клиента]],LEN(Таблица4[[#This Row],[номер телефона клиента]])-13)</f>
        <v>+7</v>
      </c>
      <c r="G24" t="str">
        <f>_xlfn.XLOOKUP(Таблица4[[#This Row],[Коды телефона]],Таблица5[Код],Таблица5[Страна],"Не найдено",0)</f>
        <v>Россия</v>
      </c>
      <c r="H24" s="23">
        <f t="shared" ca="1" si="0"/>
        <v>46020</v>
      </c>
      <c r="I24" s="19">
        <f ca="1">(Таблица4[[#This Row],[Текущая дата]]-Таблица4[[#This Row],[Дата регистрации клиента]])/30</f>
        <v>48.56666666666667</v>
      </c>
      <c r="J24" t="str">
        <f t="shared" si="1"/>
        <v>Рыбаков</v>
      </c>
      <c r="K24" t="str">
        <f t="shared" si="2"/>
        <v>Автоном</v>
      </c>
      <c r="L24" t="str">
        <f t="shared" si="3"/>
        <v>Антонович</v>
      </c>
    </row>
    <row r="25" spans="1:12" x14ac:dyDescent="0.25">
      <c r="A25">
        <v>39</v>
      </c>
      <c r="B25" t="s">
        <v>746</v>
      </c>
      <c r="C25" s="35" t="s">
        <v>745</v>
      </c>
      <c r="D25" t="s">
        <v>142</v>
      </c>
      <c r="E25" s="23">
        <v>44653</v>
      </c>
      <c r="F25" t="str">
        <f>LEFT(Таблица4[[#This Row],[номер телефона клиента]],LEN(Таблица4[[#This Row],[номер телефона клиента]])-13)</f>
        <v>+375</v>
      </c>
      <c r="G25" t="str">
        <f>_xlfn.XLOOKUP(Таблица4[[#This Row],[Коды телефона]],Таблица5[Код],Таблица5[Страна],"Не найдено",0)</f>
        <v>Беларусь</v>
      </c>
      <c r="H25" s="23">
        <f t="shared" ca="1" si="0"/>
        <v>46020</v>
      </c>
      <c r="I25" s="19">
        <f ca="1">(Таблица4[[#This Row],[Текущая дата]]-Таблица4[[#This Row],[Дата регистрации клиента]])/30</f>
        <v>45.56666666666667</v>
      </c>
      <c r="J25" t="str">
        <f t="shared" si="1"/>
        <v>Бирюков</v>
      </c>
      <c r="K25" t="str">
        <f t="shared" si="2"/>
        <v>Олимпий</v>
      </c>
      <c r="L25" t="str">
        <f t="shared" si="3"/>
        <v>Иосифович</v>
      </c>
    </row>
    <row r="26" spans="1:12" x14ac:dyDescent="0.25">
      <c r="A26">
        <v>303</v>
      </c>
      <c r="B26" t="s">
        <v>744</v>
      </c>
      <c r="C26" s="35" t="s">
        <v>1108</v>
      </c>
      <c r="D26" t="s">
        <v>140</v>
      </c>
      <c r="E26" s="23">
        <v>44689</v>
      </c>
      <c r="F26" t="str">
        <f>LEFT(Таблица4[[#This Row],[номер телефона клиента]],LEN(Таблица4[[#This Row],[номер телефона клиента]])-13)</f>
        <v>+998</v>
      </c>
      <c r="G26" t="str">
        <f>_xlfn.XLOOKUP(Таблица4[[#This Row],[Коды телефона]],Таблица5[Код],Таблица5[Страна],"Не найдено",0)</f>
        <v>Узбекистан</v>
      </c>
      <c r="H26" s="23">
        <f t="shared" ca="1" si="0"/>
        <v>46020</v>
      </c>
      <c r="I26" s="19">
        <f ca="1">(Таблица4[[#This Row],[Текущая дата]]-Таблица4[[#This Row],[Дата регистрации клиента]])/30</f>
        <v>44.366666666666667</v>
      </c>
      <c r="J26" t="str">
        <f t="shared" si="1"/>
        <v>Шестаков</v>
      </c>
      <c r="K26" t="str">
        <f t="shared" si="2"/>
        <v>Чеслав</v>
      </c>
      <c r="L26" t="str">
        <f t="shared" si="3"/>
        <v>Виленович</v>
      </c>
    </row>
    <row r="27" spans="1:12" x14ac:dyDescent="0.25">
      <c r="A27">
        <v>422</v>
      </c>
      <c r="B27" t="s">
        <v>743</v>
      </c>
      <c r="C27" s="35" t="s">
        <v>742</v>
      </c>
      <c r="D27" t="s">
        <v>140</v>
      </c>
      <c r="E27" s="23">
        <v>44784</v>
      </c>
      <c r="F27" t="str">
        <f>LEFT(Таблица4[[#This Row],[номер телефона клиента]],LEN(Таблица4[[#This Row],[номер телефона клиента]])-13)</f>
        <v>+380</v>
      </c>
      <c r="G27" t="str">
        <f>_xlfn.XLOOKUP(Таблица4[[#This Row],[Коды телефона]],Таблица5[Код],Таблица5[Страна],"Не найдено",0)</f>
        <v>Украина</v>
      </c>
      <c r="H27" s="23">
        <f t="shared" ca="1" si="0"/>
        <v>46020</v>
      </c>
      <c r="I27" s="19">
        <f ca="1">(Таблица4[[#This Row],[Текущая дата]]-Таблица4[[#This Row],[Дата регистрации клиента]])/30</f>
        <v>41.2</v>
      </c>
      <c r="J27" t="str">
        <f t="shared" si="1"/>
        <v>Виноградов</v>
      </c>
      <c r="K27" t="str">
        <f t="shared" si="2"/>
        <v>Карл</v>
      </c>
      <c r="L27" t="str">
        <f t="shared" si="3"/>
        <v>Алексеевич</v>
      </c>
    </row>
    <row r="28" spans="1:12" x14ac:dyDescent="0.25">
      <c r="A28">
        <v>24</v>
      </c>
      <c r="B28" t="s">
        <v>741</v>
      </c>
      <c r="C28" s="35" t="s">
        <v>740</v>
      </c>
      <c r="D28" t="s">
        <v>142</v>
      </c>
      <c r="E28" s="23">
        <v>44609</v>
      </c>
      <c r="F28" t="str">
        <f>LEFT(Таблица4[[#This Row],[номер телефона клиента]],LEN(Таблица4[[#This Row],[номер телефона клиента]])-13)</f>
        <v>+998</v>
      </c>
      <c r="G28" t="str">
        <f>_xlfn.XLOOKUP(Таблица4[[#This Row],[Коды телефона]],Таблица5[Код],Таблица5[Страна],"Не найдено",0)</f>
        <v>Узбекистан</v>
      </c>
      <c r="H28" s="23">
        <f t="shared" ca="1" si="0"/>
        <v>46020</v>
      </c>
      <c r="I28" s="19">
        <f ca="1">(Таблица4[[#This Row],[Текущая дата]]-Таблица4[[#This Row],[Дата регистрации клиента]])/30</f>
        <v>47.033333333333331</v>
      </c>
      <c r="J28" t="str">
        <f t="shared" si="1"/>
        <v>Кудрявцева</v>
      </c>
      <c r="K28" t="str">
        <f t="shared" si="2"/>
        <v>Ульяна</v>
      </c>
      <c r="L28" t="str">
        <f t="shared" si="3"/>
        <v>Филипповна</v>
      </c>
    </row>
    <row r="29" spans="1:12" x14ac:dyDescent="0.25">
      <c r="A29">
        <v>112</v>
      </c>
      <c r="B29" t="s">
        <v>739</v>
      </c>
      <c r="C29" s="35" t="s">
        <v>1109</v>
      </c>
      <c r="D29" t="s">
        <v>140</v>
      </c>
      <c r="E29" s="23">
        <v>44652</v>
      </c>
      <c r="F29" t="str">
        <f>LEFT(Таблица4[[#This Row],[номер телефона клиента]],LEN(Таблица4[[#This Row],[номер телефона клиента]])-13)</f>
        <v>+7</v>
      </c>
      <c r="G29" t="str">
        <f>_xlfn.XLOOKUP(Таблица4[[#This Row],[Коды телефона]],Таблица5[Код],Таблица5[Страна],"Не найдено",0)</f>
        <v>Россия</v>
      </c>
      <c r="H29" s="23">
        <f t="shared" ca="1" si="0"/>
        <v>46020</v>
      </c>
      <c r="I29" s="19">
        <f ca="1">(Таблица4[[#This Row],[Текущая дата]]-Таблица4[[#This Row],[Дата регистрации клиента]])/30</f>
        <v>45.6</v>
      </c>
      <c r="J29" t="str">
        <f t="shared" si="1"/>
        <v>Рябова</v>
      </c>
      <c r="K29" t="str">
        <f t="shared" si="2"/>
        <v>Майя</v>
      </c>
      <c r="L29" t="str">
        <f t="shared" si="3"/>
        <v>Вадимовна</v>
      </c>
    </row>
    <row r="30" spans="1:12" x14ac:dyDescent="0.25">
      <c r="A30">
        <v>451</v>
      </c>
      <c r="B30" t="s">
        <v>738</v>
      </c>
      <c r="C30" s="35" t="s">
        <v>1110</v>
      </c>
      <c r="D30" t="s">
        <v>142</v>
      </c>
      <c r="E30" s="23">
        <v>44584</v>
      </c>
      <c r="F30" t="str">
        <f>LEFT(Таблица4[[#This Row],[номер телефона клиента]],LEN(Таблица4[[#This Row],[номер телефона клиента]])-13)</f>
        <v>+7</v>
      </c>
      <c r="G30" t="str">
        <f>_xlfn.XLOOKUP(Таблица4[[#This Row],[Коды телефона]],Таблица5[Код],Таблица5[Страна],"Не найдено",0)</f>
        <v>Россия</v>
      </c>
      <c r="H30" s="23">
        <f t="shared" ca="1" si="0"/>
        <v>46020</v>
      </c>
      <c r="I30" s="19">
        <f ca="1">(Таблица4[[#This Row],[Текущая дата]]-Таблица4[[#This Row],[Дата регистрации клиента]])/30</f>
        <v>47.866666666666667</v>
      </c>
      <c r="J30" t="str">
        <f t="shared" si="1"/>
        <v>Тимофеева</v>
      </c>
      <c r="K30" t="str">
        <f t="shared" si="2"/>
        <v>Лукия</v>
      </c>
      <c r="L30" t="str">
        <f t="shared" si="3"/>
        <v>Ефимовна</v>
      </c>
    </row>
    <row r="31" spans="1:12" x14ac:dyDescent="0.25">
      <c r="A31">
        <v>131</v>
      </c>
      <c r="B31" t="s">
        <v>737</v>
      </c>
      <c r="C31" s="35" t="s">
        <v>1111</v>
      </c>
      <c r="D31" t="s">
        <v>142</v>
      </c>
      <c r="E31" s="23">
        <v>44693</v>
      </c>
      <c r="F31" t="str">
        <f>LEFT(Таблица4[[#This Row],[номер телефона клиента]],LEN(Таблица4[[#This Row],[номер телефона клиента]])-13)</f>
        <v>+7</v>
      </c>
      <c r="G31" t="str">
        <f>_xlfn.XLOOKUP(Таблица4[[#This Row],[Коды телефона]],Таблица5[Код],Таблица5[Страна],"Не найдено",0)</f>
        <v>Россия</v>
      </c>
      <c r="H31" s="23">
        <f t="shared" ca="1" si="0"/>
        <v>46020</v>
      </c>
      <c r="I31" s="19">
        <f ca="1">(Таблица4[[#This Row],[Текущая дата]]-Таблица4[[#This Row],[Дата регистрации клиента]])/30</f>
        <v>44.233333333333334</v>
      </c>
      <c r="J31" t="str">
        <f t="shared" si="1"/>
        <v>Евдокимова</v>
      </c>
      <c r="K31" t="str">
        <f t="shared" si="2"/>
        <v>Полина</v>
      </c>
      <c r="L31" t="str">
        <f t="shared" si="3"/>
        <v>Николаевна</v>
      </c>
    </row>
    <row r="32" spans="1:12" x14ac:dyDescent="0.25">
      <c r="A32">
        <v>160</v>
      </c>
      <c r="B32" t="s">
        <v>736</v>
      </c>
      <c r="C32" s="35" t="s">
        <v>1112</v>
      </c>
      <c r="D32" t="s">
        <v>142</v>
      </c>
      <c r="E32" s="23">
        <v>44649</v>
      </c>
      <c r="F32" t="str">
        <f>LEFT(Таблица4[[#This Row],[номер телефона клиента]],LEN(Таблица4[[#This Row],[номер телефона клиента]])-13)</f>
        <v>+998</v>
      </c>
      <c r="G32" t="str">
        <f>_xlfn.XLOOKUP(Таблица4[[#This Row],[Коды телефона]],Таблица5[Код],Таблица5[Страна],"Не найдено",0)</f>
        <v>Узбекистан</v>
      </c>
      <c r="H32" s="23">
        <f t="shared" ca="1" si="0"/>
        <v>46020</v>
      </c>
      <c r="I32" s="19">
        <f ca="1">(Таблица4[[#This Row],[Текущая дата]]-Таблица4[[#This Row],[Дата регистрации клиента]])/30</f>
        <v>45.7</v>
      </c>
      <c r="J32" t="str">
        <f t="shared" si="1"/>
        <v>Королева</v>
      </c>
      <c r="K32" t="str">
        <f t="shared" si="2"/>
        <v>Элеонора</v>
      </c>
      <c r="L32" t="str">
        <f t="shared" si="3"/>
        <v>Ивановна</v>
      </c>
    </row>
    <row r="33" spans="1:12" x14ac:dyDescent="0.25">
      <c r="A33">
        <v>408</v>
      </c>
      <c r="B33" t="s">
        <v>735</v>
      </c>
      <c r="C33" s="35" t="s">
        <v>1113</v>
      </c>
      <c r="D33" t="s">
        <v>140</v>
      </c>
      <c r="E33" s="23">
        <v>44857</v>
      </c>
      <c r="F33" t="str">
        <f>LEFT(Таблица4[[#This Row],[номер телефона клиента]],LEN(Таблица4[[#This Row],[номер телефона клиента]])-13)</f>
        <v>+7</v>
      </c>
      <c r="G33" t="str">
        <f>_xlfn.XLOOKUP(Таблица4[[#This Row],[Коды телефона]],Таблица5[Код],Таблица5[Страна],"Не найдено",0)</f>
        <v>Россия</v>
      </c>
      <c r="H33" s="23">
        <f t="shared" ca="1" si="0"/>
        <v>46020</v>
      </c>
      <c r="I33" s="19">
        <f ca="1">(Таблица4[[#This Row],[Текущая дата]]-Таблица4[[#This Row],[Дата регистрации клиента]])/30</f>
        <v>38.766666666666666</v>
      </c>
      <c r="J33" t="str">
        <f t="shared" si="1"/>
        <v>Журавлева</v>
      </c>
      <c r="K33" t="str">
        <f t="shared" si="2"/>
        <v>Юлия</v>
      </c>
      <c r="L33" t="str">
        <f t="shared" si="3"/>
        <v>Вячеславовна</v>
      </c>
    </row>
    <row r="34" spans="1:12" x14ac:dyDescent="0.25">
      <c r="A34">
        <v>324</v>
      </c>
      <c r="B34" t="s">
        <v>734</v>
      </c>
      <c r="C34" s="35" t="s">
        <v>733</v>
      </c>
      <c r="D34" t="s">
        <v>140</v>
      </c>
      <c r="E34" s="23">
        <v>44761</v>
      </c>
      <c r="F34" t="str">
        <f>LEFT(Таблица4[[#This Row],[номер телефона клиента]],LEN(Таблица4[[#This Row],[номер телефона клиента]])-13)</f>
        <v>+998</v>
      </c>
      <c r="G34" t="str">
        <f>_xlfn.XLOOKUP(Таблица4[[#This Row],[Коды телефона]],Таблица5[Код],Таблица5[Страна],"Не найдено",0)</f>
        <v>Узбекистан</v>
      </c>
      <c r="H34" s="23">
        <f t="shared" ca="1" si="0"/>
        <v>46020</v>
      </c>
      <c r="I34" s="19">
        <f ca="1">(Таблица4[[#This Row],[Текущая дата]]-Таблица4[[#This Row],[Дата регистрации клиента]])/30</f>
        <v>41.966666666666669</v>
      </c>
      <c r="J34" t="str">
        <f t="shared" si="1"/>
        <v>Алексеев</v>
      </c>
      <c r="K34" t="str">
        <f t="shared" si="2"/>
        <v>Касьян</v>
      </c>
      <c r="L34" t="str">
        <f t="shared" si="3"/>
        <v>Ефимович</v>
      </c>
    </row>
    <row r="35" spans="1:12" x14ac:dyDescent="0.25">
      <c r="A35">
        <v>310</v>
      </c>
      <c r="B35" t="s">
        <v>732</v>
      </c>
      <c r="C35" s="35" t="s">
        <v>1114</v>
      </c>
      <c r="D35" t="s">
        <v>140</v>
      </c>
      <c r="E35" s="23">
        <v>44807</v>
      </c>
      <c r="F35" t="str">
        <f>LEFT(Таблица4[[#This Row],[номер телефона клиента]],LEN(Таблица4[[#This Row],[номер телефона клиента]])-13)</f>
        <v>+992</v>
      </c>
      <c r="G35" t="str">
        <f>_xlfn.XLOOKUP(Таблица4[[#This Row],[Коды телефона]],Таблица5[Код],Таблица5[Страна],"Не найдено",0)</f>
        <v>Таджикистан</v>
      </c>
      <c r="H35" s="23">
        <f t="shared" ca="1" si="0"/>
        <v>46020</v>
      </c>
      <c r="I35" s="19">
        <f ca="1">(Таблица4[[#This Row],[Текущая дата]]-Таблица4[[#This Row],[Дата регистрации клиента]])/30</f>
        <v>40.43333333333333</v>
      </c>
      <c r="J35" t="str">
        <f t="shared" si="1"/>
        <v>Дорофеев</v>
      </c>
      <c r="K35" t="str">
        <f t="shared" si="2"/>
        <v>Феофан</v>
      </c>
      <c r="L35" t="str">
        <f t="shared" si="3"/>
        <v>Гурьевич</v>
      </c>
    </row>
    <row r="36" spans="1:12" x14ac:dyDescent="0.25">
      <c r="A36">
        <v>179</v>
      </c>
      <c r="B36" t="s">
        <v>731</v>
      </c>
      <c r="C36" s="35" t="s">
        <v>730</v>
      </c>
      <c r="D36" t="s">
        <v>142</v>
      </c>
      <c r="E36" s="23">
        <v>44833</v>
      </c>
      <c r="F36" t="str">
        <f>LEFT(Таблица4[[#This Row],[номер телефона клиента]],LEN(Таблица4[[#This Row],[номер телефона клиента]])-13)</f>
        <v>+7</v>
      </c>
      <c r="G36" t="str">
        <f>_xlfn.XLOOKUP(Таблица4[[#This Row],[Коды телефона]],Таблица5[Код],Таблица5[Страна],"Не найдено",0)</f>
        <v>Россия</v>
      </c>
      <c r="H36" s="23">
        <f t="shared" ca="1" si="0"/>
        <v>46020</v>
      </c>
      <c r="I36" s="19">
        <f ca="1">(Таблица4[[#This Row],[Текущая дата]]-Таблица4[[#This Row],[Дата регистрации клиента]])/30</f>
        <v>39.56666666666667</v>
      </c>
      <c r="J36" t="str">
        <f t="shared" si="1"/>
        <v>Капустина</v>
      </c>
      <c r="K36" t="str">
        <f t="shared" si="2"/>
        <v>Тамара</v>
      </c>
      <c r="L36" t="str">
        <f t="shared" si="3"/>
        <v>Валериевна</v>
      </c>
    </row>
    <row r="37" spans="1:12" x14ac:dyDescent="0.25">
      <c r="A37">
        <v>64</v>
      </c>
      <c r="B37" t="s">
        <v>729</v>
      </c>
      <c r="C37" s="35" t="s">
        <v>1115</v>
      </c>
      <c r="D37" t="s">
        <v>142</v>
      </c>
      <c r="E37" s="23">
        <v>44707</v>
      </c>
      <c r="F37" t="str">
        <f>LEFT(Таблица4[[#This Row],[номер телефона клиента]],LEN(Таблица4[[#This Row],[номер телефона клиента]])-13)</f>
        <v>+998</v>
      </c>
      <c r="G37" t="str">
        <f>_xlfn.XLOOKUP(Таблица4[[#This Row],[Коды телефона]],Таблица5[Код],Таблица5[Страна],"Не найдено",0)</f>
        <v>Узбекистан</v>
      </c>
      <c r="H37" s="23">
        <f t="shared" ca="1" si="0"/>
        <v>46020</v>
      </c>
      <c r="I37" s="19">
        <f ca="1">(Таблица4[[#This Row],[Текущая дата]]-Таблица4[[#This Row],[Дата регистрации клиента]])/30</f>
        <v>43.766666666666666</v>
      </c>
      <c r="J37" t="str">
        <f t="shared" si="1"/>
        <v>Петров</v>
      </c>
      <c r="K37" t="str">
        <f t="shared" si="2"/>
        <v>Ратибор</v>
      </c>
      <c r="L37" t="str">
        <f t="shared" si="3"/>
        <v>Арсеньевич</v>
      </c>
    </row>
    <row r="38" spans="1:12" x14ac:dyDescent="0.25">
      <c r="A38">
        <v>318</v>
      </c>
      <c r="B38" t="s">
        <v>728</v>
      </c>
      <c r="C38" s="35" t="s">
        <v>727</v>
      </c>
      <c r="D38" t="s">
        <v>142</v>
      </c>
      <c r="E38" s="23">
        <v>44892</v>
      </c>
      <c r="F38" t="str">
        <f>LEFT(Таблица4[[#This Row],[номер телефона клиента]],LEN(Таблица4[[#This Row],[номер телефона клиента]])-13)</f>
        <v>+998</v>
      </c>
      <c r="G38" t="str">
        <f>_xlfn.XLOOKUP(Таблица4[[#This Row],[Коды телефона]],Таблица5[Код],Таблица5[Страна],"Не найдено",0)</f>
        <v>Узбекистан</v>
      </c>
      <c r="H38" s="23">
        <f t="shared" ca="1" si="0"/>
        <v>46020</v>
      </c>
      <c r="I38" s="19">
        <f ca="1">(Таблица4[[#This Row],[Текущая дата]]-Таблица4[[#This Row],[Дата регистрации клиента]])/30</f>
        <v>37.6</v>
      </c>
      <c r="J38" t="str">
        <f t="shared" si="1"/>
        <v>Поляков</v>
      </c>
      <c r="K38" t="str">
        <f t="shared" si="2"/>
        <v>Боян</v>
      </c>
      <c r="L38" t="str">
        <f t="shared" si="3"/>
        <v>Андреевич</v>
      </c>
    </row>
    <row r="39" spans="1:12" x14ac:dyDescent="0.25">
      <c r="A39">
        <v>239</v>
      </c>
      <c r="B39" t="s">
        <v>726</v>
      </c>
      <c r="C39" s="35" t="s">
        <v>725</v>
      </c>
      <c r="D39" t="s">
        <v>140</v>
      </c>
      <c r="E39" s="23">
        <v>44767</v>
      </c>
      <c r="F39" t="str">
        <f>LEFT(Таблица4[[#This Row],[номер телефона клиента]],LEN(Таблица4[[#This Row],[номер телефона клиента]])-13)</f>
        <v>+998</v>
      </c>
      <c r="G39" t="str">
        <f>_xlfn.XLOOKUP(Таблица4[[#This Row],[Коды телефона]],Таблица5[Код],Таблица5[Страна],"Не найдено",0)</f>
        <v>Узбекистан</v>
      </c>
      <c r="H39" s="23">
        <f t="shared" ca="1" si="0"/>
        <v>46020</v>
      </c>
      <c r="I39" s="19">
        <f ca="1">(Таблица4[[#This Row],[Текущая дата]]-Таблица4[[#This Row],[Дата регистрации клиента]])/30</f>
        <v>41.766666666666666</v>
      </c>
      <c r="J39" t="str">
        <f t="shared" si="1"/>
        <v>Иванов</v>
      </c>
      <c r="K39" t="str">
        <f t="shared" si="2"/>
        <v>Христофор</v>
      </c>
      <c r="L39" t="str">
        <f t="shared" si="3"/>
        <v>Ильясович</v>
      </c>
    </row>
    <row r="40" spans="1:12" x14ac:dyDescent="0.25">
      <c r="A40">
        <v>194</v>
      </c>
      <c r="B40" t="s">
        <v>724</v>
      </c>
      <c r="C40" s="35" t="s">
        <v>1116</v>
      </c>
      <c r="D40" t="s">
        <v>142</v>
      </c>
      <c r="E40" s="23">
        <v>44924</v>
      </c>
      <c r="F40" t="str">
        <f>LEFT(Таблица4[[#This Row],[номер телефона клиента]],LEN(Таблица4[[#This Row],[номер телефона клиента]])-13)</f>
        <v>+7</v>
      </c>
      <c r="G40" t="str">
        <f>_xlfn.XLOOKUP(Таблица4[[#This Row],[Коды телефона]],Таблица5[Код],Таблица5[Страна],"Не найдено",0)</f>
        <v>Россия</v>
      </c>
      <c r="H40" s="23">
        <f t="shared" ca="1" si="0"/>
        <v>46020</v>
      </c>
      <c r="I40" s="19">
        <f ca="1">(Таблица4[[#This Row],[Текущая дата]]-Таблица4[[#This Row],[Дата регистрации клиента]])/30</f>
        <v>36.533333333333331</v>
      </c>
      <c r="J40" t="str">
        <f t="shared" si="1"/>
        <v>Гурьев</v>
      </c>
      <c r="K40" t="str">
        <f t="shared" si="2"/>
        <v>Сила</v>
      </c>
      <c r="L40" t="str">
        <f t="shared" si="3"/>
        <v>Денисович</v>
      </c>
    </row>
    <row r="41" spans="1:12" x14ac:dyDescent="0.25">
      <c r="A41">
        <v>267</v>
      </c>
      <c r="B41" t="s">
        <v>723</v>
      </c>
      <c r="C41" s="35" t="s">
        <v>1117</v>
      </c>
      <c r="D41" t="s">
        <v>142</v>
      </c>
      <c r="E41" s="23">
        <v>44910</v>
      </c>
      <c r="F41" t="str">
        <f>LEFT(Таблица4[[#This Row],[номер телефона клиента]],LEN(Таблица4[[#This Row],[номер телефона клиента]])-13)</f>
        <v>+7</v>
      </c>
      <c r="G41" t="str">
        <f>_xlfn.XLOOKUP(Таблица4[[#This Row],[Коды телефона]],Таблица5[Код],Таблица5[Страна],"Не найдено",0)</f>
        <v>Россия</v>
      </c>
      <c r="H41" s="23">
        <f t="shared" ca="1" si="0"/>
        <v>46020</v>
      </c>
      <c r="I41" s="19">
        <f ca="1">(Таблица4[[#This Row],[Текущая дата]]-Таблица4[[#This Row],[Дата регистрации клиента]])/30</f>
        <v>37</v>
      </c>
      <c r="J41" t="str">
        <f t="shared" si="1"/>
        <v>Потапова</v>
      </c>
      <c r="K41" t="str">
        <f t="shared" si="2"/>
        <v>Лора</v>
      </c>
      <c r="L41" t="str">
        <f t="shared" si="3"/>
        <v>Болеславовна</v>
      </c>
    </row>
    <row r="42" spans="1:12" x14ac:dyDescent="0.25">
      <c r="A42">
        <v>334</v>
      </c>
      <c r="B42" t="s">
        <v>722</v>
      </c>
      <c r="C42" s="35" t="s">
        <v>721</v>
      </c>
      <c r="D42" t="s">
        <v>140</v>
      </c>
      <c r="E42" s="23">
        <v>44881</v>
      </c>
      <c r="F42" t="str">
        <f>LEFT(Таблица4[[#This Row],[номер телефона клиента]],LEN(Таблица4[[#This Row],[номер телефона клиента]])-13)</f>
        <v>+380</v>
      </c>
      <c r="G42" t="str">
        <f>_xlfn.XLOOKUP(Таблица4[[#This Row],[Коды телефона]],Таблица5[Код],Таблица5[Страна],"Не найдено",0)</f>
        <v>Украина</v>
      </c>
      <c r="H42" s="23">
        <f t="shared" ca="1" si="0"/>
        <v>46020</v>
      </c>
      <c r="I42" s="19">
        <f ca="1">(Таблица4[[#This Row],[Текущая дата]]-Таблица4[[#This Row],[Дата регистрации клиента]])/30</f>
        <v>37.966666666666669</v>
      </c>
      <c r="J42" t="str">
        <f t="shared" si="1"/>
        <v>Федотов</v>
      </c>
      <c r="K42" t="str">
        <f t="shared" si="2"/>
        <v>Радислав</v>
      </c>
      <c r="L42" t="str">
        <f t="shared" si="3"/>
        <v>Антонович</v>
      </c>
    </row>
    <row r="43" spans="1:12" x14ac:dyDescent="0.25">
      <c r="A43">
        <v>47</v>
      </c>
      <c r="B43" t="s">
        <v>720</v>
      </c>
      <c r="C43" s="35" t="s">
        <v>719</v>
      </c>
      <c r="D43" t="s">
        <v>140</v>
      </c>
      <c r="E43" s="23">
        <v>44693</v>
      </c>
      <c r="F43" t="str">
        <f>LEFT(Таблица4[[#This Row],[номер телефона клиента]],LEN(Таблица4[[#This Row],[номер телефона клиента]])-13)</f>
        <v>+375</v>
      </c>
      <c r="G43" t="str">
        <f>_xlfn.XLOOKUP(Таблица4[[#This Row],[Коды телефона]],Таблица5[Код],Таблица5[Страна],"Не найдено",0)</f>
        <v>Беларусь</v>
      </c>
      <c r="H43" s="23">
        <f t="shared" ca="1" si="0"/>
        <v>46020</v>
      </c>
      <c r="I43" s="19">
        <f ca="1">(Таблица4[[#This Row],[Текущая дата]]-Таблица4[[#This Row],[Дата регистрации клиента]])/30</f>
        <v>44.233333333333334</v>
      </c>
      <c r="J43" t="str">
        <f t="shared" si="1"/>
        <v>Лукин</v>
      </c>
      <c r="K43" t="str">
        <f t="shared" si="2"/>
        <v>Харлампий</v>
      </c>
      <c r="L43" t="str">
        <f t="shared" si="3"/>
        <v>Игнатович</v>
      </c>
    </row>
    <row r="44" spans="1:12" x14ac:dyDescent="0.25">
      <c r="A44">
        <v>287</v>
      </c>
      <c r="B44" t="s">
        <v>718</v>
      </c>
      <c r="C44" s="35" t="s">
        <v>717</v>
      </c>
      <c r="D44" t="s">
        <v>142</v>
      </c>
      <c r="E44" s="23">
        <v>44608</v>
      </c>
      <c r="F44" t="str">
        <f>LEFT(Таблица4[[#This Row],[номер телефона клиента]],LEN(Таблица4[[#This Row],[номер телефона клиента]])-13)</f>
        <v>+7</v>
      </c>
      <c r="G44" t="str">
        <f>_xlfn.XLOOKUP(Таблица4[[#This Row],[Коды телефона]],Таблица5[Код],Таблица5[Страна],"Не найдено",0)</f>
        <v>Россия</v>
      </c>
      <c r="H44" s="23">
        <f t="shared" ca="1" si="0"/>
        <v>46020</v>
      </c>
      <c r="I44" s="19">
        <f ca="1">(Таблица4[[#This Row],[Текущая дата]]-Таблица4[[#This Row],[Дата регистрации клиента]])/30</f>
        <v>47.06666666666667</v>
      </c>
      <c r="J44" t="str">
        <f t="shared" si="1"/>
        <v>Полякова</v>
      </c>
      <c r="K44" t="str">
        <f t="shared" si="2"/>
        <v>Анжела</v>
      </c>
      <c r="L44" t="str">
        <f t="shared" si="3"/>
        <v>Аскольдовна</v>
      </c>
    </row>
    <row r="45" spans="1:12" x14ac:dyDescent="0.25">
      <c r="A45">
        <v>145</v>
      </c>
      <c r="B45" t="s">
        <v>716</v>
      </c>
      <c r="C45" s="35" t="s">
        <v>715</v>
      </c>
      <c r="D45" t="s">
        <v>140</v>
      </c>
      <c r="E45" s="23">
        <v>44653</v>
      </c>
      <c r="F45" t="str">
        <f>LEFT(Таблица4[[#This Row],[номер телефона клиента]],LEN(Таблица4[[#This Row],[номер телефона клиента]])-13)</f>
        <v>+380</v>
      </c>
      <c r="G45" t="str">
        <f>_xlfn.XLOOKUP(Таблица4[[#This Row],[Коды телефона]],Таблица5[Код],Таблица5[Страна],"Не найдено",0)</f>
        <v>Украина</v>
      </c>
      <c r="H45" s="23">
        <f t="shared" ca="1" si="0"/>
        <v>46020</v>
      </c>
      <c r="I45" s="19">
        <f ca="1">(Таблица4[[#This Row],[Текущая дата]]-Таблица4[[#This Row],[Дата регистрации клиента]])/30</f>
        <v>45.56666666666667</v>
      </c>
      <c r="J45" t="str">
        <f t="shared" si="1"/>
        <v>Филиппова</v>
      </c>
      <c r="K45" t="str">
        <f t="shared" si="2"/>
        <v>Юлия</v>
      </c>
      <c r="L45" t="str">
        <f t="shared" si="3"/>
        <v>Леоновна</v>
      </c>
    </row>
    <row r="46" spans="1:12" x14ac:dyDescent="0.25">
      <c r="A46">
        <v>270</v>
      </c>
      <c r="B46" t="s">
        <v>714</v>
      </c>
      <c r="C46" s="35" t="s">
        <v>1118</v>
      </c>
      <c r="D46" t="s">
        <v>142</v>
      </c>
      <c r="E46" s="23">
        <v>44827</v>
      </c>
      <c r="F46" t="str">
        <f>LEFT(Таблица4[[#This Row],[номер телефона клиента]],LEN(Таблица4[[#This Row],[номер телефона клиента]])-13)</f>
        <v>+992</v>
      </c>
      <c r="G46" t="str">
        <f>_xlfn.XLOOKUP(Таблица4[[#This Row],[Коды телефона]],Таблица5[Код],Таблица5[Страна],"Не найдено",0)</f>
        <v>Таджикистан</v>
      </c>
      <c r="H46" s="23">
        <f t="shared" ca="1" si="0"/>
        <v>46020</v>
      </c>
      <c r="I46" s="19">
        <f ca="1">(Таблица4[[#This Row],[Текущая дата]]-Таблица4[[#This Row],[Дата регистрации клиента]])/30</f>
        <v>39.766666666666666</v>
      </c>
      <c r="J46" t="str">
        <f t="shared" si="1"/>
        <v>Мухин</v>
      </c>
      <c r="K46" t="str">
        <f t="shared" si="2"/>
        <v>Дементий</v>
      </c>
      <c r="L46" t="str">
        <f t="shared" si="3"/>
        <v>Антипович</v>
      </c>
    </row>
    <row r="47" spans="1:12" x14ac:dyDescent="0.25">
      <c r="A47">
        <v>183</v>
      </c>
      <c r="B47" t="s">
        <v>713</v>
      </c>
      <c r="C47" s="35" t="s">
        <v>1119</v>
      </c>
      <c r="D47" t="s">
        <v>142</v>
      </c>
      <c r="E47" s="23">
        <v>44900</v>
      </c>
      <c r="F47" t="str">
        <f>LEFT(Таблица4[[#This Row],[номер телефона клиента]],LEN(Таблица4[[#This Row],[номер телефона клиента]])-13)</f>
        <v>+992</v>
      </c>
      <c r="G47" t="str">
        <f>_xlfn.XLOOKUP(Таблица4[[#This Row],[Коды телефона]],Таблица5[Код],Таблица5[Страна],"Не найдено",0)</f>
        <v>Таджикистан</v>
      </c>
      <c r="H47" s="23">
        <f t="shared" ca="1" si="0"/>
        <v>46020</v>
      </c>
      <c r="I47" s="19">
        <f ca="1">(Таблица4[[#This Row],[Текущая дата]]-Таблица4[[#This Row],[Дата регистрации клиента]])/30</f>
        <v>37.333333333333336</v>
      </c>
      <c r="J47" t="str">
        <f t="shared" si="1"/>
        <v>Лапина</v>
      </c>
      <c r="K47" t="str">
        <f t="shared" si="2"/>
        <v>Ия</v>
      </c>
      <c r="L47" t="str">
        <f t="shared" si="3"/>
        <v>Никифоровна</v>
      </c>
    </row>
    <row r="48" spans="1:12" x14ac:dyDescent="0.25">
      <c r="A48">
        <v>2</v>
      </c>
      <c r="B48" t="s">
        <v>712</v>
      </c>
      <c r="C48" s="35" t="s">
        <v>711</v>
      </c>
      <c r="D48" t="s">
        <v>140</v>
      </c>
      <c r="E48" s="23">
        <v>44775</v>
      </c>
      <c r="F48" t="str">
        <f>LEFT(Таблица4[[#This Row],[номер телефона клиента]],LEN(Таблица4[[#This Row],[номер телефона клиента]])-13)</f>
        <v>+998</v>
      </c>
      <c r="G48" t="str">
        <f>_xlfn.XLOOKUP(Таблица4[[#This Row],[Коды телефона]],Таблица5[Код],Таблица5[Страна],"Не найдено",0)</f>
        <v>Узбекистан</v>
      </c>
      <c r="H48" s="23">
        <f t="shared" ca="1" si="0"/>
        <v>46020</v>
      </c>
      <c r="I48" s="19">
        <f ca="1">(Таблица4[[#This Row],[Текущая дата]]-Таблица4[[#This Row],[Дата регистрации клиента]])/30</f>
        <v>41.5</v>
      </c>
      <c r="J48" t="str">
        <f t="shared" si="1"/>
        <v>Морозова</v>
      </c>
      <c r="K48" t="str">
        <f t="shared" si="2"/>
        <v>Майя</v>
      </c>
      <c r="L48" t="str">
        <f t="shared" si="3"/>
        <v>Борисовна</v>
      </c>
    </row>
    <row r="49" spans="1:12" x14ac:dyDescent="0.25">
      <c r="A49">
        <v>229</v>
      </c>
      <c r="B49" t="s">
        <v>710</v>
      </c>
      <c r="C49" s="35" t="s">
        <v>709</v>
      </c>
      <c r="D49" t="s">
        <v>140</v>
      </c>
      <c r="E49" s="23">
        <v>44766</v>
      </c>
      <c r="F49" t="str">
        <f>LEFT(Таблица4[[#This Row],[номер телефона клиента]],LEN(Таблица4[[#This Row],[номер телефона клиента]])-13)</f>
        <v>+375</v>
      </c>
      <c r="G49" t="str">
        <f>_xlfn.XLOOKUP(Таблица4[[#This Row],[Коды телефона]],Таблица5[Код],Таблица5[Страна],"Не найдено",0)</f>
        <v>Беларусь</v>
      </c>
      <c r="H49" s="23">
        <f t="shared" ca="1" si="0"/>
        <v>46020</v>
      </c>
      <c r="I49" s="19">
        <f ca="1">(Таблица4[[#This Row],[Текущая дата]]-Таблица4[[#This Row],[Дата регистрации клиента]])/30</f>
        <v>41.8</v>
      </c>
      <c r="J49" t="str">
        <f t="shared" si="1"/>
        <v>Самойлова</v>
      </c>
      <c r="K49" t="str">
        <f t="shared" si="2"/>
        <v>Татьяна</v>
      </c>
      <c r="L49" t="str">
        <f t="shared" si="3"/>
        <v>Эльдаровна</v>
      </c>
    </row>
    <row r="50" spans="1:12" x14ac:dyDescent="0.25">
      <c r="A50">
        <v>385</v>
      </c>
      <c r="B50" t="s">
        <v>708</v>
      </c>
      <c r="C50" s="35" t="s">
        <v>707</v>
      </c>
      <c r="D50" t="s">
        <v>140</v>
      </c>
      <c r="E50" s="23">
        <v>44753</v>
      </c>
      <c r="F50" t="str">
        <f>LEFT(Таблица4[[#This Row],[номер телефона клиента]],LEN(Таблица4[[#This Row],[номер телефона клиента]])-13)</f>
        <v>+380</v>
      </c>
      <c r="G50" t="str">
        <f>_xlfn.XLOOKUP(Таблица4[[#This Row],[Коды телефона]],Таблица5[Код],Таблица5[Страна],"Не найдено",0)</f>
        <v>Украина</v>
      </c>
      <c r="H50" s="23">
        <f t="shared" ca="1" si="0"/>
        <v>46020</v>
      </c>
      <c r="I50" s="19">
        <f ca="1">(Таблица4[[#This Row],[Текущая дата]]-Таблица4[[#This Row],[Дата регистрации клиента]])/30</f>
        <v>42.233333333333334</v>
      </c>
      <c r="J50" t="str">
        <f t="shared" si="1"/>
        <v>Стрелков</v>
      </c>
      <c r="K50" t="str">
        <f t="shared" si="2"/>
        <v>Геннадий</v>
      </c>
      <c r="L50" t="str">
        <f t="shared" si="3"/>
        <v>Бориславович</v>
      </c>
    </row>
    <row r="51" spans="1:12" x14ac:dyDescent="0.25">
      <c r="A51">
        <v>407</v>
      </c>
      <c r="B51" t="s">
        <v>706</v>
      </c>
      <c r="C51" s="35" t="s">
        <v>1120</v>
      </c>
      <c r="D51" t="s">
        <v>142</v>
      </c>
      <c r="E51" s="23">
        <v>44621</v>
      </c>
      <c r="F51" t="str">
        <f>LEFT(Таблица4[[#This Row],[номер телефона клиента]],LEN(Таблица4[[#This Row],[номер телефона клиента]])-13)</f>
        <v>+375</v>
      </c>
      <c r="G51" t="str">
        <f>_xlfn.XLOOKUP(Таблица4[[#This Row],[Коды телефона]],Таблица5[Код],Таблица5[Страна],"Не найдено",0)</f>
        <v>Беларусь</v>
      </c>
      <c r="H51" s="23">
        <f t="shared" ca="1" si="0"/>
        <v>46020</v>
      </c>
      <c r="I51" s="19">
        <f ca="1">(Таблица4[[#This Row],[Текущая дата]]-Таблица4[[#This Row],[Дата регистрации клиента]])/30</f>
        <v>46.633333333333333</v>
      </c>
      <c r="J51" t="str">
        <f t="shared" si="1"/>
        <v>Фомичев</v>
      </c>
      <c r="K51" t="str">
        <f t="shared" si="2"/>
        <v>Карп</v>
      </c>
      <c r="L51" t="str">
        <f t="shared" si="3"/>
        <v>Афанасьевич</v>
      </c>
    </row>
    <row r="52" spans="1:12" x14ac:dyDescent="0.25">
      <c r="A52">
        <v>493</v>
      </c>
      <c r="B52" t="s">
        <v>705</v>
      </c>
      <c r="C52" s="35" t="s">
        <v>704</v>
      </c>
      <c r="D52" t="s">
        <v>142</v>
      </c>
      <c r="E52" s="23">
        <v>44855</v>
      </c>
      <c r="F52" t="str">
        <f>LEFT(Таблица4[[#This Row],[номер телефона клиента]],LEN(Таблица4[[#This Row],[номер телефона клиента]])-13)</f>
        <v>+380</v>
      </c>
      <c r="G52" t="str">
        <f>_xlfn.XLOOKUP(Таблица4[[#This Row],[Коды телефона]],Таблица5[Код],Таблица5[Страна],"Не найдено",0)</f>
        <v>Украина</v>
      </c>
      <c r="H52" s="23">
        <f t="shared" ca="1" si="0"/>
        <v>46020</v>
      </c>
      <c r="I52" s="19">
        <f ca="1">(Таблица4[[#This Row],[Текущая дата]]-Таблица4[[#This Row],[Дата регистрации клиента]])/30</f>
        <v>38.833333333333336</v>
      </c>
      <c r="J52" t="str">
        <f t="shared" si="1"/>
        <v>Кондратьева</v>
      </c>
      <c r="K52" t="str">
        <f t="shared" si="2"/>
        <v>Валентина</v>
      </c>
      <c r="L52" t="str">
        <f t="shared" si="3"/>
        <v>Львовна</v>
      </c>
    </row>
    <row r="53" spans="1:12" x14ac:dyDescent="0.25">
      <c r="A53">
        <v>34</v>
      </c>
      <c r="B53" t="s">
        <v>703</v>
      </c>
      <c r="C53" s="35" t="s">
        <v>702</v>
      </c>
      <c r="D53" t="s">
        <v>140</v>
      </c>
      <c r="E53" s="23">
        <v>44654</v>
      </c>
      <c r="F53" t="str">
        <f>LEFT(Таблица4[[#This Row],[номер телефона клиента]],LEN(Таблица4[[#This Row],[номер телефона клиента]])-13)</f>
        <v>+992</v>
      </c>
      <c r="G53" t="str">
        <f>_xlfn.XLOOKUP(Таблица4[[#This Row],[Коды телефона]],Таблица5[Код],Таблица5[Страна],"Не найдено",0)</f>
        <v>Таджикистан</v>
      </c>
      <c r="H53" s="23">
        <f t="shared" ca="1" si="0"/>
        <v>46020</v>
      </c>
      <c r="I53" s="19">
        <f ca="1">(Таблица4[[#This Row],[Текущая дата]]-Таблица4[[#This Row],[Дата регистрации клиента]])/30</f>
        <v>45.533333333333331</v>
      </c>
      <c r="J53" t="str">
        <f t="shared" si="1"/>
        <v>Абрамова</v>
      </c>
      <c r="K53" t="str">
        <f t="shared" si="2"/>
        <v>Евдокия</v>
      </c>
      <c r="L53" t="str">
        <f t="shared" si="3"/>
        <v>Егоровна</v>
      </c>
    </row>
    <row r="54" spans="1:12" x14ac:dyDescent="0.25">
      <c r="A54">
        <v>190</v>
      </c>
      <c r="B54" t="s">
        <v>701</v>
      </c>
      <c r="C54" s="35" t="s">
        <v>1121</v>
      </c>
      <c r="D54" t="s">
        <v>140</v>
      </c>
      <c r="E54" s="23">
        <v>44689</v>
      </c>
      <c r="F54" t="str">
        <f>LEFT(Таблица4[[#This Row],[номер телефона клиента]],LEN(Таблица4[[#This Row],[номер телефона клиента]])-13)</f>
        <v>+375</v>
      </c>
      <c r="G54" t="str">
        <f>_xlfn.XLOOKUP(Таблица4[[#This Row],[Коды телефона]],Таблица5[Код],Таблица5[Страна],"Не найдено",0)</f>
        <v>Беларусь</v>
      </c>
      <c r="H54" s="23">
        <f t="shared" ca="1" si="0"/>
        <v>46020</v>
      </c>
      <c r="I54" s="19">
        <f ca="1">(Таблица4[[#This Row],[Текущая дата]]-Таблица4[[#This Row],[Дата регистрации клиента]])/30</f>
        <v>44.366666666666667</v>
      </c>
      <c r="J54" t="str">
        <f t="shared" si="1"/>
        <v>Боброва</v>
      </c>
      <c r="K54" t="str">
        <f t="shared" si="2"/>
        <v>Валентина</v>
      </c>
      <c r="L54" t="str">
        <f t="shared" si="3"/>
        <v>Захаровна</v>
      </c>
    </row>
    <row r="55" spans="1:12" x14ac:dyDescent="0.25">
      <c r="A55">
        <v>266</v>
      </c>
      <c r="B55" t="s">
        <v>700</v>
      </c>
      <c r="C55" s="35" t="s">
        <v>699</v>
      </c>
      <c r="D55" t="s">
        <v>140</v>
      </c>
      <c r="E55" s="23">
        <v>44795</v>
      </c>
      <c r="F55" t="str">
        <f>LEFT(Таблица4[[#This Row],[номер телефона клиента]],LEN(Таблица4[[#This Row],[номер телефона клиента]])-13)</f>
        <v>+7</v>
      </c>
      <c r="G55" t="str">
        <f>_xlfn.XLOOKUP(Таблица4[[#This Row],[Коды телефона]],Таблица5[Код],Таблица5[Страна],"Не найдено",0)</f>
        <v>Россия</v>
      </c>
      <c r="H55" s="23">
        <f t="shared" ca="1" si="0"/>
        <v>46020</v>
      </c>
      <c r="I55" s="19">
        <f ca="1">(Таблица4[[#This Row],[Текущая дата]]-Таблица4[[#This Row],[Дата регистрации клиента]])/30</f>
        <v>40.833333333333336</v>
      </c>
      <c r="J55" t="str">
        <f t="shared" si="1"/>
        <v>Горшкова</v>
      </c>
      <c r="K55" t="str">
        <f t="shared" si="2"/>
        <v>Василиса</v>
      </c>
      <c r="L55" t="str">
        <f t="shared" si="3"/>
        <v>Святославовна</v>
      </c>
    </row>
    <row r="56" spans="1:12" x14ac:dyDescent="0.25">
      <c r="A56">
        <v>222</v>
      </c>
      <c r="B56" t="s">
        <v>698</v>
      </c>
      <c r="C56" s="35" t="s">
        <v>1122</v>
      </c>
      <c r="D56" t="s">
        <v>142</v>
      </c>
      <c r="E56" s="23">
        <v>44694</v>
      </c>
      <c r="F56" t="str">
        <f>LEFT(Таблица4[[#This Row],[номер телефона клиента]],LEN(Таблица4[[#This Row],[номер телефона клиента]])-13)</f>
        <v>+380</v>
      </c>
      <c r="G56" t="str">
        <f>_xlfn.XLOOKUP(Таблица4[[#This Row],[Коды телефона]],Таблица5[Код],Таблица5[Страна],"Не найдено",0)</f>
        <v>Украина</v>
      </c>
      <c r="H56" s="23">
        <f t="shared" ca="1" si="0"/>
        <v>46020</v>
      </c>
      <c r="I56" s="19">
        <f ca="1">(Таблица4[[#This Row],[Текущая дата]]-Таблица4[[#This Row],[Дата регистрации клиента]])/30</f>
        <v>44.2</v>
      </c>
      <c r="J56" t="str">
        <f t="shared" si="1"/>
        <v>Шарапова</v>
      </c>
      <c r="K56" t="str">
        <f t="shared" si="2"/>
        <v>Эмилия</v>
      </c>
      <c r="L56" t="str">
        <f t="shared" si="3"/>
        <v>Руслановна</v>
      </c>
    </row>
    <row r="57" spans="1:12" x14ac:dyDescent="0.25">
      <c r="A57">
        <v>382</v>
      </c>
      <c r="B57" t="s">
        <v>697</v>
      </c>
      <c r="C57" s="35" t="s">
        <v>1123</v>
      </c>
      <c r="D57" t="s">
        <v>142</v>
      </c>
      <c r="E57" s="23">
        <v>44850</v>
      </c>
      <c r="F57" t="str">
        <f>LEFT(Таблица4[[#This Row],[номер телефона клиента]],LEN(Таблица4[[#This Row],[номер телефона клиента]])-13)</f>
        <v>+375</v>
      </c>
      <c r="G57" t="str">
        <f>_xlfn.XLOOKUP(Таблица4[[#This Row],[Коды телефона]],Таблица5[Код],Таблица5[Страна],"Не найдено",0)</f>
        <v>Беларусь</v>
      </c>
      <c r="H57" s="23">
        <f t="shared" ca="1" si="0"/>
        <v>46020</v>
      </c>
      <c r="I57" s="19">
        <f ca="1">(Таблица4[[#This Row],[Текущая дата]]-Таблица4[[#This Row],[Дата регистрации клиента]])/30</f>
        <v>39</v>
      </c>
      <c r="J57" t="str">
        <f t="shared" si="1"/>
        <v>Шестакова</v>
      </c>
      <c r="K57" t="str">
        <f t="shared" si="2"/>
        <v>Алина</v>
      </c>
      <c r="L57" t="str">
        <f t="shared" si="3"/>
        <v>Михайловна</v>
      </c>
    </row>
    <row r="58" spans="1:12" x14ac:dyDescent="0.25">
      <c r="A58">
        <v>142</v>
      </c>
      <c r="B58" t="s">
        <v>696</v>
      </c>
      <c r="C58" s="35" t="s">
        <v>1124</v>
      </c>
      <c r="D58" t="s">
        <v>140</v>
      </c>
      <c r="E58" s="23">
        <v>44683</v>
      </c>
      <c r="F58" t="str">
        <f>LEFT(Таблица4[[#This Row],[номер телефона клиента]],LEN(Таблица4[[#This Row],[номер телефона клиента]])-13)</f>
        <v>+7</v>
      </c>
      <c r="G58" t="str">
        <f>_xlfn.XLOOKUP(Таблица4[[#This Row],[Коды телефона]],Таблица5[Код],Таблица5[Страна],"Не найдено",0)</f>
        <v>Россия</v>
      </c>
      <c r="H58" s="23">
        <f t="shared" ca="1" si="0"/>
        <v>46020</v>
      </c>
      <c r="I58" s="19">
        <f ca="1">(Таблица4[[#This Row],[Текущая дата]]-Таблица4[[#This Row],[Дата регистрации клиента]])/30</f>
        <v>44.56666666666667</v>
      </c>
      <c r="J58" t="str">
        <f t="shared" si="1"/>
        <v>Колесникова</v>
      </c>
      <c r="K58" t="str">
        <f t="shared" si="2"/>
        <v>Агата</v>
      </c>
      <c r="L58" t="str">
        <f t="shared" si="3"/>
        <v>Геннадьевна</v>
      </c>
    </row>
    <row r="59" spans="1:12" x14ac:dyDescent="0.25">
      <c r="A59">
        <v>150</v>
      </c>
      <c r="B59" t="s">
        <v>695</v>
      </c>
      <c r="C59" s="35" t="s">
        <v>694</v>
      </c>
      <c r="D59" t="s">
        <v>140</v>
      </c>
      <c r="E59" s="23">
        <v>44622</v>
      </c>
      <c r="F59" t="str">
        <f>LEFT(Таблица4[[#This Row],[номер телефона клиента]],LEN(Таблица4[[#This Row],[номер телефона клиента]])-13)</f>
        <v>+998</v>
      </c>
      <c r="G59" t="str">
        <f>_xlfn.XLOOKUP(Таблица4[[#This Row],[Коды телефона]],Таблица5[Код],Таблица5[Страна],"Не найдено",0)</f>
        <v>Узбекистан</v>
      </c>
      <c r="H59" s="23">
        <f t="shared" ca="1" si="0"/>
        <v>46020</v>
      </c>
      <c r="I59" s="19">
        <f ca="1">(Таблица4[[#This Row],[Текущая дата]]-Таблица4[[#This Row],[Дата регистрации клиента]])/30</f>
        <v>46.6</v>
      </c>
      <c r="J59" t="str">
        <f t="shared" si="1"/>
        <v>Панова</v>
      </c>
      <c r="K59" t="str">
        <f t="shared" si="2"/>
        <v>Евгения</v>
      </c>
      <c r="L59" t="str">
        <f t="shared" si="3"/>
        <v>Викторовна</v>
      </c>
    </row>
    <row r="60" spans="1:12" x14ac:dyDescent="0.25">
      <c r="A60">
        <v>14</v>
      </c>
      <c r="B60" t="s">
        <v>693</v>
      </c>
      <c r="C60" s="35" t="s">
        <v>1125</v>
      </c>
      <c r="D60" t="s">
        <v>142</v>
      </c>
      <c r="E60" s="23">
        <v>44775</v>
      </c>
      <c r="F60" t="str">
        <f>LEFT(Таблица4[[#This Row],[номер телефона клиента]],LEN(Таблица4[[#This Row],[номер телефона клиента]])-13)</f>
        <v>+992</v>
      </c>
      <c r="G60" t="str">
        <f>_xlfn.XLOOKUP(Таблица4[[#This Row],[Коды телефона]],Таблица5[Код],Таблица5[Страна],"Не найдено",0)</f>
        <v>Таджикистан</v>
      </c>
      <c r="H60" s="23">
        <f t="shared" ca="1" si="0"/>
        <v>46020</v>
      </c>
      <c r="I60" s="19">
        <f ca="1">(Таблица4[[#This Row],[Текущая дата]]-Таблица4[[#This Row],[Дата регистрации клиента]])/30</f>
        <v>41.5</v>
      </c>
      <c r="J60" t="str">
        <f t="shared" si="1"/>
        <v>Зимин</v>
      </c>
      <c r="K60" t="str">
        <f t="shared" si="2"/>
        <v>Ипатий</v>
      </c>
      <c r="L60" t="str">
        <f t="shared" si="3"/>
        <v>Устинович</v>
      </c>
    </row>
    <row r="61" spans="1:12" x14ac:dyDescent="0.25">
      <c r="A61">
        <v>371</v>
      </c>
      <c r="B61" t="s">
        <v>692</v>
      </c>
      <c r="C61" s="35" t="s">
        <v>1126</v>
      </c>
      <c r="D61" t="s">
        <v>140</v>
      </c>
      <c r="E61" s="23">
        <v>44844</v>
      </c>
      <c r="F61" t="str">
        <f>LEFT(Таблица4[[#This Row],[номер телефона клиента]],LEN(Таблица4[[#This Row],[номер телефона клиента]])-13)</f>
        <v>+380</v>
      </c>
      <c r="G61" t="str">
        <f>_xlfn.XLOOKUP(Таблица4[[#This Row],[Коды телефона]],Таблица5[Код],Таблица5[Страна],"Не найдено",0)</f>
        <v>Украина</v>
      </c>
      <c r="H61" s="23">
        <f t="shared" ca="1" si="0"/>
        <v>46020</v>
      </c>
      <c r="I61" s="19">
        <f ca="1">(Таблица4[[#This Row],[Текущая дата]]-Таблица4[[#This Row],[Дата регистрации клиента]])/30</f>
        <v>39.200000000000003</v>
      </c>
      <c r="J61" t="str">
        <f t="shared" si="1"/>
        <v>Ефимова</v>
      </c>
      <c r="K61" t="str">
        <f t="shared" si="2"/>
        <v>Регина</v>
      </c>
      <c r="L61" t="str">
        <f t="shared" si="3"/>
        <v>Сергеевна</v>
      </c>
    </row>
    <row r="62" spans="1:12" x14ac:dyDescent="0.25">
      <c r="A62">
        <v>328</v>
      </c>
      <c r="B62" t="s">
        <v>691</v>
      </c>
      <c r="C62" s="35" t="s">
        <v>1127</v>
      </c>
      <c r="D62" t="s">
        <v>142</v>
      </c>
      <c r="E62" s="23">
        <v>44568</v>
      </c>
      <c r="F62" t="str">
        <f>LEFT(Таблица4[[#This Row],[номер телефона клиента]],LEN(Таблица4[[#This Row],[номер телефона клиента]])-13)</f>
        <v>+7</v>
      </c>
      <c r="G62" t="str">
        <f>_xlfn.XLOOKUP(Таблица4[[#This Row],[Коды телефона]],Таблица5[Код],Таблица5[Страна],"Не найдено",0)</f>
        <v>Россия</v>
      </c>
      <c r="H62" s="23">
        <f t="shared" ca="1" si="0"/>
        <v>46020</v>
      </c>
      <c r="I62" s="19">
        <f ca="1">(Таблица4[[#This Row],[Текущая дата]]-Таблица4[[#This Row],[Дата регистрации клиента]])/30</f>
        <v>48.4</v>
      </c>
      <c r="J62" t="str">
        <f t="shared" si="1"/>
        <v>Чернова</v>
      </c>
      <c r="K62" t="str">
        <f t="shared" si="2"/>
        <v>Регина</v>
      </c>
      <c r="L62" t="str">
        <f t="shared" si="3"/>
        <v>Сергеевна</v>
      </c>
    </row>
    <row r="63" spans="1:12" x14ac:dyDescent="0.25">
      <c r="A63">
        <v>171</v>
      </c>
      <c r="B63" t="s">
        <v>690</v>
      </c>
      <c r="C63" s="35" t="s">
        <v>1128</v>
      </c>
      <c r="D63" t="s">
        <v>142</v>
      </c>
      <c r="E63" s="23">
        <v>44710</v>
      </c>
      <c r="F63" t="str">
        <f>LEFT(Таблица4[[#This Row],[номер телефона клиента]],LEN(Таблица4[[#This Row],[номер телефона клиента]])-13)</f>
        <v>+7</v>
      </c>
      <c r="G63" t="str">
        <f>_xlfn.XLOOKUP(Таблица4[[#This Row],[Коды телефона]],Таблица5[Код],Таблица5[Страна],"Не найдено",0)</f>
        <v>Россия</v>
      </c>
      <c r="H63" s="23">
        <f t="shared" ca="1" si="0"/>
        <v>46020</v>
      </c>
      <c r="I63" s="19">
        <f ca="1">(Таблица4[[#This Row],[Текущая дата]]-Таблица4[[#This Row],[Дата регистрации клиента]])/30</f>
        <v>43.666666666666664</v>
      </c>
      <c r="J63" t="str">
        <f t="shared" si="1"/>
        <v>Исаков</v>
      </c>
      <c r="K63" t="str">
        <f t="shared" si="2"/>
        <v>Бажен</v>
      </c>
      <c r="L63" t="str">
        <f t="shared" si="3"/>
        <v>Дмитриевич</v>
      </c>
    </row>
    <row r="64" spans="1:12" x14ac:dyDescent="0.25">
      <c r="A64">
        <v>68</v>
      </c>
      <c r="B64" t="s">
        <v>689</v>
      </c>
      <c r="C64" s="35" t="s">
        <v>1129</v>
      </c>
      <c r="D64" t="s">
        <v>142</v>
      </c>
      <c r="E64" s="23">
        <v>44882</v>
      </c>
      <c r="F64" t="str">
        <f>LEFT(Таблица4[[#This Row],[номер телефона клиента]],LEN(Таблица4[[#This Row],[номер телефона клиента]])-13)</f>
        <v>+998</v>
      </c>
      <c r="G64" t="str">
        <f>_xlfn.XLOOKUP(Таблица4[[#This Row],[Коды телефона]],Таблица5[Код],Таблица5[Страна],"Не найдено",0)</f>
        <v>Узбекистан</v>
      </c>
      <c r="H64" s="23">
        <f t="shared" ca="1" si="0"/>
        <v>46020</v>
      </c>
      <c r="I64" s="19">
        <f ca="1">(Таблица4[[#This Row],[Текущая дата]]-Таблица4[[#This Row],[Дата регистрации клиента]])/30</f>
        <v>37.93333333333333</v>
      </c>
      <c r="J64" t="str">
        <f t="shared" si="1"/>
        <v>Иванова</v>
      </c>
      <c r="K64" t="str">
        <f t="shared" si="2"/>
        <v>Иванна</v>
      </c>
      <c r="L64" t="str">
        <f t="shared" si="3"/>
        <v>Наумовна</v>
      </c>
    </row>
    <row r="65" spans="1:12" x14ac:dyDescent="0.25">
      <c r="A65">
        <v>346</v>
      </c>
      <c r="B65" t="s">
        <v>688</v>
      </c>
      <c r="C65" s="35" t="s">
        <v>1130</v>
      </c>
      <c r="D65" t="s">
        <v>142</v>
      </c>
      <c r="E65" s="23">
        <v>44636</v>
      </c>
      <c r="F65" t="str">
        <f>LEFT(Таблица4[[#This Row],[номер телефона клиента]],LEN(Таблица4[[#This Row],[номер телефона клиента]])-13)</f>
        <v>+7</v>
      </c>
      <c r="G65" t="str">
        <f>_xlfn.XLOOKUP(Таблица4[[#This Row],[Коды телефона]],Таблица5[Код],Таблица5[Страна],"Не найдено",0)</f>
        <v>Россия</v>
      </c>
      <c r="H65" s="23">
        <f t="shared" ca="1" si="0"/>
        <v>46020</v>
      </c>
      <c r="I65" s="19">
        <f ca="1">(Таблица4[[#This Row],[Текущая дата]]-Таблица4[[#This Row],[Дата регистрации клиента]])/30</f>
        <v>46.133333333333333</v>
      </c>
      <c r="J65" t="str">
        <f t="shared" si="1"/>
        <v>Родионов</v>
      </c>
      <c r="K65" t="str">
        <f t="shared" si="2"/>
        <v>Капитон</v>
      </c>
      <c r="L65" t="str">
        <f t="shared" si="3"/>
        <v>Харитонович</v>
      </c>
    </row>
    <row r="66" spans="1:12" x14ac:dyDescent="0.25">
      <c r="A66">
        <v>415</v>
      </c>
      <c r="B66" t="s">
        <v>687</v>
      </c>
      <c r="C66" s="35" t="s">
        <v>1131</v>
      </c>
      <c r="D66" t="s">
        <v>142</v>
      </c>
      <c r="E66" s="23">
        <v>44661</v>
      </c>
      <c r="F66" t="str">
        <f>LEFT(Таблица4[[#This Row],[номер телефона клиента]],LEN(Таблица4[[#This Row],[номер телефона клиента]])-13)</f>
        <v>+380</v>
      </c>
      <c r="G66" t="str">
        <f>_xlfn.XLOOKUP(Таблица4[[#This Row],[Коды телефона]],Таблица5[Код],Таблица5[Страна],"Не найдено",0)</f>
        <v>Украина</v>
      </c>
      <c r="H66" s="23">
        <f t="shared" ref="H66:H129" ca="1" si="4">TODAY()</f>
        <v>46020</v>
      </c>
      <c r="I66" s="19">
        <f ca="1">(Таблица4[[#This Row],[Текущая дата]]-Таблица4[[#This Row],[Дата регистрации клиента]])/30</f>
        <v>45.3</v>
      </c>
      <c r="J66" t="str">
        <f t="shared" ref="J66:J129" si="5">LEFT(C66,FIND(" ",C66)-1)</f>
        <v>Кабанов</v>
      </c>
      <c r="K66" t="str">
        <f t="shared" ref="K66:K129" si="6">MID(C66,FIND(" ",C66)+1,FIND(" ",C66,FIND(" ",C66)+1)-FIND(" ",C66)-1)</f>
        <v>Капитон</v>
      </c>
      <c r="L66" t="str">
        <f t="shared" ref="L66:L129" si="7">RIGHT(C66,LEN(C66)-FIND("~",SUBSTITUTE(C66," ","~",2)))</f>
        <v>Феликсович</v>
      </c>
    </row>
    <row r="67" spans="1:12" x14ac:dyDescent="0.25">
      <c r="A67">
        <v>115</v>
      </c>
      <c r="B67" t="s">
        <v>686</v>
      </c>
      <c r="C67" s="35" t="s">
        <v>1132</v>
      </c>
      <c r="D67" t="s">
        <v>142</v>
      </c>
      <c r="E67" s="23">
        <v>44832</v>
      </c>
      <c r="F67" t="str">
        <f>LEFT(Таблица4[[#This Row],[номер телефона клиента]],LEN(Таблица4[[#This Row],[номер телефона клиента]])-13)</f>
        <v>+375</v>
      </c>
      <c r="G67" t="str">
        <f>_xlfn.XLOOKUP(Таблица4[[#This Row],[Коды телефона]],Таблица5[Код],Таблица5[Страна],"Не найдено",0)</f>
        <v>Беларусь</v>
      </c>
      <c r="H67" s="23">
        <f t="shared" ca="1" si="4"/>
        <v>46020</v>
      </c>
      <c r="I67" s="19">
        <f ca="1">(Таблица4[[#This Row],[Текущая дата]]-Таблица4[[#This Row],[Дата регистрации клиента]])/30</f>
        <v>39.6</v>
      </c>
      <c r="J67" t="str">
        <f t="shared" si="5"/>
        <v>Прохорова</v>
      </c>
      <c r="K67" t="str">
        <f t="shared" si="6"/>
        <v>Галина</v>
      </c>
      <c r="L67" t="str">
        <f t="shared" si="7"/>
        <v>Кирилловна</v>
      </c>
    </row>
    <row r="68" spans="1:12" x14ac:dyDescent="0.25">
      <c r="A68">
        <v>42</v>
      </c>
      <c r="B68" t="s">
        <v>685</v>
      </c>
      <c r="C68" s="35" t="s">
        <v>1133</v>
      </c>
      <c r="D68" t="s">
        <v>142</v>
      </c>
      <c r="E68" s="23">
        <v>44783</v>
      </c>
      <c r="F68" t="str">
        <f>LEFT(Таблица4[[#This Row],[номер телефона клиента]],LEN(Таблица4[[#This Row],[номер телефона клиента]])-13)</f>
        <v>+992</v>
      </c>
      <c r="G68" t="str">
        <f>_xlfn.XLOOKUP(Таблица4[[#This Row],[Коды телефона]],Таблица5[Код],Таблица5[Страна],"Не найдено",0)</f>
        <v>Таджикистан</v>
      </c>
      <c r="H68" s="23">
        <f t="shared" ca="1" si="4"/>
        <v>46020</v>
      </c>
      <c r="I68" s="19">
        <f ca="1">(Таблица4[[#This Row],[Текущая дата]]-Таблица4[[#This Row],[Дата регистрации клиента]])/30</f>
        <v>41.233333333333334</v>
      </c>
      <c r="J68" t="str">
        <f t="shared" si="5"/>
        <v>Шаров</v>
      </c>
      <c r="K68" t="str">
        <f t="shared" si="6"/>
        <v>Панфил</v>
      </c>
      <c r="L68" t="str">
        <f t="shared" si="7"/>
        <v>Федотович</v>
      </c>
    </row>
    <row r="69" spans="1:12" x14ac:dyDescent="0.25">
      <c r="A69">
        <v>378</v>
      </c>
      <c r="B69" t="s">
        <v>684</v>
      </c>
      <c r="C69" s="35" t="s">
        <v>1134</v>
      </c>
      <c r="D69" t="s">
        <v>140</v>
      </c>
      <c r="E69" s="23">
        <v>44710</v>
      </c>
      <c r="F69" t="str">
        <f>LEFT(Таблица4[[#This Row],[номер телефона клиента]],LEN(Таблица4[[#This Row],[номер телефона клиента]])-13)</f>
        <v>+7</v>
      </c>
      <c r="G69" t="str">
        <f>_xlfn.XLOOKUP(Таблица4[[#This Row],[Коды телефона]],Таблица5[Код],Таблица5[Страна],"Не найдено",0)</f>
        <v>Россия</v>
      </c>
      <c r="H69" s="23">
        <f t="shared" ca="1" si="4"/>
        <v>46020</v>
      </c>
      <c r="I69" s="19">
        <f ca="1">(Таблица4[[#This Row],[Текущая дата]]-Таблица4[[#This Row],[Дата регистрации клиента]])/30</f>
        <v>43.666666666666664</v>
      </c>
      <c r="J69" t="str">
        <f t="shared" si="5"/>
        <v>Афанасьев</v>
      </c>
      <c r="K69" t="str">
        <f t="shared" si="6"/>
        <v>Сократ</v>
      </c>
      <c r="L69" t="str">
        <f t="shared" si="7"/>
        <v>Юльевич</v>
      </c>
    </row>
    <row r="70" spans="1:12" x14ac:dyDescent="0.25">
      <c r="A70">
        <v>449</v>
      </c>
      <c r="B70" t="s">
        <v>683</v>
      </c>
      <c r="C70" s="35" t="s">
        <v>682</v>
      </c>
      <c r="D70" t="s">
        <v>140</v>
      </c>
      <c r="E70" s="23">
        <v>44645</v>
      </c>
      <c r="F70" t="str">
        <f>LEFT(Таблица4[[#This Row],[номер телефона клиента]],LEN(Таблица4[[#This Row],[номер телефона клиента]])-13)</f>
        <v>+992</v>
      </c>
      <c r="G70" t="str">
        <f>_xlfn.XLOOKUP(Таблица4[[#This Row],[Коды телефона]],Таблица5[Код],Таблица5[Страна],"Не найдено",0)</f>
        <v>Таджикистан</v>
      </c>
      <c r="H70" s="23">
        <f t="shared" ca="1" si="4"/>
        <v>46020</v>
      </c>
      <c r="I70" s="19">
        <f ca="1">(Таблица4[[#This Row],[Текущая дата]]-Таблица4[[#This Row],[Дата регистрации клиента]])/30</f>
        <v>45.833333333333336</v>
      </c>
      <c r="J70" t="str">
        <f t="shared" si="5"/>
        <v>Пестов</v>
      </c>
      <c r="K70" t="str">
        <f t="shared" si="6"/>
        <v>Измаил</v>
      </c>
      <c r="L70" t="str">
        <f t="shared" si="7"/>
        <v>Глебович</v>
      </c>
    </row>
    <row r="71" spans="1:12" x14ac:dyDescent="0.25">
      <c r="A71">
        <v>317</v>
      </c>
      <c r="B71" t="s">
        <v>681</v>
      </c>
      <c r="C71" s="35" t="s">
        <v>680</v>
      </c>
      <c r="D71" t="s">
        <v>140</v>
      </c>
      <c r="E71" s="23">
        <v>44770</v>
      </c>
      <c r="F71" t="str">
        <f>LEFT(Таблица4[[#This Row],[номер телефона клиента]],LEN(Таблица4[[#This Row],[номер телефона клиента]])-13)</f>
        <v>+7</v>
      </c>
      <c r="G71" t="str">
        <f>_xlfn.XLOOKUP(Таблица4[[#This Row],[Коды телефона]],Таблица5[Код],Таблица5[Страна],"Не найдено",0)</f>
        <v>Россия</v>
      </c>
      <c r="H71" s="23">
        <f t="shared" ca="1" si="4"/>
        <v>46020</v>
      </c>
      <c r="I71" s="19">
        <f ca="1">(Таблица4[[#This Row],[Текущая дата]]-Таблица4[[#This Row],[Дата регистрации клиента]])/30</f>
        <v>41.666666666666664</v>
      </c>
      <c r="J71" t="str">
        <f t="shared" si="5"/>
        <v>Ильина</v>
      </c>
      <c r="K71" t="str">
        <f t="shared" si="6"/>
        <v>Милица</v>
      </c>
      <c r="L71" t="str">
        <f t="shared" si="7"/>
        <v>Захаровна</v>
      </c>
    </row>
    <row r="72" spans="1:12" x14ac:dyDescent="0.25">
      <c r="A72">
        <v>426</v>
      </c>
      <c r="B72" t="s">
        <v>679</v>
      </c>
      <c r="C72" s="35" t="s">
        <v>678</v>
      </c>
      <c r="D72" t="s">
        <v>142</v>
      </c>
      <c r="E72" s="23">
        <v>44768</v>
      </c>
      <c r="F72" t="str">
        <f>LEFT(Таблица4[[#This Row],[номер телефона клиента]],LEN(Таблица4[[#This Row],[номер телефона клиента]])-13)</f>
        <v>+992</v>
      </c>
      <c r="G72" t="str">
        <f>_xlfn.XLOOKUP(Таблица4[[#This Row],[Коды телефона]],Таблица5[Код],Таблица5[Страна],"Не найдено",0)</f>
        <v>Таджикистан</v>
      </c>
      <c r="H72" s="23">
        <f t="shared" ca="1" si="4"/>
        <v>46020</v>
      </c>
      <c r="I72" s="19">
        <f ca="1">(Таблица4[[#This Row],[Текущая дата]]-Таблица4[[#This Row],[Дата регистрации клиента]])/30</f>
        <v>41.733333333333334</v>
      </c>
      <c r="J72" t="str">
        <f t="shared" si="5"/>
        <v>Лыткина</v>
      </c>
      <c r="K72" t="str">
        <f t="shared" si="6"/>
        <v>Вера</v>
      </c>
      <c r="L72" t="str">
        <f t="shared" si="7"/>
        <v>Ждановна</v>
      </c>
    </row>
    <row r="73" spans="1:12" x14ac:dyDescent="0.25">
      <c r="A73">
        <v>25</v>
      </c>
      <c r="B73" t="s">
        <v>677</v>
      </c>
      <c r="C73" s="35" t="s">
        <v>1135</v>
      </c>
      <c r="D73" t="s">
        <v>142</v>
      </c>
      <c r="E73" s="23">
        <v>44582</v>
      </c>
      <c r="F73" t="str">
        <f>LEFT(Таблица4[[#This Row],[номер телефона клиента]],LEN(Таблица4[[#This Row],[номер телефона клиента]])-13)</f>
        <v>+992</v>
      </c>
      <c r="G73" t="str">
        <f>_xlfn.XLOOKUP(Таблица4[[#This Row],[Коды телефона]],Таблица5[Код],Таблица5[Страна],"Не найдено",0)</f>
        <v>Таджикистан</v>
      </c>
      <c r="H73" s="23">
        <f t="shared" ca="1" si="4"/>
        <v>46020</v>
      </c>
      <c r="I73" s="19">
        <f ca="1">(Таблица4[[#This Row],[Текущая дата]]-Таблица4[[#This Row],[Дата регистрации клиента]])/30</f>
        <v>47.93333333333333</v>
      </c>
      <c r="J73" t="str">
        <f t="shared" si="5"/>
        <v>Волков</v>
      </c>
      <c r="K73" t="str">
        <f t="shared" si="6"/>
        <v>Аггей</v>
      </c>
      <c r="L73" t="str">
        <f t="shared" si="7"/>
        <v>Терентьевич</v>
      </c>
    </row>
    <row r="74" spans="1:12" x14ac:dyDescent="0.25">
      <c r="A74">
        <v>462</v>
      </c>
      <c r="B74" t="s">
        <v>676</v>
      </c>
      <c r="C74" s="35" t="s">
        <v>1136</v>
      </c>
      <c r="D74" t="s">
        <v>142</v>
      </c>
      <c r="E74" s="23">
        <v>44751</v>
      </c>
      <c r="F74" t="str">
        <f>LEFT(Таблица4[[#This Row],[номер телефона клиента]],LEN(Таблица4[[#This Row],[номер телефона клиента]])-13)</f>
        <v>+7</v>
      </c>
      <c r="G74" t="str">
        <f>_xlfn.XLOOKUP(Таблица4[[#This Row],[Коды телефона]],Таблица5[Код],Таблица5[Страна],"Не найдено",0)</f>
        <v>Россия</v>
      </c>
      <c r="H74" s="23">
        <f t="shared" ca="1" si="4"/>
        <v>46020</v>
      </c>
      <c r="I74" s="19">
        <f ca="1">(Таблица4[[#This Row],[Текущая дата]]-Таблица4[[#This Row],[Дата регистрации клиента]])/30</f>
        <v>42.3</v>
      </c>
      <c r="J74" t="str">
        <f t="shared" si="5"/>
        <v>Третьяков</v>
      </c>
      <c r="K74" t="str">
        <f t="shared" si="6"/>
        <v>Владилен</v>
      </c>
      <c r="L74" t="str">
        <f t="shared" si="7"/>
        <v>Иосифович</v>
      </c>
    </row>
    <row r="75" spans="1:12" x14ac:dyDescent="0.25">
      <c r="A75">
        <v>252</v>
      </c>
      <c r="B75" t="s">
        <v>675</v>
      </c>
      <c r="C75" s="35" t="s">
        <v>1137</v>
      </c>
      <c r="D75" t="s">
        <v>140</v>
      </c>
      <c r="E75" s="23">
        <v>44643</v>
      </c>
      <c r="F75" t="str">
        <f>LEFT(Таблица4[[#This Row],[номер телефона клиента]],LEN(Таблица4[[#This Row],[номер телефона клиента]])-13)</f>
        <v>+7</v>
      </c>
      <c r="G75" t="str">
        <f>_xlfn.XLOOKUP(Таблица4[[#This Row],[Коды телефона]],Таблица5[Код],Таблица5[Страна],"Не найдено",0)</f>
        <v>Россия</v>
      </c>
      <c r="H75" s="23">
        <f t="shared" ca="1" si="4"/>
        <v>46020</v>
      </c>
      <c r="I75" s="19">
        <f ca="1">(Таблица4[[#This Row],[Текущая дата]]-Таблица4[[#This Row],[Дата регистрации клиента]])/30</f>
        <v>45.9</v>
      </c>
      <c r="J75" t="str">
        <f t="shared" si="5"/>
        <v>Егоров</v>
      </c>
      <c r="K75" t="str">
        <f t="shared" si="6"/>
        <v>Ладимир</v>
      </c>
      <c r="L75" t="str">
        <f t="shared" si="7"/>
        <v>Гурьевич</v>
      </c>
    </row>
    <row r="76" spans="1:12" x14ac:dyDescent="0.25">
      <c r="A76">
        <v>392</v>
      </c>
      <c r="B76" t="s">
        <v>674</v>
      </c>
      <c r="C76" s="35" t="s">
        <v>1138</v>
      </c>
      <c r="D76" t="s">
        <v>140</v>
      </c>
      <c r="E76" s="23">
        <v>44919</v>
      </c>
      <c r="F76" t="str">
        <f>LEFT(Таблица4[[#This Row],[номер телефона клиента]],LEN(Таблица4[[#This Row],[номер телефона клиента]])-13)</f>
        <v>+7</v>
      </c>
      <c r="G76" t="str">
        <f>_xlfn.XLOOKUP(Таблица4[[#This Row],[Коды телефона]],Таблица5[Код],Таблица5[Страна],"Не найдено",0)</f>
        <v>Россия</v>
      </c>
      <c r="H76" s="23">
        <f t="shared" ca="1" si="4"/>
        <v>46020</v>
      </c>
      <c r="I76" s="19">
        <f ca="1">(Таблица4[[#This Row],[Текущая дата]]-Таблица4[[#This Row],[Дата регистрации клиента]])/30</f>
        <v>36.700000000000003</v>
      </c>
      <c r="J76" t="str">
        <f t="shared" si="5"/>
        <v>Кошелев</v>
      </c>
      <c r="K76" t="str">
        <f t="shared" si="6"/>
        <v>Эммануил</v>
      </c>
      <c r="L76" t="str">
        <f t="shared" si="7"/>
        <v>Ааронович</v>
      </c>
    </row>
    <row r="77" spans="1:12" x14ac:dyDescent="0.25">
      <c r="A77">
        <v>487</v>
      </c>
      <c r="B77" t="s">
        <v>673</v>
      </c>
      <c r="C77" s="35" t="s">
        <v>1139</v>
      </c>
      <c r="D77" t="s">
        <v>142</v>
      </c>
      <c r="E77" s="23">
        <v>44815</v>
      </c>
      <c r="F77" t="str">
        <f>LEFT(Таблица4[[#This Row],[номер телефона клиента]],LEN(Таблица4[[#This Row],[номер телефона клиента]])-13)</f>
        <v>+7</v>
      </c>
      <c r="G77" t="str">
        <f>_xlfn.XLOOKUP(Таблица4[[#This Row],[Коды телефона]],Таблица5[Код],Таблица5[Страна],"Не найдено",0)</f>
        <v>Россия</v>
      </c>
      <c r="H77" s="23">
        <f t="shared" ca="1" si="4"/>
        <v>46020</v>
      </c>
      <c r="I77" s="19">
        <f ca="1">(Таблица4[[#This Row],[Текущая дата]]-Таблица4[[#This Row],[Дата регистрации клиента]])/30</f>
        <v>40.166666666666664</v>
      </c>
      <c r="J77" t="str">
        <f t="shared" si="5"/>
        <v>Зиновьев</v>
      </c>
      <c r="K77" t="str">
        <f t="shared" si="6"/>
        <v>Сидор</v>
      </c>
      <c r="L77" t="str">
        <f t="shared" si="7"/>
        <v>Вячеславович</v>
      </c>
    </row>
    <row r="78" spans="1:12" x14ac:dyDescent="0.25">
      <c r="A78">
        <v>134</v>
      </c>
      <c r="B78" t="s">
        <v>672</v>
      </c>
      <c r="C78" s="35" t="s">
        <v>1140</v>
      </c>
      <c r="D78" t="s">
        <v>142</v>
      </c>
      <c r="E78" s="23">
        <v>44753</v>
      </c>
      <c r="F78" t="str">
        <f>LEFT(Таблица4[[#This Row],[номер телефона клиента]],LEN(Таблица4[[#This Row],[номер телефона клиента]])-13)</f>
        <v>+7</v>
      </c>
      <c r="G78" t="str">
        <f>_xlfn.XLOOKUP(Таблица4[[#This Row],[Коды телефона]],Таблица5[Код],Таблица5[Страна],"Не найдено",0)</f>
        <v>Россия</v>
      </c>
      <c r="H78" s="23">
        <f t="shared" ca="1" si="4"/>
        <v>46020</v>
      </c>
      <c r="I78" s="19">
        <f ca="1">(Таблица4[[#This Row],[Текущая дата]]-Таблица4[[#This Row],[Дата регистрации клиента]])/30</f>
        <v>42.233333333333334</v>
      </c>
      <c r="J78" t="str">
        <f t="shared" si="5"/>
        <v>Нестерова</v>
      </c>
      <c r="K78" t="str">
        <f t="shared" si="6"/>
        <v>Регина</v>
      </c>
      <c r="L78" t="str">
        <f t="shared" si="7"/>
        <v>Кирилловна</v>
      </c>
    </row>
    <row r="79" spans="1:12" x14ac:dyDescent="0.25">
      <c r="A79">
        <v>11</v>
      </c>
      <c r="B79" t="s">
        <v>671</v>
      </c>
      <c r="C79" s="35" t="s">
        <v>670</v>
      </c>
      <c r="D79" t="s">
        <v>140</v>
      </c>
      <c r="E79" s="23">
        <v>44690</v>
      </c>
      <c r="F79" t="str">
        <f>LEFT(Таблица4[[#This Row],[номер телефона клиента]],LEN(Таблица4[[#This Row],[номер телефона клиента]])-13)</f>
        <v>+992</v>
      </c>
      <c r="G79" t="str">
        <f>_xlfn.XLOOKUP(Таблица4[[#This Row],[Коды телефона]],Таблица5[Код],Таблица5[Страна],"Не найдено",0)</f>
        <v>Таджикистан</v>
      </c>
      <c r="H79" s="23">
        <f t="shared" ca="1" si="4"/>
        <v>46020</v>
      </c>
      <c r="I79" s="19">
        <f ca="1">(Таблица4[[#This Row],[Текущая дата]]-Таблица4[[#This Row],[Дата регистрации клиента]])/30</f>
        <v>44.333333333333336</v>
      </c>
      <c r="J79" t="str">
        <f t="shared" si="5"/>
        <v>Силин</v>
      </c>
      <c r="K79" t="str">
        <f t="shared" si="6"/>
        <v>Антип</v>
      </c>
      <c r="L79" t="str">
        <f t="shared" si="7"/>
        <v>Ильясович</v>
      </c>
    </row>
    <row r="80" spans="1:12" x14ac:dyDescent="0.25">
      <c r="A80">
        <v>458</v>
      </c>
      <c r="B80" t="s">
        <v>669</v>
      </c>
      <c r="C80" s="35" t="s">
        <v>1141</v>
      </c>
      <c r="D80" t="s">
        <v>142</v>
      </c>
      <c r="E80" s="23">
        <v>44694</v>
      </c>
      <c r="F80" t="str">
        <f>LEFT(Таблица4[[#This Row],[номер телефона клиента]],LEN(Таблица4[[#This Row],[номер телефона клиента]])-13)</f>
        <v>+7</v>
      </c>
      <c r="G80" t="str">
        <f>_xlfn.XLOOKUP(Таблица4[[#This Row],[Коды телефона]],Таблица5[Код],Таблица5[Страна],"Не найдено",0)</f>
        <v>Россия</v>
      </c>
      <c r="H80" s="23">
        <f t="shared" ca="1" si="4"/>
        <v>46020</v>
      </c>
      <c r="I80" s="19">
        <f ca="1">(Таблица4[[#This Row],[Текущая дата]]-Таблица4[[#This Row],[Дата регистрации клиента]])/30</f>
        <v>44.2</v>
      </c>
      <c r="J80" t="str">
        <f t="shared" si="5"/>
        <v>Третьякова</v>
      </c>
      <c r="K80" t="str">
        <f t="shared" si="6"/>
        <v>Зоя</v>
      </c>
      <c r="L80" t="str">
        <f t="shared" si="7"/>
        <v>Егоровна</v>
      </c>
    </row>
    <row r="81" spans="1:12" x14ac:dyDescent="0.25">
      <c r="A81">
        <v>130</v>
      </c>
      <c r="B81" t="s">
        <v>668</v>
      </c>
      <c r="C81" s="35" t="s">
        <v>1142</v>
      </c>
      <c r="D81" t="s">
        <v>140</v>
      </c>
      <c r="E81" s="23">
        <v>44863</v>
      </c>
      <c r="F81" t="str">
        <f>LEFT(Таблица4[[#This Row],[номер телефона клиента]],LEN(Таблица4[[#This Row],[номер телефона клиента]])-13)</f>
        <v>+992</v>
      </c>
      <c r="G81" t="str">
        <f>_xlfn.XLOOKUP(Таблица4[[#This Row],[Коды телефона]],Таблица5[Код],Таблица5[Страна],"Не найдено",0)</f>
        <v>Таджикистан</v>
      </c>
      <c r="H81" s="23">
        <f t="shared" ca="1" si="4"/>
        <v>46020</v>
      </c>
      <c r="I81" s="19">
        <f ca="1">(Таблица4[[#This Row],[Текущая дата]]-Таблица4[[#This Row],[Дата регистрации клиента]])/30</f>
        <v>38.56666666666667</v>
      </c>
      <c r="J81" t="str">
        <f t="shared" si="5"/>
        <v>Никифоров</v>
      </c>
      <c r="K81" t="str">
        <f t="shared" si="6"/>
        <v>Виктор</v>
      </c>
      <c r="L81" t="str">
        <f t="shared" si="7"/>
        <v>Жанович</v>
      </c>
    </row>
    <row r="82" spans="1:12" x14ac:dyDescent="0.25">
      <c r="A82">
        <v>330</v>
      </c>
      <c r="B82" t="s">
        <v>667</v>
      </c>
      <c r="C82" s="35" t="s">
        <v>1143</v>
      </c>
      <c r="D82" t="s">
        <v>140</v>
      </c>
      <c r="E82" s="23">
        <v>44815</v>
      </c>
      <c r="F82" t="str">
        <f>LEFT(Таблица4[[#This Row],[номер телефона клиента]],LEN(Таблица4[[#This Row],[номер телефона клиента]])-13)</f>
        <v>+998</v>
      </c>
      <c r="G82" t="str">
        <f>_xlfn.XLOOKUP(Таблица4[[#This Row],[Коды телефона]],Таблица5[Код],Таблица5[Страна],"Не найдено",0)</f>
        <v>Узбекистан</v>
      </c>
      <c r="H82" s="23">
        <f t="shared" ca="1" si="4"/>
        <v>46020</v>
      </c>
      <c r="I82" s="19">
        <f ca="1">(Таблица4[[#This Row],[Текущая дата]]-Таблица4[[#This Row],[Дата регистрации клиента]])/30</f>
        <v>40.166666666666664</v>
      </c>
      <c r="J82" t="str">
        <f t="shared" si="5"/>
        <v>Маслов</v>
      </c>
      <c r="K82" t="str">
        <f t="shared" si="6"/>
        <v>Ратибор</v>
      </c>
      <c r="L82" t="str">
        <f t="shared" si="7"/>
        <v>Андреевич</v>
      </c>
    </row>
    <row r="83" spans="1:12" x14ac:dyDescent="0.25">
      <c r="A83">
        <v>167</v>
      </c>
      <c r="B83" t="s">
        <v>666</v>
      </c>
      <c r="C83" s="35" t="s">
        <v>665</v>
      </c>
      <c r="D83" t="s">
        <v>142</v>
      </c>
      <c r="E83" s="23">
        <v>44563</v>
      </c>
      <c r="F83" t="str">
        <f>LEFT(Таблица4[[#This Row],[номер телефона клиента]],LEN(Таблица4[[#This Row],[номер телефона клиента]])-13)</f>
        <v>+998</v>
      </c>
      <c r="G83" t="str">
        <f>_xlfn.XLOOKUP(Таблица4[[#This Row],[Коды телефона]],Таблица5[Код],Таблица5[Страна],"Не найдено",0)</f>
        <v>Узбекистан</v>
      </c>
      <c r="H83" s="23">
        <f t="shared" ca="1" si="4"/>
        <v>46020</v>
      </c>
      <c r="I83" s="19">
        <f ca="1">(Таблица4[[#This Row],[Текущая дата]]-Таблица4[[#This Row],[Дата регистрации клиента]])/30</f>
        <v>48.56666666666667</v>
      </c>
      <c r="J83" t="str">
        <f t="shared" si="5"/>
        <v>Жуков</v>
      </c>
      <c r="K83" t="str">
        <f t="shared" si="6"/>
        <v>Никифор</v>
      </c>
      <c r="L83" t="str">
        <f t="shared" si="7"/>
        <v>Фомич</v>
      </c>
    </row>
    <row r="84" spans="1:12" x14ac:dyDescent="0.25">
      <c r="A84">
        <v>140</v>
      </c>
      <c r="B84" t="s">
        <v>664</v>
      </c>
      <c r="C84" s="35" t="s">
        <v>1144</v>
      </c>
      <c r="D84" t="s">
        <v>142</v>
      </c>
      <c r="E84" s="23">
        <v>44627</v>
      </c>
      <c r="F84" t="str">
        <f>LEFT(Таблица4[[#This Row],[номер телефона клиента]],LEN(Таблица4[[#This Row],[номер телефона клиента]])-13)</f>
        <v>+7</v>
      </c>
      <c r="G84" t="str">
        <f>_xlfn.XLOOKUP(Таблица4[[#This Row],[Коды телефона]],Таблица5[Код],Таблица5[Страна],"Не найдено",0)</f>
        <v>Россия</v>
      </c>
      <c r="H84" s="23">
        <f t="shared" ca="1" si="4"/>
        <v>46020</v>
      </c>
      <c r="I84" s="19">
        <f ca="1">(Таблица4[[#This Row],[Текущая дата]]-Таблица4[[#This Row],[Дата регистрации клиента]])/30</f>
        <v>46.43333333333333</v>
      </c>
      <c r="J84" t="str">
        <f t="shared" si="5"/>
        <v>Новикова</v>
      </c>
      <c r="K84" t="str">
        <f t="shared" si="6"/>
        <v>Татьяна</v>
      </c>
      <c r="L84" t="str">
        <f t="shared" si="7"/>
        <v>Михайловна</v>
      </c>
    </row>
    <row r="85" spans="1:12" x14ac:dyDescent="0.25">
      <c r="A85">
        <v>423</v>
      </c>
      <c r="B85" t="s">
        <v>663</v>
      </c>
      <c r="C85" s="35" t="s">
        <v>1145</v>
      </c>
      <c r="D85" t="s">
        <v>140</v>
      </c>
      <c r="E85" s="23">
        <v>44841</v>
      </c>
      <c r="F85" t="str">
        <f>LEFT(Таблица4[[#This Row],[номер телефона клиента]],LEN(Таблица4[[#This Row],[номер телефона клиента]])-13)</f>
        <v>+375</v>
      </c>
      <c r="G85" t="str">
        <f>_xlfn.XLOOKUP(Таблица4[[#This Row],[Коды телефона]],Таблица5[Код],Таблица5[Страна],"Не найдено",0)</f>
        <v>Беларусь</v>
      </c>
      <c r="H85" s="23">
        <f t="shared" ca="1" si="4"/>
        <v>46020</v>
      </c>
      <c r="I85" s="19">
        <f ca="1">(Таблица4[[#This Row],[Текущая дата]]-Таблица4[[#This Row],[Дата регистрации клиента]])/30</f>
        <v>39.299999999999997</v>
      </c>
      <c r="J85" t="str">
        <f t="shared" si="5"/>
        <v>Игнатов</v>
      </c>
      <c r="K85" t="str">
        <f t="shared" si="6"/>
        <v>Виктор</v>
      </c>
      <c r="L85" t="str">
        <f t="shared" si="7"/>
        <v>Марсович</v>
      </c>
    </row>
    <row r="86" spans="1:12" x14ac:dyDescent="0.25">
      <c r="A86">
        <v>365</v>
      </c>
      <c r="B86" t="s">
        <v>662</v>
      </c>
      <c r="C86" s="35" t="s">
        <v>661</v>
      </c>
      <c r="D86" t="s">
        <v>140</v>
      </c>
      <c r="E86" s="23">
        <v>44841</v>
      </c>
      <c r="F86" t="str">
        <f>LEFT(Таблица4[[#This Row],[номер телефона клиента]],LEN(Таблица4[[#This Row],[номер телефона клиента]])-13)</f>
        <v>+375</v>
      </c>
      <c r="G86" t="str">
        <f>_xlfn.XLOOKUP(Таблица4[[#This Row],[Коды телефона]],Таблица5[Код],Таблица5[Страна],"Не найдено",0)</f>
        <v>Беларусь</v>
      </c>
      <c r="H86" s="23">
        <f t="shared" ca="1" si="4"/>
        <v>46020</v>
      </c>
      <c r="I86" s="19">
        <f ca="1">(Таблица4[[#This Row],[Текущая дата]]-Таблица4[[#This Row],[Дата регистрации клиента]])/30</f>
        <v>39.299999999999997</v>
      </c>
      <c r="J86" t="str">
        <f t="shared" si="5"/>
        <v>Абрамова</v>
      </c>
      <c r="K86" t="str">
        <f t="shared" si="6"/>
        <v>Елизавета</v>
      </c>
      <c r="L86" t="str">
        <f t="shared" si="7"/>
        <v>Эдуардовна</v>
      </c>
    </row>
    <row r="87" spans="1:12" x14ac:dyDescent="0.25">
      <c r="A87">
        <v>452</v>
      </c>
      <c r="B87" t="s">
        <v>660</v>
      </c>
      <c r="C87" s="35" t="s">
        <v>1146</v>
      </c>
      <c r="D87" t="s">
        <v>142</v>
      </c>
      <c r="E87" s="23">
        <v>44769</v>
      </c>
      <c r="F87" t="str">
        <f>LEFT(Таблица4[[#This Row],[номер телефона клиента]],LEN(Таблица4[[#This Row],[номер телефона клиента]])-13)</f>
        <v>+7</v>
      </c>
      <c r="G87" t="str">
        <f>_xlfn.XLOOKUP(Таблица4[[#This Row],[Коды телефона]],Таблица5[Код],Таблица5[Страна],"Не найдено",0)</f>
        <v>Россия</v>
      </c>
      <c r="H87" s="23">
        <f t="shared" ca="1" si="4"/>
        <v>46020</v>
      </c>
      <c r="I87" s="19">
        <f ca="1">(Таблица4[[#This Row],[Текущая дата]]-Таблица4[[#This Row],[Дата регистрации клиента]])/30</f>
        <v>41.7</v>
      </c>
      <c r="J87" t="str">
        <f t="shared" si="5"/>
        <v>Мамонтов</v>
      </c>
      <c r="K87" t="str">
        <f t="shared" si="6"/>
        <v>Чеслав</v>
      </c>
      <c r="L87" t="str">
        <f t="shared" si="7"/>
        <v>Бориславович</v>
      </c>
    </row>
    <row r="88" spans="1:12" x14ac:dyDescent="0.25">
      <c r="A88">
        <v>424</v>
      </c>
      <c r="B88" t="s">
        <v>659</v>
      </c>
      <c r="C88" s="35" t="s">
        <v>658</v>
      </c>
      <c r="D88" t="s">
        <v>142</v>
      </c>
      <c r="E88" s="23">
        <v>44585</v>
      </c>
      <c r="F88" t="str">
        <f>LEFT(Таблица4[[#This Row],[номер телефона клиента]],LEN(Таблица4[[#This Row],[номер телефона клиента]])-13)</f>
        <v>+7</v>
      </c>
      <c r="G88" t="str">
        <f>_xlfn.XLOOKUP(Таблица4[[#This Row],[Коды телефона]],Таблица5[Код],Таблица5[Страна],"Не найдено",0)</f>
        <v>Россия</v>
      </c>
      <c r="H88" s="23">
        <f t="shared" ca="1" si="4"/>
        <v>46020</v>
      </c>
      <c r="I88" s="19">
        <f ca="1">(Таблица4[[#This Row],[Текущая дата]]-Таблица4[[#This Row],[Дата регистрации клиента]])/30</f>
        <v>47.833333333333336</v>
      </c>
      <c r="J88" t="str">
        <f t="shared" si="5"/>
        <v>Ефремов</v>
      </c>
      <c r="K88" t="str">
        <f t="shared" si="6"/>
        <v>Епифан</v>
      </c>
      <c r="L88" t="str">
        <f t="shared" si="7"/>
        <v>Ильич</v>
      </c>
    </row>
    <row r="89" spans="1:12" x14ac:dyDescent="0.25">
      <c r="A89">
        <v>75</v>
      </c>
      <c r="B89" t="s">
        <v>657</v>
      </c>
      <c r="C89" s="35" t="s">
        <v>1147</v>
      </c>
      <c r="D89" t="s">
        <v>140</v>
      </c>
      <c r="E89" s="23">
        <v>44796</v>
      </c>
      <c r="F89" t="str">
        <f>LEFT(Таблица4[[#This Row],[номер телефона клиента]],LEN(Таблица4[[#This Row],[номер телефона клиента]])-13)</f>
        <v>+380</v>
      </c>
      <c r="G89" t="str">
        <f>_xlfn.XLOOKUP(Таблица4[[#This Row],[Коды телефона]],Таблица5[Код],Таблица5[Страна],"Не найдено",0)</f>
        <v>Украина</v>
      </c>
      <c r="H89" s="23">
        <f t="shared" ca="1" si="4"/>
        <v>46020</v>
      </c>
      <c r="I89" s="19">
        <f ca="1">(Таблица4[[#This Row],[Текущая дата]]-Таблица4[[#This Row],[Дата регистрации клиента]])/30</f>
        <v>40.799999999999997</v>
      </c>
      <c r="J89" t="str">
        <f t="shared" si="5"/>
        <v>Давыдов</v>
      </c>
      <c r="K89" t="str">
        <f t="shared" si="6"/>
        <v>Леонид</v>
      </c>
      <c r="L89" t="str">
        <f t="shared" si="7"/>
        <v>Арсенович</v>
      </c>
    </row>
    <row r="90" spans="1:12" x14ac:dyDescent="0.25">
      <c r="A90">
        <v>71</v>
      </c>
      <c r="B90" t="s">
        <v>656</v>
      </c>
      <c r="C90" s="35" t="s">
        <v>655</v>
      </c>
      <c r="D90" t="s">
        <v>142</v>
      </c>
      <c r="E90" s="23">
        <v>44762</v>
      </c>
      <c r="F90" t="str">
        <f>LEFT(Таблица4[[#This Row],[номер телефона клиента]],LEN(Таблица4[[#This Row],[номер телефона клиента]])-13)</f>
        <v>+380</v>
      </c>
      <c r="G90" t="str">
        <f>_xlfn.XLOOKUP(Таблица4[[#This Row],[Коды телефона]],Таблица5[Код],Таблица5[Страна],"Не найдено",0)</f>
        <v>Украина</v>
      </c>
      <c r="H90" s="23">
        <f t="shared" ca="1" si="4"/>
        <v>46020</v>
      </c>
      <c r="I90" s="19">
        <f ca="1">(Таблица4[[#This Row],[Текущая дата]]-Таблица4[[#This Row],[Дата регистрации клиента]])/30</f>
        <v>41.93333333333333</v>
      </c>
      <c r="J90" t="str">
        <f t="shared" si="5"/>
        <v>Медведева</v>
      </c>
      <c r="K90" t="str">
        <f t="shared" si="6"/>
        <v>Алина</v>
      </c>
      <c r="L90" t="str">
        <f t="shared" si="7"/>
        <v>Алексеевна</v>
      </c>
    </row>
    <row r="91" spans="1:12" x14ac:dyDescent="0.25">
      <c r="A91">
        <v>313</v>
      </c>
      <c r="B91" t="s">
        <v>654</v>
      </c>
      <c r="C91" s="35" t="s">
        <v>653</v>
      </c>
      <c r="D91" t="s">
        <v>142</v>
      </c>
      <c r="E91" s="23">
        <v>44896</v>
      </c>
      <c r="F91" t="str">
        <f>LEFT(Таблица4[[#This Row],[номер телефона клиента]],LEN(Таблица4[[#This Row],[номер телефона клиента]])-13)</f>
        <v>+998</v>
      </c>
      <c r="G91" t="str">
        <f>_xlfn.XLOOKUP(Таблица4[[#This Row],[Коды телефона]],Таблица5[Код],Таблица5[Страна],"Не найдено",0)</f>
        <v>Узбекистан</v>
      </c>
      <c r="H91" s="23">
        <f t="shared" ca="1" si="4"/>
        <v>46020</v>
      </c>
      <c r="I91" s="19">
        <f ca="1">(Таблица4[[#This Row],[Текущая дата]]-Таблица4[[#This Row],[Дата регистрации клиента]])/30</f>
        <v>37.466666666666669</v>
      </c>
      <c r="J91" t="str">
        <f t="shared" si="5"/>
        <v>Федотова</v>
      </c>
      <c r="K91" t="str">
        <f t="shared" si="6"/>
        <v>Ангелина</v>
      </c>
      <c r="L91" t="str">
        <f t="shared" si="7"/>
        <v>Максимовна</v>
      </c>
    </row>
    <row r="92" spans="1:12" x14ac:dyDescent="0.25">
      <c r="A92">
        <v>301</v>
      </c>
      <c r="B92" t="s">
        <v>652</v>
      </c>
      <c r="C92" s="35" t="s">
        <v>651</v>
      </c>
      <c r="D92" t="s">
        <v>142</v>
      </c>
      <c r="E92" s="23">
        <v>44714</v>
      </c>
      <c r="F92" t="str">
        <f>LEFT(Таблица4[[#This Row],[номер телефона клиента]],LEN(Таблица4[[#This Row],[номер телефона клиента]])-13)</f>
        <v>+7</v>
      </c>
      <c r="G92" t="str">
        <f>_xlfn.XLOOKUP(Таблица4[[#This Row],[Коды телефона]],Таблица5[Код],Таблица5[Страна],"Не найдено",0)</f>
        <v>Россия</v>
      </c>
      <c r="H92" s="23">
        <f t="shared" ca="1" si="4"/>
        <v>46020</v>
      </c>
      <c r="I92" s="19">
        <f ca="1">(Таблица4[[#This Row],[Текущая дата]]-Таблица4[[#This Row],[Дата регистрации клиента]])/30</f>
        <v>43.533333333333331</v>
      </c>
      <c r="J92" t="str">
        <f t="shared" si="5"/>
        <v>Николаева</v>
      </c>
      <c r="K92" t="str">
        <f t="shared" si="6"/>
        <v>Зинаида</v>
      </c>
      <c r="L92" t="str">
        <f t="shared" si="7"/>
        <v>Ивановна</v>
      </c>
    </row>
    <row r="93" spans="1:12" x14ac:dyDescent="0.25">
      <c r="A93">
        <v>359</v>
      </c>
      <c r="B93" t="s">
        <v>650</v>
      </c>
      <c r="C93" s="35" t="s">
        <v>649</v>
      </c>
      <c r="D93" t="s">
        <v>140</v>
      </c>
      <c r="E93" s="23">
        <v>44584</v>
      </c>
      <c r="F93" t="str">
        <f>LEFT(Таблица4[[#This Row],[номер телефона клиента]],LEN(Таблица4[[#This Row],[номер телефона клиента]])-13)</f>
        <v>+7</v>
      </c>
      <c r="G93" t="str">
        <f>_xlfn.XLOOKUP(Таблица4[[#This Row],[Коды телефона]],Таблица5[Код],Таблица5[Страна],"Не найдено",0)</f>
        <v>Россия</v>
      </c>
      <c r="H93" s="23">
        <f t="shared" ca="1" si="4"/>
        <v>46020</v>
      </c>
      <c r="I93" s="19">
        <f ca="1">(Таблица4[[#This Row],[Текущая дата]]-Таблица4[[#This Row],[Дата регистрации клиента]])/30</f>
        <v>47.866666666666667</v>
      </c>
      <c r="J93" t="str">
        <f t="shared" si="5"/>
        <v>Дорофеев</v>
      </c>
      <c r="K93" t="str">
        <f t="shared" si="6"/>
        <v>Тимур</v>
      </c>
      <c r="L93" t="str">
        <f t="shared" si="7"/>
        <v>Валерьянович</v>
      </c>
    </row>
    <row r="94" spans="1:12" x14ac:dyDescent="0.25">
      <c r="A94">
        <v>474</v>
      </c>
      <c r="B94" t="s">
        <v>648</v>
      </c>
      <c r="C94" s="35" t="s">
        <v>1148</v>
      </c>
      <c r="D94" t="s">
        <v>140</v>
      </c>
      <c r="E94" s="23">
        <v>44605</v>
      </c>
      <c r="F94" t="str">
        <f>LEFT(Таблица4[[#This Row],[номер телефона клиента]],LEN(Таблица4[[#This Row],[номер телефона клиента]])-13)</f>
        <v>+7</v>
      </c>
      <c r="G94" t="str">
        <f>_xlfn.XLOOKUP(Таблица4[[#This Row],[Коды телефона]],Таблица5[Код],Таблица5[Страна],"Не найдено",0)</f>
        <v>Россия</v>
      </c>
      <c r="H94" s="23">
        <f t="shared" ca="1" si="4"/>
        <v>46020</v>
      </c>
      <c r="I94" s="19">
        <f ca="1">(Таблица4[[#This Row],[Текущая дата]]-Таблица4[[#This Row],[Дата регистрации клиента]])/30</f>
        <v>47.166666666666664</v>
      </c>
      <c r="J94" t="str">
        <f t="shared" si="5"/>
        <v>Беляева</v>
      </c>
      <c r="K94" t="str">
        <f t="shared" si="6"/>
        <v>Александра</v>
      </c>
      <c r="L94" t="str">
        <f t="shared" si="7"/>
        <v>Владиславовна</v>
      </c>
    </row>
    <row r="95" spans="1:12" x14ac:dyDescent="0.25">
      <c r="A95">
        <v>111</v>
      </c>
      <c r="B95" t="s">
        <v>647</v>
      </c>
      <c r="C95" s="35" t="s">
        <v>1149</v>
      </c>
      <c r="D95" t="s">
        <v>142</v>
      </c>
      <c r="E95" s="23">
        <v>44804</v>
      </c>
      <c r="F95" t="str">
        <f>LEFT(Таблица4[[#This Row],[номер телефона клиента]],LEN(Таблица4[[#This Row],[номер телефона клиента]])-13)</f>
        <v>+998</v>
      </c>
      <c r="G95" t="str">
        <f>_xlfn.XLOOKUP(Таблица4[[#This Row],[Коды телефона]],Таблица5[Код],Таблица5[Страна],"Не найдено",0)</f>
        <v>Узбекистан</v>
      </c>
      <c r="H95" s="23">
        <f t="shared" ca="1" si="4"/>
        <v>46020</v>
      </c>
      <c r="I95" s="19">
        <f ca="1">(Таблица4[[#This Row],[Текущая дата]]-Таблица4[[#This Row],[Дата регистрации клиента]])/30</f>
        <v>40.533333333333331</v>
      </c>
      <c r="J95" t="str">
        <f t="shared" si="5"/>
        <v>Калинина</v>
      </c>
      <c r="K95" t="str">
        <f t="shared" si="6"/>
        <v>Эмилия</v>
      </c>
      <c r="L95" t="str">
        <f t="shared" si="7"/>
        <v>Олеговна</v>
      </c>
    </row>
    <row r="96" spans="1:12" x14ac:dyDescent="0.25">
      <c r="A96">
        <v>126</v>
      </c>
      <c r="B96" t="s">
        <v>646</v>
      </c>
      <c r="C96" s="35" t="s">
        <v>1150</v>
      </c>
      <c r="D96" t="s">
        <v>142</v>
      </c>
      <c r="E96" s="23">
        <v>44822</v>
      </c>
      <c r="F96" t="str">
        <f>LEFT(Таблица4[[#This Row],[номер телефона клиента]],LEN(Таблица4[[#This Row],[номер телефона клиента]])-13)</f>
        <v>+998</v>
      </c>
      <c r="G96" t="str">
        <f>_xlfn.XLOOKUP(Таблица4[[#This Row],[Коды телефона]],Таблица5[Код],Таблица5[Страна],"Не найдено",0)</f>
        <v>Узбекистан</v>
      </c>
      <c r="H96" s="23">
        <f t="shared" ca="1" si="4"/>
        <v>46020</v>
      </c>
      <c r="I96" s="19">
        <f ca="1">(Таблица4[[#This Row],[Текущая дата]]-Таблица4[[#This Row],[Дата регистрации клиента]])/30</f>
        <v>39.93333333333333</v>
      </c>
      <c r="J96" t="str">
        <f t="shared" si="5"/>
        <v>Копылова</v>
      </c>
      <c r="K96" t="str">
        <f t="shared" si="6"/>
        <v>Жанна</v>
      </c>
      <c r="L96" t="str">
        <f t="shared" si="7"/>
        <v>Архиповна</v>
      </c>
    </row>
    <row r="97" spans="1:12" x14ac:dyDescent="0.25">
      <c r="A97">
        <v>356</v>
      </c>
      <c r="B97" t="s">
        <v>645</v>
      </c>
      <c r="C97" s="35" t="s">
        <v>644</v>
      </c>
      <c r="D97" t="s">
        <v>140</v>
      </c>
      <c r="E97" s="23">
        <v>44570</v>
      </c>
      <c r="F97" t="str">
        <f>LEFT(Таблица4[[#This Row],[номер телефона клиента]],LEN(Таблица4[[#This Row],[номер телефона клиента]])-13)</f>
        <v>+992</v>
      </c>
      <c r="G97" t="str">
        <f>_xlfn.XLOOKUP(Таблица4[[#This Row],[Коды телефона]],Таблица5[Код],Таблица5[Страна],"Не найдено",0)</f>
        <v>Таджикистан</v>
      </c>
      <c r="H97" s="23">
        <f t="shared" ca="1" si="4"/>
        <v>46020</v>
      </c>
      <c r="I97" s="19">
        <f ca="1">(Таблица4[[#This Row],[Текущая дата]]-Таблица4[[#This Row],[Дата регистрации клиента]])/30</f>
        <v>48.333333333333336</v>
      </c>
      <c r="J97" t="str">
        <f t="shared" si="5"/>
        <v>Князева</v>
      </c>
      <c r="K97" t="str">
        <f t="shared" si="6"/>
        <v>Акулина</v>
      </c>
      <c r="L97" t="str">
        <f t="shared" si="7"/>
        <v>Алексеевна</v>
      </c>
    </row>
    <row r="98" spans="1:12" x14ac:dyDescent="0.25">
      <c r="A98">
        <v>166</v>
      </c>
      <c r="B98" t="s">
        <v>643</v>
      </c>
      <c r="C98" s="35" t="s">
        <v>642</v>
      </c>
      <c r="D98" t="s">
        <v>142</v>
      </c>
      <c r="E98" s="23">
        <v>44796</v>
      </c>
      <c r="F98" t="str">
        <f>LEFT(Таблица4[[#This Row],[номер телефона клиента]],LEN(Таблица4[[#This Row],[номер телефона клиента]])-13)</f>
        <v>+998</v>
      </c>
      <c r="G98" t="str">
        <f>_xlfn.XLOOKUP(Таблица4[[#This Row],[Коды телефона]],Таблица5[Код],Таблица5[Страна],"Не найдено",0)</f>
        <v>Узбекистан</v>
      </c>
      <c r="H98" s="23">
        <f t="shared" ca="1" si="4"/>
        <v>46020</v>
      </c>
      <c r="I98" s="19">
        <f ca="1">(Таблица4[[#This Row],[Текущая дата]]-Таблица4[[#This Row],[Дата регистрации клиента]])/30</f>
        <v>40.799999999999997</v>
      </c>
      <c r="J98" t="str">
        <f t="shared" si="5"/>
        <v>Евдокимов</v>
      </c>
      <c r="K98" t="str">
        <f t="shared" si="6"/>
        <v>Януарий</v>
      </c>
      <c r="L98" t="str">
        <f t="shared" si="7"/>
        <v>Феликсович</v>
      </c>
    </row>
    <row r="99" spans="1:12" x14ac:dyDescent="0.25">
      <c r="A99">
        <v>162</v>
      </c>
      <c r="B99" t="s">
        <v>641</v>
      </c>
      <c r="C99" s="35" t="s">
        <v>640</v>
      </c>
      <c r="D99" t="s">
        <v>140</v>
      </c>
      <c r="E99" s="23">
        <v>44639</v>
      </c>
      <c r="F99" t="str">
        <f>LEFT(Таблица4[[#This Row],[номер телефона клиента]],LEN(Таблица4[[#This Row],[номер телефона клиента]])-13)</f>
        <v>+992</v>
      </c>
      <c r="G99" t="str">
        <f>_xlfn.XLOOKUP(Таблица4[[#This Row],[Коды телефона]],Таблица5[Код],Таблица5[Страна],"Не найдено",0)</f>
        <v>Таджикистан</v>
      </c>
      <c r="H99" s="23">
        <f t="shared" ca="1" si="4"/>
        <v>46020</v>
      </c>
      <c r="I99" s="19">
        <f ca="1">(Таблица4[[#This Row],[Текущая дата]]-Таблица4[[#This Row],[Дата регистрации клиента]])/30</f>
        <v>46.033333333333331</v>
      </c>
      <c r="J99" t="str">
        <f t="shared" si="5"/>
        <v>Соловьев</v>
      </c>
      <c r="K99" t="str">
        <f t="shared" si="6"/>
        <v>Родион</v>
      </c>
      <c r="L99" t="str">
        <f t="shared" si="7"/>
        <v>Данилович</v>
      </c>
    </row>
    <row r="100" spans="1:12" x14ac:dyDescent="0.25">
      <c r="A100">
        <v>459</v>
      </c>
      <c r="B100" t="s">
        <v>639</v>
      </c>
      <c r="C100" s="35" t="s">
        <v>1151</v>
      </c>
      <c r="D100" t="s">
        <v>142</v>
      </c>
      <c r="E100" s="23">
        <v>44743</v>
      </c>
      <c r="F100" t="str">
        <f>LEFT(Таблица4[[#This Row],[номер телефона клиента]],LEN(Таблица4[[#This Row],[номер телефона клиента]])-13)</f>
        <v>+7</v>
      </c>
      <c r="G100" t="str">
        <f>_xlfn.XLOOKUP(Таблица4[[#This Row],[Коды телефона]],Таблица5[Код],Таблица5[Страна],"Не найдено",0)</f>
        <v>Россия</v>
      </c>
      <c r="H100" s="23">
        <f t="shared" ca="1" si="4"/>
        <v>46020</v>
      </c>
      <c r="I100" s="19">
        <f ca="1">(Таблица4[[#This Row],[Текущая дата]]-Таблица4[[#This Row],[Дата регистрации клиента]])/30</f>
        <v>42.56666666666667</v>
      </c>
      <c r="J100" t="str">
        <f t="shared" si="5"/>
        <v>Назаров</v>
      </c>
      <c r="K100" t="str">
        <f t="shared" si="6"/>
        <v>Назар</v>
      </c>
      <c r="L100" t="str">
        <f t="shared" si="7"/>
        <v>Августович</v>
      </c>
    </row>
    <row r="101" spans="1:12" x14ac:dyDescent="0.25">
      <c r="A101">
        <v>211</v>
      </c>
      <c r="B101" t="s">
        <v>638</v>
      </c>
      <c r="C101" s="35" t="s">
        <v>637</v>
      </c>
      <c r="D101" t="s">
        <v>140</v>
      </c>
      <c r="E101" s="23">
        <v>44621</v>
      </c>
      <c r="F101" t="str">
        <f>LEFT(Таблица4[[#This Row],[номер телефона клиента]],LEN(Таблица4[[#This Row],[номер телефона клиента]])-13)</f>
        <v>+380</v>
      </c>
      <c r="G101" t="str">
        <f>_xlfn.XLOOKUP(Таблица4[[#This Row],[Коды телефона]],Таблица5[Код],Таблица5[Страна],"Не найдено",0)</f>
        <v>Украина</v>
      </c>
      <c r="H101" s="23">
        <f t="shared" ca="1" si="4"/>
        <v>46020</v>
      </c>
      <c r="I101" s="19">
        <f ca="1">(Таблица4[[#This Row],[Текущая дата]]-Таблица4[[#This Row],[Дата регистрации клиента]])/30</f>
        <v>46.633333333333333</v>
      </c>
      <c r="J101" t="str">
        <f t="shared" si="5"/>
        <v>Кудряшова</v>
      </c>
      <c r="K101" t="str">
        <f t="shared" si="6"/>
        <v>Василиса</v>
      </c>
      <c r="L101" t="str">
        <f t="shared" si="7"/>
        <v>Болеславовна</v>
      </c>
    </row>
    <row r="102" spans="1:12" x14ac:dyDescent="0.25">
      <c r="A102">
        <v>132</v>
      </c>
      <c r="B102" t="s">
        <v>636</v>
      </c>
      <c r="C102" s="35" t="s">
        <v>635</v>
      </c>
      <c r="D102" t="s">
        <v>142</v>
      </c>
      <c r="E102" s="23">
        <v>44601</v>
      </c>
      <c r="F102" t="str">
        <f>LEFT(Таблица4[[#This Row],[номер телефона клиента]],LEN(Таблица4[[#This Row],[номер телефона клиента]])-13)</f>
        <v>+380</v>
      </c>
      <c r="G102" t="str">
        <f>_xlfn.XLOOKUP(Таблица4[[#This Row],[Коды телефона]],Таблица5[Код],Таблица5[Страна],"Не найдено",0)</f>
        <v>Украина</v>
      </c>
      <c r="H102" s="23">
        <f t="shared" ca="1" si="4"/>
        <v>46020</v>
      </c>
      <c r="I102" s="19">
        <f ca="1">(Таблица4[[#This Row],[Текущая дата]]-Таблица4[[#This Row],[Дата регистрации клиента]])/30</f>
        <v>47.3</v>
      </c>
      <c r="J102" t="str">
        <f t="shared" si="5"/>
        <v>Лазарев</v>
      </c>
      <c r="K102" t="str">
        <f t="shared" si="6"/>
        <v>Софон</v>
      </c>
      <c r="L102" t="str">
        <f t="shared" si="7"/>
        <v>Якубович</v>
      </c>
    </row>
    <row r="103" spans="1:12" x14ac:dyDescent="0.25">
      <c r="A103">
        <v>333</v>
      </c>
      <c r="B103" t="s">
        <v>634</v>
      </c>
      <c r="C103" s="35" t="s">
        <v>633</v>
      </c>
      <c r="D103" t="s">
        <v>142</v>
      </c>
      <c r="E103" s="23">
        <v>44857</v>
      </c>
      <c r="F103" t="str">
        <f>LEFT(Таблица4[[#This Row],[номер телефона клиента]],LEN(Таблица4[[#This Row],[номер телефона клиента]])-13)</f>
        <v>+7</v>
      </c>
      <c r="G103" t="str">
        <f>_xlfn.XLOOKUP(Таблица4[[#This Row],[Коды телефона]],Таблица5[Код],Таблица5[Страна],"Не найдено",0)</f>
        <v>Россия</v>
      </c>
      <c r="H103" s="23">
        <f t="shared" ca="1" si="4"/>
        <v>46020</v>
      </c>
      <c r="I103" s="19">
        <f ca="1">(Таблица4[[#This Row],[Текущая дата]]-Таблица4[[#This Row],[Дата регистрации клиента]])/30</f>
        <v>38.766666666666666</v>
      </c>
      <c r="J103" t="str">
        <f t="shared" si="5"/>
        <v>Бобылев</v>
      </c>
      <c r="K103" t="str">
        <f t="shared" si="6"/>
        <v>Никодим</v>
      </c>
      <c r="L103" t="str">
        <f t="shared" si="7"/>
        <v>Виленович</v>
      </c>
    </row>
    <row r="104" spans="1:12" x14ac:dyDescent="0.25">
      <c r="A104">
        <v>298</v>
      </c>
      <c r="B104" t="s">
        <v>632</v>
      </c>
      <c r="C104" s="35" t="s">
        <v>631</v>
      </c>
      <c r="D104" t="s">
        <v>142</v>
      </c>
      <c r="E104" s="23">
        <v>44821</v>
      </c>
      <c r="F104" t="str">
        <f>LEFT(Таблица4[[#This Row],[номер телефона клиента]],LEN(Таблица4[[#This Row],[номер телефона клиента]])-13)</f>
        <v>+380</v>
      </c>
      <c r="G104" t="str">
        <f>_xlfn.XLOOKUP(Таблица4[[#This Row],[Коды телефона]],Таблица5[Код],Таблица5[Страна],"Не найдено",0)</f>
        <v>Украина</v>
      </c>
      <c r="H104" s="23">
        <f t="shared" ca="1" si="4"/>
        <v>46020</v>
      </c>
      <c r="I104" s="19">
        <f ca="1">(Таблица4[[#This Row],[Текущая дата]]-Таблица4[[#This Row],[Дата регистрации клиента]])/30</f>
        <v>39.966666666666669</v>
      </c>
      <c r="J104" t="str">
        <f t="shared" si="5"/>
        <v>Трофимова</v>
      </c>
      <c r="K104" t="str">
        <f t="shared" si="6"/>
        <v>Василиса</v>
      </c>
      <c r="L104" t="str">
        <f t="shared" si="7"/>
        <v>Матвеевна</v>
      </c>
    </row>
    <row r="105" spans="1:12" x14ac:dyDescent="0.25">
      <c r="A105">
        <v>273</v>
      </c>
      <c r="B105" t="s">
        <v>630</v>
      </c>
      <c r="C105" s="35" t="s">
        <v>629</v>
      </c>
      <c r="D105" t="s">
        <v>140</v>
      </c>
      <c r="E105" s="23">
        <v>44599</v>
      </c>
      <c r="F105" t="str">
        <f>LEFT(Таблица4[[#This Row],[номер телефона клиента]],LEN(Таблица4[[#This Row],[номер телефона клиента]])-13)</f>
        <v>+998</v>
      </c>
      <c r="G105" t="str">
        <f>_xlfn.XLOOKUP(Таблица4[[#This Row],[Коды телефона]],Таблица5[Код],Таблица5[Страна],"Не найдено",0)</f>
        <v>Узбекистан</v>
      </c>
      <c r="H105" s="23">
        <f t="shared" ca="1" si="4"/>
        <v>46020</v>
      </c>
      <c r="I105" s="19">
        <f ca="1">(Таблица4[[#This Row],[Текущая дата]]-Таблица4[[#This Row],[Дата регистрации клиента]])/30</f>
        <v>47.366666666666667</v>
      </c>
      <c r="J105" t="str">
        <f t="shared" si="5"/>
        <v>Горбунова</v>
      </c>
      <c r="K105" t="str">
        <f t="shared" si="6"/>
        <v>Наина</v>
      </c>
      <c r="L105" t="str">
        <f t="shared" si="7"/>
        <v>Филипповна</v>
      </c>
    </row>
    <row r="106" spans="1:12" x14ac:dyDescent="0.25">
      <c r="A106">
        <v>321</v>
      </c>
      <c r="B106" t="s">
        <v>628</v>
      </c>
      <c r="C106" s="35" t="s">
        <v>627</v>
      </c>
      <c r="D106" t="s">
        <v>140</v>
      </c>
      <c r="E106" s="23">
        <v>44756</v>
      </c>
      <c r="F106" t="str">
        <f>LEFT(Таблица4[[#This Row],[номер телефона клиента]],LEN(Таблица4[[#This Row],[номер телефона клиента]])-13)</f>
        <v>+992</v>
      </c>
      <c r="G106" t="str">
        <f>_xlfn.XLOOKUP(Таблица4[[#This Row],[Коды телефона]],Таблица5[Код],Таблица5[Страна],"Не найдено",0)</f>
        <v>Таджикистан</v>
      </c>
      <c r="H106" s="23">
        <f t="shared" ca="1" si="4"/>
        <v>46020</v>
      </c>
      <c r="I106" s="19">
        <f ca="1">(Таблица4[[#This Row],[Текущая дата]]-Таблица4[[#This Row],[Дата регистрации клиента]])/30</f>
        <v>42.133333333333333</v>
      </c>
      <c r="J106" t="str">
        <f t="shared" si="5"/>
        <v>Блинов</v>
      </c>
      <c r="K106" t="str">
        <f t="shared" si="6"/>
        <v>Натан</v>
      </c>
      <c r="L106" t="str">
        <f t="shared" si="7"/>
        <v>Всеволодович</v>
      </c>
    </row>
    <row r="107" spans="1:12" x14ac:dyDescent="0.25">
      <c r="A107">
        <v>119</v>
      </c>
      <c r="B107" t="s">
        <v>626</v>
      </c>
      <c r="C107" s="35" t="s">
        <v>625</v>
      </c>
      <c r="D107" t="s">
        <v>140</v>
      </c>
      <c r="E107" s="23">
        <v>44690</v>
      </c>
      <c r="F107" t="str">
        <f>LEFT(Таблица4[[#This Row],[номер телефона клиента]],LEN(Таблица4[[#This Row],[номер телефона клиента]])-13)</f>
        <v>+7</v>
      </c>
      <c r="G107" t="str">
        <f>_xlfn.XLOOKUP(Таблица4[[#This Row],[Коды телефона]],Таблица5[Код],Таблица5[Страна],"Не найдено",0)</f>
        <v>Россия</v>
      </c>
      <c r="H107" s="23">
        <f t="shared" ca="1" si="4"/>
        <v>46020</v>
      </c>
      <c r="I107" s="19">
        <f ca="1">(Таблица4[[#This Row],[Текущая дата]]-Таблица4[[#This Row],[Дата регистрации клиента]])/30</f>
        <v>44.333333333333336</v>
      </c>
      <c r="J107" t="str">
        <f t="shared" si="5"/>
        <v>Никитин</v>
      </c>
      <c r="K107" t="str">
        <f t="shared" si="6"/>
        <v>Светозар</v>
      </c>
      <c r="L107" t="str">
        <f t="shared" si="7"/>
        <v>Харлампьевич</v>
      </c>
    </row>
    <row r="108" spans="1:12" x14ac:dyDescent="0.25">
      <c r="A108">
        <v>472</v>
      </c>
      <c r="B108" t="s">
        <v>624</v>
      </c>
      <c r="C108" s="35" t="s">
        <v>1152</v>
      </c>
      <c r="D108" t="s">
        <v>140</v>
      </c>
      <c r="E108" s="23">
        <v>44901</v>
      </c>
      <c r="F108" t="str">
        <f>LEFT(Таблица4[[#This Row],[номер телефона клиента]],LEN(Таблица4[[#This Row],[номер телефона клиента]])-13)</f>
        <v>+380</v>
      </c>
      <c r="G108" t="str">
        <f>_xlfn.XLOOKUP(Таблица4[[#This Row],[Коды телефона]],Таблица5[Код],Таблица5[Страна],"Не найдено",0)</f>
        <v>Украина</v>
      </c>
      <c r="H108" s="23">
        <f t="shared" ca="1" si="4"/>
        <v>46020</v>
      </c>
      <c r="I108" s="19">
        <f ca="1">(Таблица4[[#This Row],[Текущая дата]]-Таблица4[[#This Row],[Дата регистрации клиента]])/30</f>
        <v>37.299999999999997</v>
      </c>
      <c r="J108" t="str">
        <f t="shared" si="5"/>
        <v>Фадеев</v>
      </c>
      <c r="K108" t="str">
        <f t="shared" si="6"/>
        <v>Фрол</v>
      </c>
      <c r="L108" t="str">
        <f t="shared" si="7"/>
        <v>Авдеевич</v>
      </c>
    </row>
    <row r="109" spans="1:12" x14ac:dyDescent="0.25">
      <c r="A109">
        <v>396</v>
      </c>
      <c r="B109" t="s">
        <v>623</v>
      </c>
      <c r="C109" s="35" t="s">
        <v>622</v>
      </c>
      <c r="D109" t="s">
        <v>140</v>
      </c>
      <c r="E109" s="23">
        <v>44871</v>
      </c>
      <c r="F109" t="str">
        <f>LEFT(Таблица4[[#This Row],[номер телефона клиента]],LEN(Таблица4[[#This Row],[номер телефона клиента]])-13)</f>
        <v>+380</v>
      </c>
      <c r="G109" t="str">
        <f>_xlfn.XLOOKUP(Таблица4[[#This Row],[Коды телефона]],Таблица5[Код],Таблица5[Страна],"Не найдено",0)</f>
        <v>Украина</v>
      </c>
      <c r="H109" s="23">
        <f t="shared" ca="1" si="4"/>
        <v>46020</v>
      </c>
      <c r="I109" s="19">
        <f ca="1">(Таблица4[[#This Row],[Текущая дата]]-Таблица4[[#This Row],[Дата регистрации клиента]])/30</f>
        <v>38.299999999999997</v>
      </c>
      <c r="J109" t="str">
        <f t="shared" si="5"/>
        <v>Ермаков</v>
      </c>
      <c r="K109" t="str">
        <f t="shared" si="6"/>
        <v>Вадим</v>
      </c>
      <c r="L109" t="str">
        <f t="shared" si="7"/>
        <v>Юлианович</v>
      </c>
    </row>
    <row r="110" spans="1:12" x14ac:dyDescent="0.25">
      <c r="A110">
        <v>269</v>
      </c>
      <c r="B110" t="s">
        <v>621</v>
      </c>
      <c r="C110" s="35" t="s">
        <v>1153</v>
      </c>
      <c r="D110" t="s">
        <v>140</v>
      </c>
      <c r="E110" s="23">
        <v>44720</v>
      </c>
      <c r="F110" t="str">
        <f>LEFT(Таблица4[[#This Row],[номер телефона клиента]],LEN(Таблица4[[#This Row],[номер телефона клиента]])-13)</f>
        <v>+7</v>
      </c>
      <c r="G110" t="str">
        <f>_xlfn.XLOOKUP(Таблица4[[#This Row],[Коды телефона]],Таблица5[Код],Таблица5[Страна],"Не найдено",0)</f>
        <v>Россия</v>
      </c>
      <c r="H110" s="23">
        <f t="shared" ca="1" si="4"/>
        <v>46020</v>
      </c>
      <c r="I110" s="19">
        <f ca="1">(Таблица4[[#This Row],[Текущая дата]]-Таблица4[[#This Row],[Дата регистрации клиента]])/30</f>
        <v>43.333333333333336</v>
      </c>
      <c r="J110" t="str">
        <f t="shared" si="5"/>
        <v>Новикова</v>
      </c>
      <c r="K110" t="str">
        <f t="shared" si="6"/>
        <v>Анжела</v>
      </c>
      <c r="L110" t="str">
        <f t="shared" si="7"/>
        <v>Филипповна</v>
      </c>
    </row>
    <row r="111" spans="1:12" x14ac:dyDescent="0.25">
      <c r="A111">
        <v>16</v>
      </c>
      <c r="B111" t="s">
        <v>620</v>
      </c>
      <c r="C111" s="35" t="s">
        <v>619</v>
      </c>
      <c r="D111" t="s">
        <v>140</v>
      </c>
      <c r="E111" s="23">
        <v>44713</v>
      </c>
      <c r="F111" t="str">
        <f>LEFT(Таблица4[[#This Row],[номер телефона клиента]],LEN(Таблица4[[#This Row],[номер телефона клиента]])-13)</f>
        <v>+380</v>
      </c>
      <c r="G111" t="str">
        <f>_xlfn.XLOOKUP(Таблица4[[#This Row],[Коды телефона]],Таблица5[Код],Таблица5[Страна],"Не найдено",0)</f>
        <v>Украина</v>
      </c>
      <c r="H111" s="23">
        <f t="shared" ca="1" si="4"/>
        <v>46020</v>
      </c>
      <c r="I111" s="19">
        <f ca="1">(Таблица4[[#This Row],[Текущая дата]]-Таблица4[[#This Row],[Дата регистрации клиента]])/30</f>
        <v>43.56666666666667</v>
      </c>
      <c r="J111" t="str">
        <f t="shared" si="5"/>
        <v>Белозеров</v>
      </c>
      <c r="K111" t="str">
        <f t="shared" si="6"/>
        <v>Лука</v>
      </c>
      <c r="L111" t="str">
        <f t="shared" si="7"/>
        <v>Харлампьевич</v>
      </c>
    </row>
    <row r="112" spans="1:12" x14ac:dyDescent="0.25">
      <c r="A112">
        <v>281</v>
      </c>
      <c r="B112" t="s">
        <v>618</v>
      </c>
      <c r="C112" s="35" t="s">
        <v>617</v>
      </c>
      <c r="D112" t="s">
        <v>140</v>
      </c>
      <c r="E112" s="23">
        <v>44711</v>
      </c>
      <c r="F112" t="str">
        <f>LEFT(Таблица4[[#This Row],[номер телефона клиента]],LEN(Таблица4[[#This Row],[номер телефона клиента]])-13)</f>
        <v>+998</v>
      </c>
      <c r="G112" t="str">
        <f>_xlfn.XLOOKUP(Таблица4[[#This Row],[Коды телефона]],Таблица5[Код],Таблица5[Страна],"Не найдено",0)</f>
        <v>Узбекистан</v>
      </c>
      <c r="H112" s="23">
        <f t="shared" ca="1" si="4"/>
        <v>46020</v>
      </c>
      <c r="I112" s="19">
        <f ca="1">(Таблица4[[#This Row],[Текущая дата]]-Таблица4[[#This Row],[Дата регистрации клиента]])/30</f>
        <v>43.633333333333333</v>
      </c>
      <c r="J112" t="str">
        <f t="shared" si="5"/>
        <v>Гурьев</v>
      </c>
      <c r="K112" t="str">
        <f t="shared" si="6"/>
        <v>Евсей</v>
      </c>
      <c r="L112" t="str">
        <f t="shared" si="7"/>
        <v>Гертрудович</v>
      </c>
    </row>
    <row r="113" spans="1:12" x14ac:dyDescent="0.25">
      <c r="A113">
        <v>149</v>
      </c>
      <c r="B113" t="s">
        <v>616</v>
      </c>
      <c r="C113" s="35" t="s">
        <v>615</v>
      </c>
      <c r="D113" t="s">
        <v>142</v>
      </c>
      <c r="E113" s="23">
        <v>44882</v>
      </c>
      <c r="F113" t="str">
        <f>LEFT(Таблица4[[#This Row],[номер телефона клиента]],LEN(Таблица4[[#This Row],[номер телефона клиента]])-13)</f>
        <v>+992</v>
      </c>
      <c r="G113" t="str">
        <f>_xlfn.XLOOKUP(Таблица4[[#This Row],[Коды телефона]],Таблица5[Код],Таблица5[Страна],"Не найдено",0)</f>
        <v>Таджикистан</v>
      </c>
      <c r="H113" s="23">
        <f t="shared" ca="1" si="4"/>
        <v>46020</v>
      </c>
      <c r="I113" s="19">
        <f ca="1">(Таблица4[[#This Row],[Текущая дата]]-Таблица4[[#This Row],[Дата регистрации клиента]])/30</f>
        <v>37.93333333333333</v>
      </c>
      <c r="J113" t="str">
        <f t="shared" si="5"/>
        <v>Королев</v>
      </c>
      <c r="K113" t="str">
        <f t="shared" si="6"/>
        <v>Феофан</v>
      </c>
      <c r="L113" t="str">
        <f t="shared" si="7"/>
        <v>Бориславович</v>
      </c>
    </row>
    <row r="114" spans="1:12" x14ac:dyDescent="0.25">
      <c r="A114">
        <v>380</v>
      </c>
      <c r="B114" t="s">
        <v>614</v>
      </c>
      <c r="C114" s="35" t="s">
        <v>613</v>
      </c>
      <c r="D114" t="s">
        <v>142</v>
      </c>
      <c r="E114" s="23">
        <v>44563</v>
      </c>
      <c r="F114" t="str">
        <f>LEFT(Таблица4[[#This Row],[номер телефона клиента]],LEN(Таблица4[[#This Row],[номер телефона клиента]])-13)</f>
        <v>+7</v>
      </c>
      <c r="G114" t="str">
        <f>_xlfn.XLOOKUP(Таблица4[[#This Row],[Коды телефона]],Таблица5[Код],Таблица5[Страна],"Не найдено",0)</f>
        <v>Россия</v>
      </c>
      <c r="H114" s="23">
        <f t="shared" ca="1" si="4"/>
        <v>46020</v>
      </c>
      <c r="I114" s="19">
        <f ca="1">(Таблица4[[#This Row],[Текущая дата]]-Таблица4[[#This Row],[Дата регистрации клиента]])/30</f>
        <v>48.56666666666667</v>
      </c>
      <c r="J114" t="str">
        <f t="shared" si="5"/>
        <v>Бурова</v>
      </c>
      <c r="K114" t="str">
        <f t="shared" si="6"/>
        <v>Марфа</v>
      </c>
      <c r="L114" t="str">
        <f t="shared" si="7"/>
        <v>Игоревна</v>
      </c>
    </row>
    <row r="115" spans="1:12" x14ac:dyDescent="0.25">
      <c r="A115">
        <v>114</v>
      </c>
      <c r="B115" t="s">
        <v>612</v>
      </c>
      <c r="C115" s="35" t="s">
        <v>1154</v>
      </c>
      <c r="D115" t="s">
        <v>142</v>
      </c>
      <c r="E115" s="23">
        <v>44889</v>
      </c>
      <c r="F115" t="str">
        <f>LEFT(Таблица4[[#This Row],[номер телефона клиента]],LEN(Таблица4[[#This Row],[номер телефона клиента]])-13)</f>
        <v>+7</v>
      </c>
      <c r="G115" t="str">
        <f>_xlfn.XLOOKUP(Таблица4[[#This Row],[Коды телефона]],Таблица5[Код],Таблица5[Страна],"Не найдено",0)</f>
        <v>Россия</v>
      </c>
      <c r="H115" s="23">
        <f t="shared" ca="1" si="4"/>
        <v>46020</v>
      </c>
      <c r="I115" s="19">
        <f ca="1">(Таблица4[[#This Row],[Текущая дата]]-Таблица4[[#This Row],[Дата регистрации клиента]])/30</f>
        <v>37.700000000000003</v>
      </c>
      <c r="J115" t="str">
        <f t="shared" si="5"/>
        <v>Александров</v>
      </c>
      <c r="K115" t="str">
        <f t="shared" si="6"/>
        <v>Прокл</v>
      </c>
      <c r="L115" t="str">
        <f t="shared" si="7"/>
        <v>Тимурович</v>
      </c>
    </row>
    <row r="116" spans="1:12" x14ac:dyDescent="0.25">
      <c r="A116">
        <v>381</v>
      </c>
      <c r="B116" t="s">
        <v>611</v>
      </c>
      <c r="C116" s="35" t="s">
        <v>1155</v>
      </c>
      <c r="D116" t="s">
        <v>140</v>
      </c>
      <c r="E116" s="23">
        <v>44714</v>
      </c>
      <c r="F116" t="str">
        <f>LEFT(Таблица4[[#This Row],[номер телефона клиента]],LEN(Таблица4[[#This Row],[номер телефона клиента]])-13)</f>
        <v>+998</v>
      </c>
      <c r="G116" t="str">
        <f>_xlfn.XLOOKUP(Таблица4[[#This Row],[Коды телефона]],Таблица5[Код],Таблица5[Страна],"Не найдено",0)</f>
        <v>Узбекистан</v>
      </c>
      <c r="H116" s="23">
        <f t="shared" ca="1" si="4"/>
        <v>46020</v>
      </c>
      <c r="I116" s="19">
        <f ca="1">(Таблица4[[#This Row],[Текущая дата]]-Таблица4[[#This Row],[Дата регистрации клиента]])/30</f>
        <v>43.533333333333331</v>
      </c>
      <c r="J116" t="str">
        <f t="shared" si="5"/>
        <v>Чернова</v>
      </c>
      <c r="K116" t="str">
        <f t="shared" si="6"/>
        <v>Раиса</v>
      </c>
      <c r="L116" t="str">
        <f t="shared" si="7"/>
        <v>Станиславовна</v>
      </c>
    </row>
    <row r="117" spans="1:12" x14ac:dyDescent="0.25">
      <c r="A117">
        <v>342</v>
      </c>
      <c r="B117" t="s">
        <v>610</v>
      </c>
      <c r="C117" s="35" t="s">
        <v>1156</v>
      </c>
      <c r="D117" t="s">
        <v>142</v>
      </c>
      <c r="E117" s="23">
        <v>44570</v>
      </c>
      <c r="F117" t="str">
        <f>LEFT(Таблица4[[#This Row],[номер телефона клиента]],LEN(Таблица4[[#This Row],[номер телефона клиента]])-13)</f>
        <v>+992</v>
      </c>
      <c r="G117" t="str">
        <f>_xlfn.XLOOKUP(Таблица4[[#This Row],[Коды телефона]],Таблица5[Код],Таблица5[Страна],"Не найдено",0)</f>
        <v>Таджикистан</v>
      </c>
      <c r="H117" s="23">
        <f t="shared" ca="1" si="4"/>
        <v>46020</v>
      </c>
      <c r="I117" s="19">
        <f ca="1">(Таблица4[[#This Row],[Текущая дата]]-Таблица4[[#This Row],[Дата регистрации клиента]])/30</f>
        <v>48.333333333333336</v>
      </c>
      <c r="J117" t="str">
        <f t="shared" si="5"/>
        <v>Харитонова</v>
      </c>
      <c r="K117" t="str">
        <f t="shared" si="6"/>
        <v>Фёкла</v>
      </c>
      <c r="L117" t="str">
        <f t="shared" si="7"/>
        <v>Феликсовна</v>
      </c>
    </row>
    <row r="118" spans="1:12" x14ac:dyDescent="0.25">
      <c r="A118">
        <v>276</v>
      </c>
      <c r="B118" t="s">
        <v>609</v>
      </c>
      <c r="C118" s="35" t="s">
        <v>608</v>
      </c>
      <c r="D118" t="s">
        <v>140</v>
      </c>
      <c r="E118" s="23">
        <v>44632</v>
      </c>
      <c r="F118" t="str">
        <f>LEFT(Таблица4[[#This Row],[номер телефона клиента]],LEN(Таблица4[[#This Row],[номер телефона клиента]])-13)</f>
        <v>+992</v>
      </c>
      <c r="G118" t="str">
        <f>_xlfn.XLOOKUP(Таблица4[[#This Row],[Коды телефона]],Таблица5[Код],Таблица5[Страна],"Не найдено",0)</f>
        <v>Таджикистан</v>
      </c>
      <c r="H118" s="23">
        <f t="shared" ca="1" si="4"/>
        <v>46020</v>
      </c>
      <c r="I118" s="19">
        <f ca="1">(Таблица4[[#This Row],[Текущая дата]]-Таблица4[[#This Row],[Дата регистрации клиента]])/30</f>
        <v>46.266666666666666</v>
      </c>
      <c r="J118" t="str">
        <f t="shared" si="5"/>
        <v>Лазарев</v>
      </c>
      <c r="K118" t="str">
        <f t="shared" si="6"/>
        <v>Арефий</v>
      </c>
      <c r="L118" t="str">
        <f t="shared" si="7"/>
        <v>Анатольевич</v>
      </c>
    </row>
    <row r="119" spans="1:12" x14ac:dyDescent="0.25">
      <c r="A119">
        <v>293</v>
      </c>
      <c r="B119" t="s">
        <v>607</v>
      </c>
      <c r="C119" s="35" t="s">
        <v>606</v>
      </c>
      <c r="D119" t="s">
        <v>142</v>
      </c>
      <c r="E119" s="23">
        <v>44573</v>
      </c>
      <c r="F119" t="str">
        <f>LEFT(Таблица4[[#This Row],[номер телефона клиента]],LEN(Таблица4[[#This Row],[номер телефона клиента]])-13)</f>
        <v>+375</v>
      </c>
      <c r="G119" t="str">
        <f>_xlfn.XLOOKUP(Таблица4[[#This Row],[Коды телефона]],Таблица5[Код],Таблица5[Страна],"Не найдено",0)</f>
        <v>Беларусь</v>
      </c>
      <c r="H119" s="23">
        <f t="shared" ca="1" si="4"/>
        <v>46020</v>
      </c>
      <c r="I119" s="19">
        <f ca="1">(Таблица4[[#This Row],[Текущая дата]]-Таблица4[[#This Row],[Дата регистрации клиента]])/30</f>
        <v>48.233333333333334</v>
      </c>
      <c r="J119" t="str">
        <f t="shared" si="5"/>
        <v>Брагин</v>
      </c>
      <c r="K119" t="str">
        <f t="shared" si="6"/>
        <v>Любомир</v>
      </c>
      <c r="L119" t="str">
        <f t="shared" si="7"/>
        <v>Гертрудович</v>
      </c>
    </row>
    <row r="120" spans="1:12" x14ac:dyDescent="0.25">
      <c r="A120">
        <v>386</v>
      </c>
      <c r="B120" t="s">
        <v>605</v>
      </c>
      <c r="C120" s="35" t="s">
        <v>1157</v>
      </c>
      <c r="D120" t="s">
        <v>142</v>
      </c>
      <c r="E120" s="23">
        <v>44734</v>
      </c>
      <c r="F120" t="str">
        <f>LEFT(Таблица4[[#This Row],[номер телефона клиента]],LEN(Таблица4[[#This Row],[номер телефона клиента]])-13)</f>
        <v>+998</v>
      </c>
      <c r="G120" t="str">
        <f>_xlfn.XLOOKUP(Таблица4[[#This Row],[Коды телефона]],Таблица5[Код],Таблица5[Страна],"Не найдено",0)</f>
        <v>Узбекистан</v>
      </c>
      <c r="H120" s="23">
        <f t="shared" ca="1" si="4"/>
        <v>46020</v>
      </c>
      <c r="I120" s="19">
        <f ca="1">(Таблица4[[#This Row],[Текущая дата]]-Таблица4[[#This Row],[Дата регистрации клиента]])/30</f>
        <v>42.866666666666667</v>
      </c>
      <c r="J120" t="str">
        <f t="shared" si="5"/>
        <v>Зуева</v>
      </c>
      <c r="K120" t="str">
        <f t="shared" si="6"/>
        <v>Маргарита</v>
      </c>
      <c r="L120" t="str">
        <f t="shared" si="7"/>
        <v>Ждановна</v>
      </c>
    </row>
    <row r="121" spans="1:12" x14ac:dyDescent="0.25">
      <c r="A121">
        <v>362</v>
      </c>
      <c r="B121" t="s">
        <v>604</v>
      </c>
      <c r="C121" s="35" t="s">
        <v>1158</v>
      </c>
      <c r="D121" t="s">
        <v>140</v>
      </c>
      <c r="E121" s="23">
        <v>44916</v>
      </c>
      <c r="F121" t="str">
        <f>LEFT(Таблица4[[#This Row],[номер телефона клиента]],LEN(Таблица4[[#This Row],[номер телефона клиента]])-13)</f>
        <v>+7</v>
      </c>
      <c r="G121" t="str">
        <f>_xlfn.XLOOKUP(Таблица4[[#This Row],[Коды телефона]],Таблица5[Код],Таблица5[Страна],"Не найдено",0)</f>
        <v>Россия</v>
      </c>
      <c r="H121" s="23">
        <f t="shared" ca="1" si="4"/>
        <v>46020</v>
      </c>
      <c r="I121" s="19">
        <f ca="1">(Таблица4[[#This Row],[Текущая дата]]-Таблица4[[#This Row],[Дата регистрации клиента]])/30</f>
        <v>36.799999999999997</v>
      </c>
      <c r="J121" t="str">
        <f t="shared" si="5"/>
        <v>Владимиров</v>
      </c>
      <c r="K121" t="str">
        <f t="shared" si="6"/>
        <v>Авдей</v>
      </c>
      <c r="L121" t="str">
        <f t="shared" si="7"/>
        <v>Брониславович</v>
      </c>
    </row>
    <row r="122" spans="1:12" x14ac:dyDescent="0.25">
      <c r="A122">
        <v>283</v>
      </c>
      <c r="B122" t="s">
        <v>603</v>
      </c>
      <c r="C122" s="35" t="s">
        <v>602</v>
      </c>
      <c r="D122" t="s">
        <v>140</v>
      </c>
      <c r="E122" s="23">
        <v>44889</v>
      </c>
      <c r="F122" t="str">
        <f>LEFT(Таблица4[[#This Row],[номер телефона клиента]],LEN(Таблица4[[#This Row],[номер телефона клиента]])-13)</f>
        <v>+992</v>
      </c>
      <c r="G122" t="str">
        <f>_xlfn.XLOOKUP(Таблица4[[#This Row],[Коды телефона]],Таблица5[Код],Таблица5[Страна],"Не найдено",0)</f>
        <v>Таджикистан</v>
      </c>
      <c r="H122" s="23">
        <f t="shared" ca="1" si="4"/>
        <v>46020</v>
      </c>
      <c r="I122" s="19">
        <f ca="1">(Таблица4[[#This Row],[Текущая дата]]-Таблица4[[#This Row],[Дата регистрации клиента]])/30</f>
        <v>37.700000000000003</v>
      </c>
      <c r="J122" t="str">
        <f t="shared" si="5"/>
        <v>Кириллов</v>
      </c>
      <c r="K122" t="str">
        <f t="shared" si="6"/>
        <v>Валерьян</v>
      </c>
      <c r="L122" t="str">
        <f t="shared" si="7"/>
        <v>Иосипович</v>
      </c>
    </row>
    <row r="123" spans="1:12" x14ac:dyDescent="0.25">
      <c r="A123">
        <v>388</v>
      </c>
      <c r="B123" t="s">
        <v>601</v>
      </c>
      <c r="C123" s="35" t="s">
        <v>600</v>
      </c>
      <c r="D123" t="s">
        <v>142</v>
      </c>
      <c r="E123" s="23">
        <v>44581</v>
      </c>
      <c r="F123" t="str">
        <f>LEFT(Таблица4[[#This Row],[номер телефона клиента]],LEN(Таблица4[[#This Row],[номер телефона клиента]])-13)</f>
        <v>+7</v>
      </c>
      <c r="G123" t="str">
        <f>_xlfn.XLOOKUP(Таблица4[[#This Row],[Коды телефона]],Таблица5[Код],Таблица5[Страна],"Не найдено",0)</f>
        <v>Россия</v>
      </c>
      <c r="H123" s="23">
        <f t="shared" ca="1" si="4"/>
        <v>46020</v>
      </c>
      <c r="I123" s="19">
        <f ca="1">(Таблица4[[#This Row],[Текущая дата]]-Таблица4[[#This Row],[Дата регистрации клиента]])/30</f>
        <v>47.966666666666669</v>
      </c>
      <c r="J123" t="str">
        <f t="shared" si="5"/>
        <v>Тимофеева</v>
      </c>
      <c r="K123" t="str">
        <f t="shared" si="6"/>
        <v>Анастасия</v>
      </c>
      <c r="L123" t="str">
        <f t="shared" si="7"/>
        <v>Натановна</v>
      </c>
    </row>
    <row r="124" spans="1:12" x14ac:dyDescent="0.25">
      <c r="A124">
        <v>437</v>
      </c>
      <c r="B124" t="s">
        <v>599</v>
      </c>
      <c r="C124" s="35" t="s">
        <v>1159</v>
      </c>
      <c r="D124" t="s">
        <v>140</v>
      </c>
      <c r="E124" s="23">
        <v>44576</v>
      </c>
      <c r="F124" t="str">
        <f>LEFT(Таблица4[[#This Row],[номер телефона клиента]],LEN(Таблица4[[#This Row],[номер телефона клиента]])-13)</f>
        <v>+998</v>
      </c>
      <c r="G124" t="str">
        <f>_xlfn.XLOOKUP(Таблица4[[#This Row],[Коды телефона]],Таблица5[Код],Таблица5[Страна],"Не найдено",0)</f>
        <v>Узбекистан</v>
      </c>
      <c r="H124" s="23">
        <f t="shared" ca="1" si="4"/>
        <v>46020</v>
      </c>
      <c r="I124" s="19">
        <f ca="1">(Таблица4[[#This Row],[Текущая дата]]-Таблица4[[#This Row],[Дата регистрации клиента]])/30</f>
        <v>48.133333333333333</v>
      </c>
      <c r="J124" t="str">
        <f t="shared" si="5"/>
        <v>Борисова</v>
      </c>
      <c r="K124" t="str">
        <f t="shared" si="6"/>
        <v>Мария</v>
      </c>
      <c r="L124" t="str">
        <f t="shared" si="7"/>
        <v>Кузьминична</v>
      </c>
    </row>
    <row r="125" spans="1:12" x14ac:dyDescent="0.25">
      <c r="A125">
        <v>450</v>
      </c>
      <c r="B125" t="s">
        <v>598</v>
      </c>
      <c r="C125" s="35" t="s">
        <v>1160</v>
      </c>
      <c r="D125" t="s">
        <v>142</v>
      </c>
      <c r="E125" s="23">
        <v>44619</v>
      </c>
      <c r="F125" t="str">
        <f>LEFT(Таблица4[[#This Row],[номер телефона клиента]],LEN(Таблица4[[#This Row],[номер телефона клиента]])-13)</f>
        <v>+7</v>
      </c>
      <c r="G125" t="str">
        <f>_xlfn.XLOOKUP(Таблица4[[#This Row],[Коды телефона]],Таблица5[Код],Таблица5[Страна],"Не найдено",0)</f>
        <v>Россия</v>
      </c>
      <c r="H125" s="23">
        <f t="shared" ca="1" si="4"/>
        <v>46020</v>
      </c>
      <c r="I125" s="19">
        <f ca="1">(Таблица4[[#This Row],[Текущая дата]]-Таблица4[[#This Row],[Дата регистрации клиента]])/30</f>
        <v>46.7</v>
      </c>
      <c r="J125" t="str">
        <f t="shared" si="5"/>
        <v>Фокин</v>
      </c>
      <c r="K125" t="str">
        <f t="shared" si="6"/>
        <v>Самуил</v>
      </c>
      <c r="L125" t="str">
        <f t="shared" si="7"/>
        <v>Зиновьевич</v>
      </c>
    </row>
    <row r="126" spans="1:12" x14ac:dyDescent="0.25">
      <c r="A126">
        <v>136</v>
      </c>
      <c r="B126" t="s">
        <v>597</v>
      </c>
      <c r="C126" s="35" t="s">
        <v>596</v>
      </c>
      <c r="D126" t="s">
        <v>142</v>
      </c>
      <c r="E126" s="23">
        <v>44860</v>
      </c>
      <c r="F126" t="str">
        <f>LEFT(Таблица4[[#This Row],[номер телефона клиента]],LEN(Таблица4[[#This Row],[номер телефона клиента]])-13)</f>
        <v>+380</v>
      </c>
      <c r="G126" t="str">
        <f>_xlfn.XLOOKUP(Таблица4[[#This Row],[Коды телефона]],Таблица5[Код],Таблица5[Страна],"Не найдено",0)</f>
        <v>Украина</v>
      </c>
      <c r="H126" s="23">
        <f t="shared" ca="1" si="4"/>
        <v>46020</v>
      </c>
      <c r="I126" s="19">
        <f ca="1">(Таблица4[[#This Row],[Текущая дата]]-Таблица4[[#This Row],[Дата регистрации клиента]])/30</f>
        <v>38.666666666666664</v>
      </c>
      <c r="J126" t="str">
        <f t="shared" si="5"/>
        <v>Зайцев</v>
      </c>
      <c r="K126" t="str">
        <f t="shared" si="6"/>
        <v>Ефрем</v>
      </c>
      <c r="L126" t="str">
        <f t="shared" si="7"/>
        <v>Даниилович</v>
      </c>
    </row>
    <row r="127" spans="1:12" x14ac:dyDescent="0.25">
      <c r="A127">
        <v>61</v>
      </c>
      <c r="B127" t="s">
        <v>595</v>
      </c>
      <c r="C127" s="35" t="s">
        <v>1161</v>
      </c>
      <c r="D127" t="s">
        <v>140</v>
      </c>
      <c r="E127" s="23">
        <v>44769</v>
      </c>
      <c r="F127" t="str">
        <f>LEFT(Таблица4[[#This Row],[номер телефона клиента]],LEN(Таблица4[[#This Row],[номер телефона клиента]])-13)</f>
        <v>+992</v>
      </c>
      <c r="G127" t="str">
        <f>_xlfn.XLOOKUP(Таблица4[[#This Row],[Коды телефона]],Таблица5[Код],Таблица5[Страна],"Не найдено",0)</f>
        <v>Таджикистан</v>
      </c>
      <c r="H127" s="23">
        <f t="shared" ca="1" si="4"/>
        <v>46020</v>
      </c>
      <c r="I127" s="19">
        <f ca="1">(Таблица4[[#This Row],[Текущая дата]]-Таблица4[[#This Row],[Дата регистрации клиента]])/30</f>
        <v>41.7</v>
      </c>
      <c r="J127" t="str">
        <f t="shared" si="5"/>
        <v>Лобанов</v>
      </c>
      <c r="K127" t="str">
        <f t="shared" si="6"/>
        <v>Арсений</v>
      </c>
      <c r="L127" t="str">
        <f t="shared" si="7"/>
        <v>Вилорович</v>
      </c>
    </row>
    <row r="128" spans="1:12" x14ac:dyDescent="0.25">
      <c r="A128">
        <v>364</v>
      </c>
      <c r="B128" t="s">
        <v>594</v>
      </c>
      <c r="C128" s="35" t="s">
        <v>593</v>
      </c>
      <c r="D128" t="s">
        <v>142</v>
      </c>
      <c r="E128" s="23">
        <v>44883</v>
      </c>
      <c r="F128" t="str">
        <f>LEFT(Таблица4[[#This Row],[номер телефона клиента]],LEN(Таблица4[[#This Row],[номер телефона клиента]])-13)</f>
        <v>+7</v>
      </c>
      <c r="G128" t="str">
        <f>_xlfn.XLOOKUP(Таблица4[[#This Row],[Коды телефона]],Таблица5[Код],Таблица5[Страна],"Не найдено",0)</f>
        <v>Россия</v>
      </c>
      <c r="H128" s="23">
        <f t="shared" ca="1" si="4"/>
        <v>46020</v>
      </c>
      <c r="I128" s="19">
        <f ca="1">(Таблица4[[#This Row],[Текущая дата]]-Таблица4[[#This Row],[Дата регистрации клиента]])/30</f>
        <v>37.9</v>
      </c>
      <c r="J128" t="str">
        <f t="shared" si="5"/>
        <v>Родионова</v>
      </c>
      <c r="K128" t="str">
        <f t="shared" si="6"/>
        <v>Евпраксия</v>
      </c>
      <c r="L128" t="str">
        <f t="shared" si="7"/>
        <v>Олеговна</v>
      </c>
    </row>
    <row r="129" spans="1:12" x14ac:dyDescent="0.25">
      <c r="A129">
        <v>496</v>
      </c>
      <c r="B129" t="s">
        <v>592</v>
      </c>
      <c r="C129" s="35" t="s">
        <v>591</v>
      </c>
      <c r="D129" t="s">
        <v>142</v>
      </c>
      <c r="E129" s="23">
        <v>44867</v>
      </c>
      <c r="F129" t="str">
        <f>LEFT(Таблица4[[#This Row],[номер телефона клиента]],LEN(Таблица4[[#This Row],[номер телефона клиента]])-13)</f>
        <v>+380</v>
      </c>
      <c r="G129" t="str">
        <f>_xlfn.XLOOKUP(Таблица4[[#This Row],[Коды телефона]],Таблица5[Код],Таблица5[Страна],"Не найдено",0)</f>
        <v>Украина</v>
      </c>
      <c r="H129" s="23">
        <f t="shared" ca="1" si="4"/>
        <v>46020</v>
      </c>
      <c r="I129" s="19">
        <f ca="1">(Таблица4[[#This Row],[Текущая дата]]-Таблица4[[#This Row],[Дата регистрации клиента]])/30</f>
        <v>38.43333333333333</v>
      </c>
      <c r="J129" t="str">
        <f t="shared" si="5"/>
        <v>Вишняков</v>
      </c>
      <c r="K129" t="str">
        <f t="shared" si="6"/>
        <v>Фома</v>
      </c>
      <c r="L129" t="str">
        <f t="shared" si="7"/>
        <v>Викентьевич</v>
      </c>
    </row>
    <row r="130" spans="1:12" x14ac:dyDescent="0.25">
      <c r="A130">
        <v>464</v>
      </c>
      <c r="B130" t="s">
        <v>590</v>
      </c>
      <c r="C130" s="35" t="s">
        <v>589</v>
      </c>
      <c r="D130" t="s">
        <v>140</v>
      </c>
      <c r="E130" s="23">
        <v>44827</v>
      </c>
      <c r="F130" t="str">
        <f>LEFT(Таблица4[[#This Row],[номер телефона клиента]],LEN(Таблица4[[#This Row],[номер телефона клиента]])-13)</f>
        <v>+7</v>
      </c>
      <c r="G130" t="str">
        <f>_xlfn.XLOOKUP(Таблица4[[#This Row],[Коды телефона]],Таблица5[Код],Таблица5[Страна],"Не найдено",0)</f>
        <v>Россия</v>
      </c>
      <c r="H130" s="23">
        <f t="shared" ref="H130:H193" ca="1" si="8">TODAY()</f>
        <v>46020</v>
      </c>
      <c r="I130" s="19">
        <f ca="1">(Таблица4[[#This Row],[Текущая дата]]-Таблица4[[#This Row],[Дата регистрации клиента]])/30</f>
        <v>39.766666666666666</v>
      </c>
      <c r="J130" t="str">
        <f t="shared" ref="J130:J193" si="9">LEFT(C130,FIND(" ",C130)-1)</f>
        <v>Носкова</v>
      </c>
      <c r="K130" t="str">
        <f t="shared" ref="K130:K193" si="10">MID(C130,FIND(" ",C130)+1,FIND(" ",C130,FIND(" ",C130)+1)-FIND(" ",C130)-1)</f>
        <v>Ольга</v>
      </c>
      <c r="L130" t="str">
        <f t="shared" ref="L130:L193" si="11">RIGHT(C130,LEN(C130)-FIND("~",SUBSTITUTE(C130," ","~",2)))</f>
        <v>Ждановна</v>
      </c>
    </row>
    <row r="131" spans="1:12" x14ac:dyDescent="0.25">
      <c r="A131">
        <v>419</v>
      </c>
      <c r="B131" t="s">
        <v>588</v>
      </c>
      <c r="C131" s="35" t="s">
        <v>587</v>
      </c>
      <c r="D131" t="s">
        <v>142</v>
      </c>
      <c r="E131" s="23">
        <v>44869</v>
      </c>
      <c r="F131" t="str">
        <f>LEFT(Таблица4[[#This Row],[номер телефона клиента]],LEN(Таблица4[[#This Row],[номер телефона клиента]])-13)</f>
        <v>+992</v>
      </c>
      <c r="G131" t="str">
        <f>_xlfn.XLOOKUP(Таблица4[[#This Row],[Коды телефона]],Таблица5[Код],Таблица5[Страна],"Не найдено",0)</f>
        <v>Таджикистан</v>
      </c>
      <c r="H131" s="23">
        <f t="shared" ca="1" si="8"/>
        <v>46020</v>
      </c>
      <c r="I131" s="19">
        <f ca="1">(Таблица4[[#This Row],[Текущая дата]]-Таблица4[[#This Row],[Дата регистрации клиента]])/30</f>
        <v>38.366666666666667</v>
      </c>
      <c r="J131" t="str">
        <f t="shared" si="9"/>
        <v>Жданов</v>
      </c>
      <c r="K131" t="str">
        <f t="shared" si="10"/>
        <v>Аверьян</v>
      </c>
      <c r="L131" t="str">
        <f t="shared" si="11"/>
        <v>Валерьевич</v>
      </c>
    </row>
    <row r="132" spans="1:12" x14ac:dyDescent="0.25">
      <c r="A132">
        <v>247</v>
      </c>
      <c r="B132" t="s">
        <v>586</v>
      </c>
      <c r="C132" s="35" t="s">
        <v>585</v>
      </c>
      <c r="D132" t="s">
        <v>142</v>
      </c>
      <c r="E132" s="23">
        <v>44762</v>
      </c>
      <c r="F132" t="str">
        <f>LEFT(Таблица4[[#This Row],[номер телефона клиента]],LEN(Таблица4[[#This Row],[номер телефона клиента]])-13)</f>
        <v>+998</v>
      </c>
      <c r="G132" t="str">
        <f>_xlfn.XLOOKUP(Таблица4[[#This Row],[Коды телефона]],Таблица5[Код],Таблица5[Страна],"Не найдено",0)</f>
        <v>Узбекистан</v>
      </c>
      <c r="H132" s="23">
        <f t="shared" ca="1" si="8"/>
        <v>46020</v>
      </c>
      <c r="I132" s="19">
        <f ca="1">(Таблица4[[#This Row],[Текущая дата]]-Таблица4[[#This Row],[Дата регистрации клиента]])/30</f>
        <v>41.93333333333333</v>
      </c>
      <c r="J132" t="str">
        <f t="shared" si="9"/>
        <v>Филиппов</v>
      </c>
      <c r="K132" t="str">
        <f t="shared" si="10"/>
        <v>Павел</v>
      </c>
      <c r="L132" t="str">
        <f t="shared" si="11"/>
        <v>Игнатович</v>
      </c>
    </row>
    <row r="133" spans="1:12" x14ac:dyDescent="0.25">
      <c r="A133">
        <v>73</v>
      </c>
      <c r="B133" t="s">
        <v>584</v>
      </c>
      <c r="C133" s="35" t="s">
        <v>583</v>
      </c>
      <c r="D133" t="s">
        <v>142</v>
      </c>
      <c r="E133" s="23">
        <v>44665</v>
      </c>
      <c r="F133" t="str">
        <f>LEFT(Таблица4[[#This Row],[номер телефона клиента]],LEN(Таблица4[[#This Row],[номер телефона клиента]])-13)</f>
        <v>+380</v>
      </c>
      <c r="G133" t="str">
        <f>_xlfn.XLOOKUP(Таблица4[[#This Row],[Коды телефона]],Таблица5[Код],Таблица5[Страна],"Не найдено",0)</f>
        <v>Украина</v>
      </c>
      <c r="H133" s="23">
        <f t="shared" ca="1" si="8"/>
        <v>46020</v>
      </c>
      <c r="I133" s="19">
        <f ca="1">(Таблица4[[#This Row],[Текущая дата]]-Таблица4[[#This Row],[Дата регистрации клиента]])/30</f>
        <v>45.166666666666664</v>
      </c>
      <c r="J133" t="str">
        <f t="shared" si="9"/>
        <v>Лапин</v>
      </c>
      <c r="K133" t="str">
        <f t="shared" si="10"/>
        <v>Эрнест</v>
      </c>
      <c r="L133" t="str">
        <f t="shared" si="11"/>
        <v>Антипович</v>
      </c>
    </row>
    <row r="134" spans="1:12" x14ac:dyDescent="0.25">
      <c r="A134">
        <v>139</v>
      </c>
      <c r="B134" t="s">
        <v>582</v>
      </c>
      <c r="C134" s="35" t="s">
        <v>581</v>
      </c>
      <c r="D134" t="s">
        <v>142</v>
      </c>
      <c r="E134" s="23">
        <v>44648</v>
      </c>
      <c r="F134" t="str">
        <f>LEFT(Таблица4[[#This Row],[номер телефона клиента]],LEN(Таблица4[[#This Row],[номер телефона клиента]])-13)</f>
        <v>+375</v>
      </c>
      <c r="G134" t="str">
        <f>_xlfn.XLOOKUP(Таблица4[[#This Row],[Коды телефона]],Таблица5[Код],Таблица5[Страна],"Не найдено",0)</f>
        <v>Беларусь</v>
      </c>
      <c r="H134" s="23">
        <f t="shared" ca="1" si="8"/>
        <v>46020</v>
      </c>
      <c r="I134" s="19">
        <f ca="1">(Таблица4[[#This Row],[Текущая дата]]-Таблица4[[#This Row],[Дата регистрации клиента]])/30</f>
        <v>45.733333333333334</v>
      </c>
      <c r="J134" t="str">
        <f t="shared" si="9"/>
        <v>Зыкова</v>
      </c>
      <c r="K134" t="str">
        <f t="shared" si="10"/>
        <v>Таисия</v>
      </c>
      <c r="L134" t="str">
        <f t="shared" si="11"/>
        <v>Леонидовна</v>
      </c>
    </row>
    <row r="135" spans="1:12" x14ac:dyDescent="0.25">
      <c r="A135">
        <v>258</v>
      </c>
      <c r="B135" t="s">
        <v>580</v>
      </c>
      <c r="C135" s="35" t="s">
        <v>1162</v>
      </c>
      <c r="D135" t="s">
        <v>142</v>
      </c>
      <c r="E135" s="23">
        <v>44717</v>
      </c>
      <c r="F135" t="str">
        <f>LEFT(Таблица4[[#This Row],[номер телефона клиента]],LEN(Таблица4[[#This Row],[номер телефона клиента]])-13)</f>
        <v>+380</v>
      </c>
      <c r="G135" t="str">
        <f>_xlfn.XLOOKUP(Таблица4[[#This Row],[Коды телефона]],Таблица5[Код],Таблица5[Страна],"Не найдено",0)</f>
        <v>Украина</v>
      </c>
      <c r="H135" s="23">
        <f t="shared" ca="1" si="8"/>
        <v>46020</v>
      </c>
      <c r="I135" s="19">
        <f ca="1">(Таблица4[[#This Row],[Текущая дата]]-Таблица4[[#This Row],[Дата регистрации клиента]])/30</f>
        <v>43.43333333333333</v>
      </c>
      <c r="J135" t="str">
        <f t="shared" si="9"/>
        <v>Назарова</v>
      </c>
      <c r="K135" t="str">
        <f t="shared" si="10"/>
        <v>Василиса</v>
      </c>
      <c r="L135" t="str">
        <f t="shared" si="11"/>
        <v>Леоновна</v>
      </c>
    </row>
    <row r="136" spans="1:12" x14ac:dyDescent="0.25">
      <c r="A136">
        <v>349</v>
      </c>
      <c r="B136" t="s">
        <v>579</v>
      </c>
      <c r="C136" s="35" t="s">
        <v>578</v>
      </c>
      <c r="D136" t="s">
        <v>140</v>
      </c>
      <c r="E136" s="23">
        <v>44673</v>
      </c>
      <c r="F136" t="str">
        <f>LEFT(Таблица4[[#This Row],[номер телефона клиента]],LEN(Таблица4[[#This Row],[номер телефона клиента]])-13)</f>
        <v>+7</v>
      </c>
      <c r="G136" t="str">
        <f>_xlfn.XLOOKUP(Таблица4[[#This Row],[Коды телефона]],Таблица5[Код],Таблица5[Страна],"Не найдено",0)</f>
        <v>Россия</v>
      </c>
      <c r="H136" s="23">
        <f t="shared" ca="1" si="8"/>
        <v>46020</v>
      </c>
      <c r="I136" s="19">
        <f ca="1">(Таблица4[[#This Row],[Текущая дата]]-Таблица4[[#This Row],[Дата регистрации клиента]])/30</f>
        <v>44.9</v>
      </c>
      <c r="J136" t="str">
        <f t="shared" si="9"/>
        <v>Авдеев</v>
      </c>
      <c r="K136" t="str">
        <f t="shared" si="10"/>
        <v>Филипп</v>
      </c>
      <c r="L136" t="str">
        <f t="shared" si="11"/>
        <v>Елисеевич</v>
      </c>
    </row>
    <row r="137" spans="1:12" x14ac:dyDescent="0.25">
      <c r="A137">
        <v>325</v>
      </c>
      <c r="B137" t="s">
        <v>577</v>
      </c>
      <c r="C137" s="35" t="s">
        <v>576</v>
      </c>
      <c r="D137" t="s">
        <v>140</v>
      </c>
      <c r="E137" s="23">
        <v>44875</v>
      </c>
      <c r="F137" t="str">
        <f>LEFT(Таблица4[[#This Row],[номер телефона клиента]],LEN(Таблица4[[#This Row],[номер телефона клиента]])-13)</f>
        <v>+992</v>
      </c>
      <c r="G137" t="str">
        <f>_xlfn.XLOOKUP(Таблица4[[#This Row],[Коды телефона]],Таблица5[Код],Таблица5[Страна],"Не найдено",0)</f>
        <v>Таджикистан</v>
      </c>
      <c r="H137" s="23">
        <f t="shared" ca="1" si="8"/>
        <v>46020</v>
      </c>
      <c r="I137" s="19">
        <f ca="1">(Таблица4[[#This Row],[Текущая дата]]-Таблица4[[#This Row],[Дата регистрации клиента]])/30</f>
        <v>38.166666666666664</v>
      </c>
      <c r="J137" t="str">
        <f t="shared" si="9"/>
        <v>Васильев</v>
      </c>
      <c r="K137" t="str">
        <f t="shared" si="10"/>
        <v>Милован</v>
      </c>
      <c r="L137" t="str">
        <f t="shared" si="11"/>
        <v>Георгиевич</v>
      </c>
    </row>
    <row r="138" spans="1:12" x14ac:dyDescent="0.25">
      <c r="A138">
        <v>250</v>
      </c>
      <c r="B138" t="s">
        <v>575</v>
      </c>
      <c r="C138" s="35" t="s">
        <v>1163</v>
      </c>
      <c r="D138" t="s">
        <v>142</v>
      </c>
      <c r="E138" s="23">
        <v>44856</v>
      </c>
      <c r="F138" t="str">
        <f>LEFT(Таблица4[[#This Row],[номер телефона клиента]],LEN(Таблица4[[#This Row],[номер телефона клиента]])-13)</f>
        <v>+7</v>
      </c>
      <c r="G138" t="str">
        <f>_xlfn.XLOOKUP(Таблица4[[#This Row],[Коды телефона]],Таблица5[Код],Таблица5[Страна],"Не найдено",0)</f>
        <v>Россия</v>
      </c>
      <c r="H138" s="23">
        <f t="shared" ca="1" si="8"/>
        <v>46020</v>
      </c>
      <c r="I138" s="19">
        <f ca="1">(Таблица4[[#This Row],[Текущая дата]]-Таблица4[[#This Row],[Дата регистрации клиента]])/30</f>
        <v>38.799999999999997</v>
      </c>
      <c r="J138" t="str">
        <f t="shared" si="9"/>
        <v>Копылов</v>
      </c>
      <c r="K138" t="str">
        <f t="shared" si="10"/>
        <v>Лаврентий</v>
      </c>
      <c r="L138" t="str">
        <f t="shared" si="11"/>
        <v>Артемьевич</v>
      </c>
    </row>
    <row r="139" spans="1:12" x14ac:dyDescent="0.25">
      <c r="A139">
        <v>153</v>
      </c>
      <c r="B139" t="s">
        <v>574</v>
      </c>
      <c r="C139" s="35" t="s">
        <v>573</v>
      </c>
      <c r="D139" t="s">
        <v>140</v>
      </c>
      <c r="E139" s="23">
        <v>44802</v>
      </c>
      <c r="F139" t="str">
        <f>LEFT(Таблица4[[#This Row],[номер телефона клиента]],LEN(Таблица4[[#This Row],[номер телефона клиента]])-13)</f>
        <v>+7</v>
      </c>
      <c r="G139" t="str">
        <f>_xlfn.XLOOKUP(Таблица4[[#This Row],[Коды телефона]],Таблица5[Код],Таблица5[Страна],"Не найдено",0)</f>
        <v>Россия</v>
      </c>
      <c r="H139" s="23">
        <f t="shared" ca="1" si="8"/>
        <v>46020</v>
      </c>
      <c r="I139" s="19">
        <f ca="1">(Таблица4[[#This Row],[Текущая дата]]-Таблица4[[#This Row],[Дата регистрации клиента]])/30</f>
        <v>40.6</v>
      </c>
      <c r="J139" t="str">
        <f t="shared" si="9"/>
        <v>Маслов</v>
      </c>
      <c r="K139" t="str">
        <f t="shared" si="10"/>
        <v>Сократ</v>
      </c>
      <c r="L139" t="str">
        <f t="shared" si="11"/>
        <v>Анатольевич</v>
      </c>
    </row>
    <row r="140" spans="1:12" x14ac:dyDescent="0.25">
      <c r="A140">
        <v>286</v>
      </c>
      <c r="B140" t="s">
        <v>572</v>
      </c>
      <c r="C140" s="35" t="s">
        <v>861</v>
      </c>
      <c r="D140" t="s">
        <v>140</v>
      </c>
      <c r="E140" s="23">
        <v>44563</v>
      </c>
      <c r="F140" t="str">
        <f>LEFT(Таблица4[[#This Row],[номер телефона клиента]],LEN(Таблица4[[#This Row],[номер телефона клиента]])-13)</f>
        <v>+992</v>
      </c>
      <c r="G140" t="str">
        <f>_xlfn.XLOOKUP(Таблица4[[#This Row],[Коды телефона]],Таблица5[Код],Таблица5[Страна],"Не найдено",0)</f>
        <v>Таджикистан</v>
      </c>
      <c r="H140" s="23">
        <f t="shared" ca="1" si="8"/>
        <v>46020</v>
      </c>
      <c r="I140" s="19">
        <f ca="1">(Таблица4[[#This Row],[Текущая дата]]-Таблица4[[#This Row],[Дата регистрации клиента]])/30</f>
        <v>48.56666666666667</v>
      </c>
      <c r="J140" t="str">
        <f t="shared" si="9"/>
        <v>Савельев</v>
      </c>
      <c r="K140" t="str">
        <f t="shared" si="10"/>
        <v>Федосий</v>
      </c>
      <c r="L140" t="str">
        <f t="shared" si="11"/>
        <v>Феоктистович</v>
      </c>
    </row>
    <row r="141" spans="1:12" x14ac:dyDescent="0.25">
      <c r="A141">
        <v>32</v>
      </c>
      <c r="B141" t="s">
        <v>571</v>
      </c>
      <c r="C141" s="35" t="s">
        <v>570</v>
      </c>
      <c r="D141" t="s">
        <v>142</v>
      </c>
      <c r="E141" s="23">
        <v>44922</v>
      </c>
      <c r="F141" t="str">
        <f>LEFT(Таблица4[[#This Row],[номер телефона клиента]],LEN(Таблица4[[#This Row],[номер телефона клиента]])-13)</f>
        <v>+998</v>
      </c>
      <c r="G141" t="str">
        <f>_xlfn.XLOOKUP(Таблица4[[#This Row],[Коды телефона]],Таблица5[Код],Таблица5[Страна],"Не найдено",0)</f>
        <v>Узбекистан</v>
      </c>
      <c r="H141" s="23">
        <f t="shared" ca="1" si="8"/>
        <v>46020</v>
      </c>
      <c r="I141" s="19">
        <f ca="1">(Таблица4[[#This Row],[Текущая дата]]-Таблица4[[#This Row],[Дата регистрации клиента]])/30</f>
        <v>36.6</v>
      </c>
      <c r="J141" t="str">
        <f t="shared" si="9"/>
        <v>Гущин</v>
      </c>
      <c r="K141" t="str">
        <f t="shared" si="10"/>
        <v>Ипполит</v>
      </c>
      <c r="L141" t="str">
        <f t="shared" si="11"/>
        <v>Яковлевич</v>
      </c>
    </row>
    <row r="142" spans="1:12" x14ac:dyDescent="0.25">
      <c r="A142">
        <v>49</v>
      </c>
      <c r="B142" t="s">
        <v>569</v>
      </c>
      <c r="C142" s="35" t="s">
        <v>1164</v>
      </c>
      <c r="D142" t="s">
        <v>142</v>
      </c>
      <c r="E142" s="23">
        <v>44672</v>
      </c>
      <c r="F142" t="str">
        <f>LEFT(Таблица4[[#This Row],[номер телефона клиента]],LEN(Таблица4[[#This Row],[номер телефона клиента]])-13)</f>
        <v>+992</v>
      </c>
      <c r="G142" t="str">
        <f>_xlfn.XLOOKUP(Таблица4[[#This Row],[Коды телефона]],Таблица5[Код],Таблица5[Страна],"Не найдено",0)</f>
        <v>Таджикистан</v>
      </c>
      <c r="H142" s="23">
        <f t="shared" ca="1" si="8"/>
        <v>46020</v>
      </c>
      <c r="I142" s="19">
        <f ca="1">(Таблица4[[#This Row],[Текущая дата]]-Таблица4[[#This Row],[Дата регистрации клиента]])/30</f>
        <v>44.93333333333333</v>
      </c>
      <c r="J142" t="str">
        <f t="shared" si="9"/>
        <v>Абрамов</v>
      </c>
      <c r="K142" t="str">
        <f t="shared" si="10"/>
        <v>Спиридон</v>
      </c>
      <c r="L142" t="str">
        <f t="shared" si="11"/>
        <v>Чеславович</v>
      </c>
    </row>
    <row r="143" spans="1:12" x14ac:dyDescent="0.25">
      <c r="A143">
        <v>420</v>
      </c>
      <c r="B143" t="s">
        <v>568</v>
      </c>
      <c r="C143" s="35" t="s">
        <v>567</v>
      </c>
      <c r="D143" t="s">
        <v>140</v>
      </c>
      <c r="E143" s="23">
        <v>44698</v>
      </c>
      <c r="F143" t="str">
        <f>LEFT(Таблица4[[#This Row],[номер телефона клиента]],LEN(Таблица4[[#This Row],[номер телефона клиента]])-13)</f>
        <v>+380</v>
      </c>
      <c r="G143" t="str">
        <f>_xlfn.XLOOKUP(Таблица4[[#This Row],[Коды телефона]],Таблица5[Код],Таблица5[Страна],"Не найдено",0)</f>
        <v>Украина</v>
      </c>
      <c r="H143" s="23">
        <f t="shared" ca="1" si="8"/>
        <v>46020</v>
      </c>
      <c r="I143" s="19">
        <f ca="1">(Таблица4[[#This Row],[Текущая дата]]-Таблица4[[#This Row],[Дата регистрации клиента]])/30</f>
        <v>44.06666666666667</v>
      </c>
      <c r="J143" t="str">
        <f t="shared" si="9"/>
        <v>Тихонова</v>
      </c>
      <c r="K143" t="str">
        <f t="shared" si="10"/>
        <v>Евфросиния</v>
      </c>
      <c r="L143" t="str">
        <f t="shared" si="11"/>
        <v>Феликсовна</v>
      </c>
    </row>
    <row r="144" spans="1:12" x14ac:dyDescent="0.25">
      <c r="A144">
        <v>202</v>
      </c>
      <c r="B144" t="s">
        <v>566</v>
      </c>
      <c r="C144" s="35" t="s">
        <v>565</v>
      </c>
      <c r="D144" t="s">
        <v>140</v>
      </c>
      <c r="E144" s="23">
        <v>44766</v>
      </c>
      <c r="F144" t="str">
        <f>LEFT(Таблица4[[#This Row],[номер телефона клиента]],LEN(Таблица4[[#This Row],[номер телефона клиента]])-13)</f>
        <v>+375</v>
      </c>
      <c r="G144" t="str">
        <f>_xlfn.XLOOKUP(Таблица4[[#This Row],[Коды телефона]],Таблица5[Код],Таблица5[Страна],"Не найдено",0)</f>
        <v>Беларусь</v>
      </c>
      <c r="H144" s="23">
        <f t="shared" ca="1" si="8"/>
        <v>46020</v>
      </c>
      <c r="I144" s="19">
        <f ca="1">(Таблица4[[#This Row],[Текущая дата]]-Таблица4[[#This Row],[Дата регистрации клиента]])/30</f>
        <v>41.8</v>
      </c>
      <c r="J144" t="str">
        <f t="shared" si="9"/>
        <v>Сазонова</v>
      </c>
      <c r="K144" t="str">
        <f t="shared" si="10"/>
        <v>Оксана</v>
      </c>
      <c r="L144" t="str">
        <f t="shared" si="11"/>
        <v>Александровна</v>
      </c>
    </row>
    <row r="145" spans="1:12" x14ac:dyDescent="0.25">
      <c r="A145">
        <v>37</v>
      </c>
      <c r="B145" t="s">
        <v>564</v>
      </c>
      <c r="C145" s="35" t="s">
        <v>563</v>
      </c>
      <c r="D145" t="s">
        <v>142</v>
      </c>
      <c r="E145" s="23">
        <v>44728</v>
      </c>
      <c r="F145" t="str">
        <f>LEFT(Таблица4[[#This Row],[номер телефона клиента]],LEN(Таблица4[[#This Row],[номер телефона клиента]])-13)</f>
        <v>+380</v>
      </c>
      <c r="G145" t="str">
        <f>_xlfn.XLOOKUP(Таблица4[[#This Row],[Коды телефона]],Таблица5[Код],Таблица5[Страна],"Не найдено",0)</f>
        <v>Украина</v>
      </c>
      <c r="H145" s="23">
        <f t="shared" ca="1" si="8"/>
        <v>46020</v>
      </c>
      <c r="I145" s="19">
        <f ca="1">(Таблица4[[#This Row],[Текущая дата]]-Таблица4[[#This Row],[Дата регистрации клиента]])/30</f>
        <v>43.06666666666667</v>
      </c>
      <c r="J145" t="str">
        <f t="shared" si="9"/>
        <v>Кулакова</v>
      </c>
      <c r="K145" t="str">
        <f t="shared" si="10"/>
        <v>Нина</v>
      </c>
      <c r="L145" t="str">
        <f t="shared" si="11"/>
        <v>Семеновна</v>
      </c>
    </row>
    <row r="146" spans="1:12" x14ac:dyDescent="0.25">
      <c r="A146">
        <v>366</v>
      </c>
      <c r="B146" t="s">
        <v>562</v>
      </c>
      <c r="C146" s="35" t="s">
        <v>1165</v>
      </c>
      <c r="D146" t="s">
        <v>140</v>
      </c>
      <c r="E146" s="23">
        <v>44827</v>
      </c>
      <c r="F146" t="str">
        <f>LEFT(Таблица4[[#This Row],[номер телефона клиента]],LEN(Таблица4[[#This Row],[номер телефона клиента]])-13)</f>
        <v>+998</v>
      </c>
      <c r="G146" t="str">
        <f>_xlfn.XLOOKUP(Таблица4[[#This Row],[Коды телефона]],Таблица5[Код],Таблица5[Страна],"Не найдено",0)</f>
        <v>Узбекистан</v>
      </c>
      <c r="H146" s="23">
        <f t="shared" ca="1" si="8"/>
        <v>46020</v>
      </c>
      <c r="I146" s="19">
        <f ca="1">(Таблица4[[#This Row],[Текущая дата]]-Таблица4[[#This Row],[Дата регистрации клиента]])/30</f>
        <v>39.766666666666666</v>
      </c>
      <c r="J146" t="str">
        <f t="shared" si="9"/>
        <v>Никифорова</v>
      </c>
      <c r="K146" t="str">
        <f t="shared" si="10"/>
        <v>Анна</v>
      </c>
      <c r="L146" t="str">
        <f t="shared" si="11"/>
        <v>Альбертовна</v>
      </c>
    </row>
    <row r="147" spans="1:12" x14ac:dyDescent="0.25">
      <c r="A147">
        <v>434</v>
      </c>
      <c r="B147" t="s">
        <v>561</v>
      </c>
      <c r="C147" s="35" t="s">
        <v>1166</v>
      </c>
      <c r="D147" t="s">
        <v>140</v>
      </c>
      <c r="E147" s="23">
        <v>44730</v>
      </c>
      <c r="F147" t="str">
        <f>LEFT(Таблица4[[#This Row],[номер телефона клиента]],LEN(Таблица4[[#This Row],[номер телефона клиента]])-13)</f>
        <v>+380</v>
      </c>
      <c r="G147" t="str">
        <f>_xlfn.XLOOKUP(Таблица4[[#This Row],[Коды телефона]],Таблица5[Код],Таблица5[Страна],"Не найдено",0)</f>
        <v>Украина</v>
      </c>
      <c r="H147" s="23">
        <f t="shared" ca="1" si="8"/>
        <v>46020</v>
      </c>
      <c r="I147" s="19">
        <f ca="1">(Таблица4[[#This Row],[Текущая дата]]-Таблица4[[#This Row],[Дата регистрации клиента]])/30</f>
        <v>43</v>
      </c>
      <c r="J147" t="str">
        <f t="shared" si="9"/>
        <v>Щукин</v>
      </c>
      <c r="K147" t="str">
        <f t="shared" si="10"/>
        <v>Христофор</v>
      </c>
      <c r="L147" t="str">
        <f t="shared" si="11"/>
        <v>Авдеевич</v>
      </c>
    </row>
    <row r="148" spans="1:12" x14ac:dyDescent="0.25">
      <c r="A148">
        <v>172</v>
      </c>
      <c r="B148" t="s">
        <v>560</v>
      </c>
      <c r="C148" s="35" t="s">
        <v>559</v>
      </c>
      <c r="D148" t="s">
        <v>140</v>
      </c>
      <c r="E148" s="23">
        <v>44737</v>
      </c>
      <c r="F148" t="str">
        <f>LEFT(Таблица4[[#This Row],[номер телефона клиента]],LEN(Таблица4[[#This Row],[номер телефона клиента]])-13)</f>
        <v>+7</v>
      </c>
      <c r="G148" t="str">
        <f>_xlfn.XLOOKUP(Таблица4[[#This Row],[Коды телефона]],Таблица5[Код],Таблица5[Страна],"Не найдено",0)</f>
        <v>Россия</v>
      </c>
      <c r="H148" s="23">
        <f t="shared" ca="1" si="8"/>
        <v>46020</v>
      </c>
      <c r="I148" s="19">
        <f ca="1">(Таблица4[[#This Row],[Текущая дата]]-Таблица4[[#This Row],[Дата регистрации клиента]])/30</f>
        <v>42.766666666666666</v>
      </c>
      <c r="J148" t="str">
        <f t="shared" si="9"/>
        <v>Русаков</v>
      </c>
      <c r="K148" t="str">
        <f t="shared" si="10"/>
        <v>Лев</v>
      </c>
      <c r="L148" t="str">
        <f t="shared" si="11"/>
        <v>Тимурович</v>
      </c>
    </row>
    <row r="149" spans="1:12" x14ac:dyDescent="0.25">
      <c r="A149">
        <v>52</v>
      </c>
      <c r="B149" t="s">
        <v>558</v>
      </c>
      <c r="C149" s="35" t="s">
        <v>1167</v>
      </c>
      <c r="D149" t="s">
        <v>142</v>
      </c>
      <c r="E149" s="23">
        <v>44917</v>
      </c>
      <c r="F149" t="str">
        <f>LEFT(Таблица4[[#This Row],[номер телефона клиента]],LEN(Таблица4[[#This Row],[номер телефона клиента]])-13)</f>
        <v>+7</v>
      </c>
      <c r="G149" t="str">
        <f>_xlfn.XLOOKUP(Таблица4[[#This Row],[Коды телефона]],Таблица5[Код],Таблица5[Страна],"Не найдено",0)</f>
        <v>Россия</v>
      </c>
      <c r="H149" s="23">
        <f t="shared" ca="1" si="8"/>
        <v>46020</v>
      </c>
      <c r="I149" s="19">
        <f ca="1">(Таблица4[[#This Row],[Текущая дата]]-Таблица4[[#This Row],[Дата регистрации клиента]])/30</f>
        <v>36.766666666666666</v>
      </c>
      <c r="J149" t="str">
        <f t="shared" si="9"/>
        <v>Мельникова</v>
      </c>
      <c r="K149" t="str">
        <f t="shared" si="10"/>
        <v>Глафира</v>
      </c>
      <c r="L149" t="str">
        <f t="shared" si="11"/>
        <v>Николаевна</v>
      </c>
    </row>
    <row r="150" spans="1:12" x14ac:dyDescent="0.25">
      <c r="A150">
        <v>395</v>
      </c>
      <c r="B150" t="s">
        <v>557</v>
      </c>
      <c r="C150" s="35" t="s">
        <v>556</v>
      </c>
      <c r="D150" t="s">
        <v>140</v>
      </c>
      <c r="E150" s="23">
        <v>44890</v>
      </c>
      <c r="F150" t="str">
        <f>LEFT(Таблица4[[#This Row],[номер телефона клиента]],LEN(Таблица4[[#This Row],[номер телефона клиента]])-13)</f>
        <v>+998</v>
      </c>
      <c r="G150" t="str">
        <f>_xlfn.XLOOKUP(Таблица4[[#This Row],[Коды телефона]],Таблица5[Код],Таблица5[Страна],"Не найдено",0)</f>
        <v>Узбекистан</v>
      </c>
      <c r="H150" s="23">
        <f t="shared" ca="1" si="8"/>
        <v>46020</v>
      </c>
      <c r="I150" s="19">
        <f ca="1">(Таблица4[[#This Row],[Текущая дата]]-Таблица4[[#This Row],[Дата регистрации клиента]])/30</f>
        <v>37.666666666666664</v>
      </c>
      <c r="J150" t="str">
        <f t="shared" si="9"/>
        <v>Якушев</v>
      </c>
      <c r="K150" t="str">
        <f t="shared" si="10"/>
        <v>Мина</v>
      </c>
      <c r="L150" t="str">
        <f t="shared" si="11"/>
        <v>Гавриилович</v>
      </c>
    </row>
    <row r="151" spans="1:12" x14ac:dyDescent="0.25">
      <c r="A151">
        <v>46</v>
      </c>
      <c r="B151" t="s">
        <v>555</v>
      </c>
      <c r="C151" s="35" t="s">
        <v>862</v>
      </c>
      <c r="D151" t="s">
        <v>142</v>
      </c>
      <c r="E151" s="23">
        <v>44636</v>
      </c>
      <c r="F151" t="str">
        <f>LEFT(Таблица4[[#This Row],[номер телефона клиента]],LEN(Таблица4[[#This Row],[номер телефона клиента]])-13)</f>
        <v>+992</v>
      </c>
      <c r="G151" t="str">
        <f>_xlfn.XLOOKUP(Таблица4[[#This Row],[Коды телефона]],Таблица5[Код],Таблица5[Страна],"Не найдено",0)</f>
        <v>Таджикистан</v>
      </c>
      <c r="H151" s="23">
        <f t="shared" ca="1" si="8"/>
        <v>46020</v>
      </c>
      <c r="I151" s="19">
        <f ca="1">(Таблица4[[#This Row],[Текущая дата]]-Таблица4[[#This Row],[Дата регистрации клиента]])/30</f>
        <v>46.133333333333333</v>
      </c>
      <c r="J151" t="str">
        <f t="shared" si="9"/>
        <v>Степанова</v>
      </c>
      <c r="K151" t="str">
        <f t="shared" si="10"/>
        <v>Синклитикия</v>
      </c>
      <c r="L151" t="str">
        <f t="shared" si="11"/>
        <v>Александровна</v>
      </c>
    </row>
    <row r="152" spans="1:12" x14ac:dyDescent="0.25">
      <c r="A152">
        <v>361</v>
      </c>
      <c r="B152" t="s">
        <v>554</v>
      </c>
      <c r="C152" s="35" t="s">
        <v>553</v>
      </c>
      <c r="D152" t="s">
        <v>142</v>
      </c>
      <c r="E152" s="23">
        <v>44831</v>
      </c>
      <c r="F152" t="str">
        <f>LEFT(Таблица4[[#This Row],[номер телефона клиента]],LEN(Таблица4[[#This Row],[номер телефона клиента]])-13)</f>
        <v>+998</v>
      </c>
      <c r="G152" t="str">
        <f>_xlfn.XLOOKUP(Таблица4[[#This Row],[Коды телефона]],Таблица5[Код],Таблица5[Страна],"Не найдено",0)</f>
        <v>Узбекистан</v>
      </c>
      <c r="H152" s="23">
        <f t="shared" ca="1" si="8"/>
        <v>46020</v>
      </c>
      <c r="I152" s="19">
        <f ca="1">(Таблица4[[#This Row],[Текущая дата]]-Таблица4[[#This Row],[Дата регистрации клиента]])/30</f>
        <v>39.633333333333333</v>
      </c>
      <c r="J152" t="str">
        <f t="shared" si="9"/>
        <v>Федорова</v>
      </c>
      <c r="K152" t="str">
        <f t="shared" si="10"/>
        <v>Жанна</v>
      </c>
      <c r="L152" t="str">
        <f t="shared" si="11"/>
        <v>Вадимовна</v>
      </c>
    </row>
    <row r="153" spans="1:12" x14ac:dyDescent="0.25">
      <c r="A153">
        <v>358</v>
      </c>
      <c r="B153" t="s">
        <v>552</v>
      </c>
      <c r="C153" s="35" t="s">
        <v>1168</v>
      </c>
      <c r="D153" t="s">
        <v>142</v>
      </c>
      <c r="E153" s="23">
        <v>44771</v>
      </c>
      <c r="F153" t="str">
        <f>LEFT(Таблица4[[#This Row],[номер телефона клиента]],LEN(Таблица4[[#This Row],[номер телефона клиента]])-13)</f>
        <v>+380</v>
      </c>
      <c r="G153" t="str">
        <f>_xlfn.XLOOKUP(Таблица4[[#This Row],[Коды телефона]],Таблица5[Код],Таблица5[Страна],"Не найдено",0)</f>
        <v>Украина</v>
      </c>
      <c r="H153" s="23">
        <f t="shared" ca="1" si="8"/>
        <v>46020</v>
      </c>
      <c r="I153" s="19">
        <f ca="1">(Таблица4[[#This Row],[Текущая дата]]-Таблица4[[#This Row],[Дата регистрации клиента]])/30</f>
        <v>41.633333333333333</v>
      </c>
      <c r="J153" t="str">
        <f t="shared" si="9"/>
        <v>Чернова</v>
      </c>
      <c r="K153" t="str">
        <f t="shared" si="10"/>
        <v>Евфросиния</v>
      </c>
      <c r="L153" t="str">
        <f t="shared" si="11"/>
        <v>Петровна</v>
      </c>
    </row>
    <row r="154" spans="1:12" x14ac:dyDescent="0.25">
      <c r="A154">
        <v>44</v>
      </c>
      <c r="B154" t="s">
        <v>551</v>
      </c>
      <c r="C154" s="35" t="s">
        <v>1169</v>
      </c>
      <c r="D154" t="s">
        <v>140</v>
      </c>
      <c r="E154" s="23">
        <v>44701</v>
      </c>
      <c r="F154" t="str">
        <f>LEFT(Таблица4[[#This Row],[номер телефона клиента]],LEN(Таблица4[[#This Row],[номер телефона клиента]])-13)</f>
        <v>+375</v>
      </c>
      <c r="G154" t="str">
        <f>_xlfn.XLOOKUP(Таблица4[[#This Row],[Коды телефона]],Таблица5[Код],Таблица5[Страна],"Не найдено",0)</f>
        <v>Беларусь</v>
      </c>
      <c r="H154" s="23">
        <f t="shared" ca="1" si="8"/>
        <v>46020</v>
      </c>
      <c r="I154" s="19">
        <f ca="1">(Таблица4[[#This Row],[Текущая дата]]-Таблица4[[#This Row],[Дата регистрации клиента]])/30</f>
        <v>43.966666666666669</v>
      </c>
      <c r="J154" t="str">
        <f t="shared" si="9"/>
        <v>Горбунов</v>
      </c>
      <c r="K154" t="str">
        <f t="shared" si="10"/>
        <v>Кир</v>
      </c>
      <c r="L154" t="str">
        <f t="shared" si="11"/>
        <v>Васильевич</v>
      </c>
    </row>
    <row r="155" spans="1:12" x14ac:dyDescent="0.25">
      <c r="A155">
        <v>416</v>
      </c>
      <c r="B155" t="s">
        <v>550</v>
      </c>
      <c r="C155" s="35" t="s">
        <v>549</v>
      </c>
      <c r="D155" t="s">
        <v>140</v>
      </c>
      <c r="E155" s="23">
        <v>44703</v>
      </c>
      <c r="F155" t="str">
        <f>LEFT(Таблица4[[#This Row],[номер телефона клиента]],LEN(Таблица4[[#This Row],[номер телефона клиента]])-13)</f>
        <v>+992</v>
      </c>
      <c r="G155" t="str">
        <f>_xlfn.XLOOKUP(Таблица4[[#This Row],[Коды телефона]],Таблица5[Код],Таблица5[Страна],"Не найдено",0)</f>
        <v>Таджикистан</v>
      </c>
      <c r="H155" s="23">
        <f t="shared" ca="1" si="8"/>
        <v>46020</v>
      </c>
      <c r="I155" s="19">
        <f ca="1">(Таблица4[[#This Row],[Текущая дата]]-Таблица4[[#This Row],[Дата регистрации клиента]])/30</f>
        <v>43.9</v>
      </c>
      <c r="J155" t="str">
        <f t="shared" si="9"/>
        <v>Зуев</v>
      </c>
      <c r="K155" t="str">
        <f t="shared" si="10"/>
        <v>Гостомысл</v>
      </c>
      <c r="L155" t="str">
        <f t="shared" si="11"/>
        <v>Игоревич</v>
      </c>
    </row>
    <row r="156" spans="1:12" x14ac:dyDescent="0.25">
      <c r="A156">
        <v>74</v>
      </c>
      <c r="B156" t="s">
        <v>548</v>
      </c>
      <c r="C156" s="35" t="s">
        <v>1170</v>
      </c>
      <c r="D156" t="s">
        <v>140</v>
      </c>
      <c r="E156" s="23">
        <v>44857</v>
      </c>
      <c r="F156" t="str">
        <f>LEFT(Таблица4[[#This Row],[номер телефона клиента]],LEN(Таблица4[[#This Row],[номер телефона клиента]])-13)</f>
        <v>+7</v>
      </c>
      <c r="G156" t="str">
        <f>_xlfn.XLOOKUP(Таблица4[[#This Row],[Коды телефона]],Таблица5[Код],Таблица5[Страна],"Не найдено",0)</f>
        <v>Россия</v>
      </c>
      <c r="H156" s="23">
        <f t="shared" ca="1" si="8"/>
        <v>46020</v>
      </c>
      <c r="I156" s="19">
        <f ca="1">(Таблица4[[#This Row],[Текущая дата]]-Таблица4[[#This Row],[Дата регистрации клиента]])/30</f>
        <v>38.766666666666666</v>
      </c>
      <c r="J156" t="str">
        <f t="shared" si="9"/>
        <v>Данилова</v>
      </c>
      <c r="K156" t="str">
        <f t="shared" si="10"/>
        <v>Любовь</v>
      </c>
      <c r="L156" t="str">
        <f t="shared" si="11"/>
        <v>Романовна</v>
      </c>
    </row>
    <row r="157" spans="1:12" x14ac:dyDescent="0.25">
      <c r="A157">
        <v>180</v>
      </c>
      <c r="B157" t="s">
        <v>547</v>
      </c>
      <c r="C157" s="35" t="s">
        <v>546</v>
      </c>
      <c r="D157" t="s">
        <v>140</v>
      </c>
      <c r="E157" s="23">
        <v>44616</v>
      </c>
      <c r="F157" t="str">
        <f>LEFT(Таблица4[[#This Row],[номер телефона клиента]],LEN(Таблица4[[#This Row],[номер телефона клиента]])-13)</f>
        <v>+375</v>
      </c>
      <c r="G157" t="str">
        <f>_xlfn.XLOOKUP(Таблица4[[#This Row],[Коды телефона]],Таблица5[Код],Таблица5[Страна],"Не найдено",0)</f>
        <v>Беларусь</v>
      </c>
      <c r="H157" s="23">
        <f t="shared" ca="1" si="8"/>
        <v>46020</v>
      </c>
      <c r="I157" s="19">
        <f ca="1">(Таблица4[[#This Row],[Текущая дата]]-Таблица4[[#This Row],[Дата регистрации клиента]])/30</f>
        <v>46.8</v>
      </c>
      <c r="J157" t="str">
        <f t="shared" si="9"/>
        <v>Калинин</v>
      </c>
      <c r="K157" t="str">
        <f t="shared" si="10"/>
        <v>Лев</v>
      </c>
      <c r="L157" t="str">
        <f t="shared" si="11"/>
        <v>Феодосьевич</v>
      </c>
    </row>
    <row r="158" spans="1:12" x14ac:dyDescent="0.25">
      <c r="A158">
        <v>159</v>
      </c>
      <c r="B158" t="s">
        <v>545</v>
      </c>
      <c r="C158" s="35" t="s">
        <v>1171</v>
      </c>
      <c r="D158" t="s">
        <v>140</v>
      </c>
      <c r="E158" s="23">
        <v>44686</v>
      </c>
      <c r="F158" t="str">
        <f>LEFT(Таблица4[[#This Row],[номер телефона клиента]],LEN(Таблица4[[#This Row],[номер телефона клиента]])-13)</f>
        <v>+998</v>
      </c>
      <c r="G158" t="str">
        <f>_xlfn.XLOOKUP(Таблица4[[#This Row],[Коды телефона]],Таблица5[Код],Таблица5[Страна],"Не найдено",0)</f>
        <v>Узбекистан</v>
      </c>
      <c r="H158" s="23">
        <f t="shared" ca="1" si="8"/>
        <v>46020</v>
      </c>
      <c r="I158" s="19">
        <f ca="1">(Таблица4[[#This Row],[Текущая дата]]-Таблица4[[#This Row],[Дата регистрации клиента]])/30</f>
        <v>44.466666666666669</v>
      </c>
      <c r="J158" t="str">
        <f t="shared" si="9"/>
        <v>Корнилов</v>
      </c>
      <c r="K158" t="str">
        <f t="shared" si="10"/>
        <v>Марк</v>
      </c>
      <c r="L158" t="str">
        <f t="shared" si="11"/>
        <v>Яковлевич</v>
      </c>
    </row>
    <row r="159" spans="1:12" x14ac:dyDescent="0.25">
      <c r="A159">
        <v>106</v>
      </c>
      <c r="B159" t="s">
        <v>544</v>
      </c>
      <c r="C159" s="35" t="s">
        <v>1172</v>
      </c>
      <c r="D159" t="s">
        <v>142</v>
      </c>
      <c r="E159" s="23">
        <v>44858</v>
      </c>
      <c r="F159" t="str">
        <f>LEFT(Таблица4[[#This Row],[номер телефона клиента]],LEN(Таблица4[[#This Row],[номер телефона клиента]])-13)</f>
        <v>+380</v>
      </c>
      <c r="G159" t="str">
        <f>_xlfn.XLOOKUP(Таблица4[[#This Row],[Коды телефона]],Таблица5[Код],Таблица5[Страна],"Не найдено",0)</f>
        <v>Украина</v>
      </c>
      <c r="H159" s="23">
        <f t="shared" ca="1" si="8"/>
        <v>46020</v>
      </c>
      <c r="I159" s="19">
        <f ca="1">(Таблица4[[#This Row],[Текущая дата]]-Таблица4[[#This Row],[Дата регистрации клиента]])/30</f>
        <v>38.733333333333334</v>
      </c>
      <c r="J159" t="str">
        <f t="shared" si="9"/>
        <v>Якушева</v>
      </c>
      <c r="K159" t="str">
        <f t="shared" si="10"/>
        <v>Таисия</v>
      </c>
      <c r="L159" t="str">
        <f t="shared" si="11"/>
        <v>Богдановна</v>
      </c>
    </row>
    <row r="160" spans="1:12" x14ac:dyDescent="0.25">
      <c r="A160">
        <v>65</v>
      </c>
      <c r="B160" t="s">
        <v>543</v>
      </c>
      <c r="C160" s="35" t="s">
        <v>542</v>
      </c>
      <c r="D160" t="s">
        <v>140</v>
      </c>
      <c r="E160" s="23">
        <v>44623</v>
      </c>
      <c r="F160" t="str">
        <f>LEFT(Таблица4[[#This Row],[номер телефона клиента]],LEN(Таблица4[[#This Row],[номер телефона клиента]])-13)</f>
        <v>+380</v>
      </c>
      <c r="G160" t="str">
        <f>_xlfn.XLOOKUP(Таблица4[[#This Row],[Коды телефона]],Таблица5[Код],Таблица5[Страна],"Не найдено",0)</f>
        <v>Украина</v>
      </c>
      <c r="H160" s="23">
        <f t="shared" ca="1" si="8"/>
        <v>46020</v>
      </c>
      <c r="I160" s="19">
        <f ca="1">(Таблица4[[#This Row],[Текущая дата]]-Таблица4[[#This Row],[Дата регистрации клиента]])/30</f>
        <v>46.56666666666667</v>
      </c>
      <c r="J160" t="str">
        <f t="shared" si="9"/>
        <v>Самойлова</v>
      </c>
      <c r="K160" t="str">
        <f t="shared" si="10"/>
        <v>Жанна</v>
      </c>
      <c r="L160" t="str">
        <f t="shared" si="11"/>
        <v>Семеновна</v>
      </c>
    </row>
    <row r="161" spans="1:12" x14ac:dyDescent="0.25">
      <c r="A161">
        <v>457</v>
      </c>
      <c r="B161" t="s">
        <v>541</v>
      </c>
      <c r="C161" s="35" t="s">
        <v>1173</v>
      </c>
      <c r="D161" t="s">
        <v>140</v>
      </c>
      <c r="E161" s="23">
        <v>44595</v>
      </c>
      <c r="F161" t="str">
        <f>LEFT(Таблица4[[#This Row],[номер телефона клиента]],LEN(Таблица4[[#This Row],[номер телефона клиента]])-13)</f>
        <v>+992</v>
      </c>
      <c r="G161" t="str">
        <f>_xlfn.XLOOKUP(Таблица4[[#This Row],[Коды телефона]],Таблица5[Код],Таблица5[Страна],"Не найдено",0)</f>
        <v>Таджикистан</v>
      </c>
      <c r="H161" s="23">
        <f t="shared" ca="1" si="8"/>
        <v>46020</v>
      </c>
      <c r="I161" s="19">
        <f ca="1">(Таблица4[[#This Row],[Текущая дата]]-Таблица4[[#This Row],[Дата регистрации клиента]])/30</f>
        <v>47.5</v>
      </c>
      <c r="J161" t="str">
        <f t="shared" si="9"/>
        <v>Медведева</v>
      </c>
      <c r="K161" t="str">
        <f t="shared" si="10"/>
        <v>Валерия</v>
      </c>
      <c r="L161" t="str">
        <f t="shared" si="11"/>
        <v>Владимировна</v>
      </c>
    </row>
    <row r="162" spans="1:12" x14ac:dyDescent="0.25">
      <c r="A162">
        <v>255</v>
      </c>
      <c r="B162" t="s">
        <v>540</v>
      </c>
      <c r="C162" s="35" t="s">
        <v>1174</v>
      </c>
      <c r="D162" t="s">
        <v>142</v>
      </c>
      <c r="E162" s="23">
        <v>44793</v>
      </c>
      <c r="F162" t="str">
        <f>LEFT(Таблица4[[#This Row],[номер телефона клиента]],LEN(Таблица4[[#This Row],[номер телефона клиента]])-13)</f>
        <v>+380</v>
      </c>
      <c r="G162" t="str">
        <f>_xlfn.XLOOKUP(Таблица4[[#This Row],[Коды телефона]],Таблица5[Код],Таблица5[Страна],"Не найдено",0)</f>
        <v>Украина</v>
      </c>
      <c r="H162" s="23">
        <f t="shared" ca="1" si="8"/>
        <v>46020</v>
      </c>
      <c r="I162" s="19">
        <f ca="1">(Таблица4[[#This Row],[Текущая дата]]-Таблица4[[#This Row],[Дата регистрации клиента]])/30</f>
        <v>40.9</v>
      </c>
      <c r="J162" t="str">
        <f t="shared" si="9"/>
        <v>Беляков</v>
      </c>
      <c r="K162" t="str">
        <f t="shared" si="10"/>
        <v>Филимон</v>
      </c>
      <c r="L162" t="str">
        <f t="shared" si="11"/>
        <v>Ефимьевич</v>
      </c>
    </row>
    <row r="163" spans="1:12" x14ac:dyDescent="0.25">
      <c r="A163">
        <v>436</v>
      </c>
      <c r="B163" t="s">
        <v>539</v>
      </c>
      <c r="C163" s="35" t="s">
        <v>538</v>
      </c>
      <c r="D163" t="s">
        <v>140</v>
      </c>
      <c r="E163" s="23">
        <v>44683</v>
      </c>
      <c r="F163" t="str">
        <f>LEFT(Таблица4[[#This Row],[номер телефона клиента]],LEN(Таблица4[[#This Row],[номер телефона клиента]])-13)</f>
        <v>+7</v>
      </c>
      <c r="G163" t="str">
        <f>_xlfn.XLOOKUP(Таблица4[[#This Row],[Коды телефона]],Таблица5[Код],Таблица5[Страна],"Не найдено",0)</f>
        <v>Россия</v>
      </c>
      <c r="H163" s="23">
        <f t="shared" ca="1" si="8"/>
        <v>46020</v>
      </c>
      <c r="I163" s="19">
        <f ca="1">(Таблица4[[#This Row],[Текущая дата]]-Таблица4[[#This Row],[Дата регистрации клиента]])/30</f>
        <v>44.56666666666667</v>
      </c>
      <c r="J163" t="str">
        <f t="shared" si="9"/>
        <v>Миронов</v>
      </c>
      <c r="K163" t="str">
        <f t="shared" si="10"/>
        <v>Аверкий</v>
      </c>
      <c r="L163" t="str">
        <f t="shared" si="11"/>
        <v>Зиновьевич</v>
      </c>
    </row>
    <row r="164" spans="1:12" x14ac:dyDescent="0.25">
      <c r="A164">
        <v>175</v>
      </c>
      <c r="B164" t="s">
        <v>537</v>
      </c>
      <c r="C164" s="35" t="s">
        <v>1175</v>
      </c>
      <c r="D164" t="s">
        <v>140</v>
      </c>
      <c r="E164" s="23">
        <v>44565</v>
      </c>
      <c r="F164" t="str">
        <f>LEFT(Таблица4[[#This Row],[номер телефона клиента]],LEN(Таблица4[[#This Row],[номер телефона клиента]])-13)</f>
        <v>+7</v>
      </c>
      <c r="G164" t="str">
        <f>_xlfn.XLOOKUP(Таблица4[[#This Row],[Коды телефона]],Таблица5[Код],Таблица5[Страна],"Не найдено",0)</f>
        <v>Россия</v>
      </c>
      <c r="H164" s="23">
        <f t="shared" ca="1" si="8"/>
        <v>46020</v>
      </c>
      <c r="I164" s="19">
        <f ca="1">(Таблица4[[#This Row],[Текущая дата]]-Таблица4[[#This Row],[Дата регистрации клиента]])/30</f>
        <v>48.5</v>
      </c>
      <c r="J164" t="str">
        <f t="shared" si="9"/>
        <v>Потапова</v>
      </c>
      <c r="K164" t="str">
        <f t="shared" si="10"/>
        <v>Валерия</v>
      </c>
      <c r="L164" t="str">
        <f t="shared" si="11"/>
        <v>Семеновна</v>
      </c>
    </row>
    <row r="165" spans="1:12" x14ac:dyDescent="0.25">
      <c r="A165">
        <v>274</v>
      </c>
      <c r="B165" t="s">
        <v>536</v>
      </c>
      <c r="C165" s="35" t="s">
        <v>535</v>
      </c>
      <c r="D165" t="s">
        <v>142</v>
      </c>
      <c r="E165" s="23">
        <v>44607</v>
      </c>
      <c r="F165" t="str">
        <f>LEFT(Таблица4[[#This Row],[номер телефона клиента]],LEN(Таблица4[[#This Row],[номер телефона клиента]])-13)</f>
        <v>+7</v>
      </c>
      <c r="G165" t="str">
        <f>_xlfn.XLOOKUP(Таблица4[[#This Row],[Коды телефона]],Таблица5[Код],Таблица5[Страна],"Не найдено",0)</f>
        <v>Россия</v>
      </c>
      <c r="H165" s="23">
        <f t="shared" ca="1" si="8"/>
        <v>46020</v>
      </c>
      <c r="I165" s="19">
        <f ca="1">(Таблица4[[#This Row],[Текущая дата]]-Таблица4[[#This Row],[Дата регистрации клиента]])/30</f>
        <v>47.1</v>
      </c>
      <c r="J165" t="str">
        <f t="shared" si="9"/>
        <v>Сорокина</v>
      </c>
      <c r="K165" t="str">
        <f t="shared" si="10"/>
        <v>Феврония</v>
      </c>
      <c r="L165" t="str">
        <f t="shared" si="11"/>
        <v>Геннадьевна</v>
      </c>
    </row>
    <row r="166" spans="1:12" x14ac:dyDescent="0.25">
      <c r="A166">
        <v>59</v>
      </c>
      <c r="B166" t="s">
        <v>534</v>
      </c>
      <c r="C166" s="35" t="s">
        <v>1176</v>
      </c>
      <c r="D166" t="s">
        <v>142</v>
      </c>
      <c r="E166" s="23">
        <v>44770</v>
      </c>
      <c r="F166" t="str">
        <f>LEFT(Таблица4[[#This Row],[номер телефона клиента]],LEN(Таблица4[[#This Row],[номер телефона клиента]])-13)</f>
        <v>+7</v>
      </c>
      <c r="G166" t="str">
        <f>_xlfn.XLOOKUP(Таблица4[[#This Row],[Коды телефона]],Таблица5[Код],Таблица5[Страна],"Не найдено",0)</f>
        <v>Россия</v>
      </c>
      <c r="H166" s="23">
        <f t="shared" ca="1" si="8"/>
        <v>46020</v>
      </c>
      <c r="I166" s="19">
        <f ca="1">(Таблица4[[#This Row],[Текущая дата]]-Таблица4[[#This Row],[Дата регистрации клиента]])/30</f>
        <v>41.666666666666664</v>
      </c>
      <c r="J166" t="str">
        <f t="shared" si="9"/>
        <v>Одинцова</v>
      </c>
      <c r="K166" t="str">
        <f t="shared" si="10"/>
        <v>Любовь</v>
      </c>
      <c r="L166" t="str">
        <f t="shared" si="11"/>
        <v>Альбертовна</v>
      </c>
    </row>
    <row r="167" spans="1:12" x14ac:dyDescent="0.25">
      <c r="A167">
        <v>411</v>
      </c>
      <c r="B167" t="s">
        <v>533</v>
      </c>
      <c r="C167" s="35" t="s">
        <v>1177</v>
      </c>
      <c r="D167" t="s">
        <v>140</v>
      </c>
      <c r="E167" s="23">
        <v>44673</v>
      </c>
      <c r="F167" t="str">
        <f>LEFT(Таблица4[[#This Row],[номер телефона клиента]],LEN(Таблица4[[#This Row],[номер телефона клиента]])-13)</f>
        <v>+992</v>
      </c>
      <c r="G167" t="str">
        <f>_xlfn.XLOOKUP(Таблица4[[#This Row],[Коды телефона]],Таблица5[Код],Таблица5[Страна],"Не найдено",0)</f>
        <v>Таджикистан</v>
      </c>
      <c r="H167" s="23">
        <f t="shared" ca="1" si="8"/>
        <v>46020</v>
      </c>
      <c r="I167" s="19">
        <f ca="1">(Таблица4[[#This Row],[Текущая дата]]-Таблица4[[#This Row],[Дата регистрации клиента]])/30</f>
        <v>44.9</v>
      </c>
      <c r="J167" t="str">
        <f t="shared" si="9"/>
        <v>Воронцов</v>
      </c>
      <c r="K167" t="str">
        <f t="shared" si="10"/>
        <v>Спиридон</v>
      </c>
      <c r="L167" t="str">
        <f t="shared" si="11"/>
        <v>Владленович</v>
      </c>
    </row>
    <row r="168" spans="1:12" x14ac:dyDescent="0.25">
      <c r="A168">
        <v>259</v>
      </c>
      <c r="B168" t="s">
        <v>532</v>
      </c>
      <c r="C168" s="35" t="s">
        <v>1178</v>
      </c>
      <c r="D168" t="s">
        <v>142</v>
      </c>
      <c r="E168" s="23">
        <v>44707</v>
      </c>
      <c r="F168" t="str">
        <f>LEFT(Таблица4[[#This Row],[номер телефона клиента]],LEN(Таблица4[[#This Row],[номер телефона клиента]])-13)</f>
        <v>+375</v>
      </c>
      <c r="G168" t="str">
        <f>_xlfn.XLOOKUP(Таблица4[[#This Row],[Коды телефона]],Таблица5[Код],Таблица5[Страна],"Не найдено",0)</f>
        <v>Беларусь</v>
      </c>
      <c r="H168" s="23">
        <f t="shared" ca="1" si="8"/>
        <v>46020</v>
      </c>
      <c r="I168" s="19">
        <f ca="1">(Таблица4[[#This Row],[Текущая дата]]-Таблица4[[#This Row],[Дата регистрации клиента]])/30</f>
        <v>43.766666666666666</v>
      </c>
      <c r="J168" t="str">
        <f t="shared" si="9"/>
        <v>Зыкова</v>
      </c>
      <c r="K168" t="str">
        <f t="shared" si="10"/>
        <v>Алевтина</v>
      </c>
      <c r="L168" t="str">
        <f t="shared" si="11"/>
        <v>Михайловна</v>
      </c>
    </row>
    <row r="169" spans="1:12" x14ac:dyDescent="0.25">
      <c r="A169">
        <v>337</v>
      </c>
      <c r="B169" t="s">
        <v>531</v>
      </c>
      <c r="C169" s="35" t="s">
        <v>530</v>
      </c>
      <c r="D169" t="s">
        <v>142</v>
      </c>
      <c r="E169" s="23">
        <v>44875</v>
      </c>
      <c r="F169" t="str">
        <f>LEFT(Таблица4[[#This Row],[номер телефона клиента]],LEN(Таблица4[[#This Row],[номер телефона клиента]])-13)</f>
        <v>+7</v>
      </c>
      <c r="G169" t="str">
        <f>_xlfn.XLOOKUP(Таблица4[[#This Row],[Коды телефона]],Таблица5[Код],Таблица5[Страна],"Не найдено",0)</f>
        <v>Россия</v>
      </c>
      <c r="H169" s="23">
        <f t="shared" ca="1" si="8"/>
        <v>46020</v>
      </c>
      <c r="I169" s="19">
        <f ca="1">(Таблица4[[#This Row],[Текущая дата]]-Таблица4[[#This Row],[Дата регистрации клиента]])/30</f>
        <v>38.166666666666664</v>
      </c>
      <c r="J169" t="str">
        <f t="shared" si="9"/>
        <v>Максимова</v>
      </c>
      <c r="K169" t="str">
        <f t="shared" si="10"/>
        <v>Евпраксия</v>
      </c>
      <c r="L169" t="str">
        <f t="shared" si="11"/>
        <v>Ждановна</v>
      </c>
    </row>
    <row r="170" spans="1:12" x14ac:dyDescent="0.25">
      <c r="A170">
        <v>354</v>
      </c>
      <c r="B170" t="s">
        <v>529</v>
      </c>
      <c r="C170" s="35" t="s">
        <v>1179</v>
      </c>
      <c r="D170" t="s">
        <v>140</v>
      </c>
      <c r="E170" s="23">
        <v>44811</v>
      </c>
      <c r="F170" t="str">
        <f>LEFT(Таблица4[[#This Row],[номер телефона клиента]],LEN(Таблица4[[#This Row],[номер телефона клиента]])-13)</f>
        <v>+998</v>
      </c>
      <c r="G170" t="str">
        <f>_xlfn.XLOOKUP(Таблица4[[#This Row],[Коды телефона]],Таблица5[Код],Таблица5[Страна],"Не найдено",0)</f>
        <v>Узбекистан</v>
      </c>
      <c r="H170" s="23">
        <f t="shared" ca="1" si="8"/>
        <v>46020</v>
      </c>
      <c r="I170" s="19">
        <f ca="1">(Таблица4[[#This Row],[Текущая дата]]-Таблица4[[#This Row],[Дата регистрации клиента]])/30</f>
        <v>40.299999999999997</v>
      </c>
      <c r="J170" t="str">
        <f t="shared" si="9"/>
        <v>Григорьева</v>
      </c>
      <c r="K170" t="str">
        <f t="shared" si="10"/>
        <v>Анжела</v>
      </c>
      <c r="L170" t="str">
        <f t="shared" si="11"/>
        <v>Ивановна</v>
      </c>
    </row>
    <row r="171" spans="1:12" x14ac:dyDescent="0.25">
      <c r="A171">
        <v>329</v>
      </c>
      <c r="B171" t="s">
        <v>528</v>
      </c>
      <c r="C171" s="35" t="s">
        <v>527</v>
      </c>
      <c r="D171" t="s">
        <v>142</v>
      </c>
      <c r="E171" s="23">
        <v>44653</v>
      </c>
      <c r="F171" t="str">
        <f>LEFT(Таблица4[[#This Row],[номер телефона клиента]],LEN(Таблица4[[#This Row],[номер телефона клиента]])-13)</f>
        <v>+375</v>
      </c>
      <c r="G171" t="str">
        <f>_xlfn.XLOOKUP(Таблица4[[#This Row],[Коды телефона]],Таблица5[Код],Таблица5[Страна],"Не найдено",0)</f>
        <v>Беларусь</v>
      </c>
      <c r="H171" s="23">
        <f t="shared" ca="1" si="8"/>
        <v>46020</v>
      </c>
      <c r="I171" s="19">
        <f ca="1">(Таблица4[[#This Row],[Текущая дата]]-Таблица4[[#This Row],[Дата регистрации клиента]])/30</f>
        <v>45.56666666666667</v>
      </c>
      <c r="J171" t="str">
        <f t="shared" si="9"/>
        <v>Маслова</v>
      </c>
      <c r="K171" t="str">
        <f t="shared" si="10"/>
        <v>Агафья</v>
      </c>
      <c r="L171" t="str">
        <f t="shared" si="11"/>
        <v>Юрьевна</v>
      </c>
    </row>
    <row r="172" spans="1:12" x14ac:dyDescent="0.25">
      <c r="A172">
        <v>186</v>
      </c>
      <c r="B172" t="s">
        <v>526</v>
      </c>
      <c r="C172" s="35" t="s">
        <v>1180</v>
      </c>
      <c r="D172" t="s">
        <v>140</v>
      </c>
      <c r="E172" s="23">
        <v>44914</v>
      </c>
      <c r="F172" t="str">
        <f>LEFT(Таблица4[[#This Row],[номер телефона клиента]],LEN(Таблица4[[#This Row],[номер телефона клиента]])-13)</f>
        <v>+375</v>
      </c>
      <c r="G172" t="str">
        <f>_xlfn.XLOOKUP(Таблица4[[#This Row],[Коды телефона]],Таблица5[Код],Таблица5[Страна],"Не найдено",0)</f>
        <v>Беларусь</v>
      </c>
      <c r="H172" s="23">
        <f t="shared" ca="1" si="8"/>
        <v>46020</v>
      </c>
      <c r="I172" s="19">
        <f ca="1">(Таблица4[[#This Row],[Текущая дата]]-Таблица4[[#This Row],[Дата регистрации клиента]])/30</f>
        <v>36.866666666666667</v>
      </c>
      <c r="J172" t="str">
        <f t="shared" si="9"/>
        <v>Родионов</v>
      </c>
      <c r="K172" t="str">
        <f t="shared" si="10"/>
        <v>Флорентин</v>
      </c>
      <c r="L172" t="str">
        <f t="shared" si="11"/>
        <v>Демьянович</v>
      </c>
    </row>
    <row r="173" spans="1:12" x14ac:dyDescent="0.25">
      <c r="A173">
        <v>448</v>
      </c>
      <c r="B173" t="s">
        <v>525</v>
      </c>
      <c r="C173" s="35" t="s">
        <v>1181</v>
      </c>
      <c r="D173" t="s">
        <v>140</v>
      </c>
      <c r="E173" s="23">
        <v>44770</v>
      </c>
      <c r="F173" t="str">
        <f>LEFT(Таблица4[[#This Row],[номер телефона клиента]],LEN(Таблица4[[#This Row],[номер телефона клиента]])-13)</f>
        <v>+7</v>
      </c>
      <c r="G173" t="str">
        <f>_xlfn.XLOOKUP(Таблица4[[#This Row],[Коды телефона]],Таблица5[Код],Таблица5[Страна],"Не найдено",0)</f>
        <v>Россия</v>
      </c>
      <c r="H173" s="23">
        <f t="shared" ca="1" si="8"/>
        <v>46020</v>
      </c>
      <c r="I173" s="19">
        <f ca="1">(Таблица4[[#This Row],[Текущая дата]]-Таблица4[[#This Row],[Дата регистрации клиента]])/30</f>
        <v>41.666666666666664</v>
      </c>
      <c r="J173" t="str">
        <f t="shared" si="9"/>
        <v>Рожкова</v>
      </c>
      <c r="K173" t="str">
        <f t="shared" si="10"/>
        <v>Анжелика</v>
      </c>
      <c r="L173" t="str">
        <f t="shared" si="11"/>
        <v>Валериевна</v>
      </c>
    </row>
    <row r="174" spans="1:12" x14ac:dyDescent="0.25">
      <c r="A174">
        <v>377</v>
      </c>
      <c r="B174" t="s">
        <v>524</v>
      </c>
      <c r="C174" s="35" t="s">
        <v>1182</v>
      </c>
      <c r="D174" t="s">
        <v>140</v>
      </c>
      <c r="E174" s="23">
        <v>44794</v>
      </c>
      <c r="F174" t="str">
        <f>LEFT(Таблица4[[#This Row],[номер телефона клиента]],LEN(Таблица4[[#This Row],[номер телефона клиента]])-13)</f>
        <v>+998</v>
      </c>
      <c r="G174" t="str">
        <f>_xlfn.XLOOKUP(Таблица4[[#This Row],[Коды телефона]],Таблица5[Код],Таблица5[Страна],"Не найдено",0)</f>
        <v>Узбекистан</v>
      </c>
      <c r="H174" s="23">
        <f t="shared" ca="1" si="8"/>
        <v>46020</v>
      </c>
      <c r="I174" s="19">
        <f ca="1">(Таблица4[[#This Row],[Текущая дата]]-Таблица4[[#This Row],[Дата регистрации клиента]])/30</f>
        <v>40.866666666666667</v>
      </c>
      <c r="J174" t="str">
        <f t="shared" si="9"/>
        <v>Никитина</v>
      </c>
      <c r="K174" t="str">
        <f t="shared" si="10"/>
        <v>Виктория</v>
      </c>
      <c r="L174" t="str">
        <f t="shared" si="11"/>
        <v>Наумовна</v>
      </c>
    </row>
    <row r="175" spans="1:12" x14ac:dyDescent="0.25">
      <c r="A175">
        <v>316</v>
      </c>
      <c r="B175" t="s">
        <v>523</v>
      </c>
      <c r="C175" s="35" t="s">
        <v>522</v>
      </c>
      <c r="D175" t="s">
        <v>142</v>
      </c>
      <c r="E175" s="23">
        <v>44787</v>
      </c>
      <c r="F175" t="str">
        <f>LEFT(Таблица4[[#This Row],[номер телефона клиента]],LEN(Таблица4[[#This Row],[номер телефона клиента]])-13)</f>
        <v>+992</v>
      </c>
      <c r="G175" t="str">
        <f>_xlfn.XLOOKUP(Таблица4[[#This Row],[Коды телефона]],Таблица5[Код],Таблица5[Страна],"Не найдено",0)</f>
        <v>Таджикистан</v>
      </c>
      <c r="H175" s="23">
        <f t="shared" ca="1" si="8"/>
        <v>46020</v>
      </c>
      <c r="I175" s="19">
        <f ca="1">(Таблица4[[#This Row],[Текущая дата]]-Таблица4[[#This Row],[Дата регистрации клиента]])/30</f>
        <v>41.1</v>
      </c>
      <c r="J175" t="str">
        <f t="shared" si="9"/>
        <v>Брагина</v>
      </c>
      <c r="K175" t="str">
        <f t="shared" si="10"/>
        <v>Полина</v>
      </c>
      <c r="L175" t="str">
        <f t="shared" si="11"/>
        <v>Евгеньевна</v>
      </c>
    </row>
    <row r="176" spans="1:12" x14ac:dyDescent="0.25">
      <c r="A176">
        <v>322</v>
      </c>
      <c r="B176" t="s">
        <v>521</v>
      </c>
      <c r="C176" s="35" t="s">
        <v>520</v>
      </c>
      <c r="D176" t="s">
        <v>142</v>
      </c>
      <c r="E176" s="23">
        <v>44886</v>
      </c>
      <c r="F176" t="str">
        <f>LEFT(Таблица4[[#This Row],[номер телефона клиента]],LEN(Таблица4[[#This Row],[номер телефона клиента]])-13)</f>
        <v>+380</v>
      </c>
      <c r="G176" t="str">
        <f>_xlfn.XLOOKUP(Таблица4[[#This Row],[Коды телефона]],Таблица5[Код],Таблица5[Страна],"Не найдено",0)</f>
        <v>Украина</v>
      </c>
      <c r="H176" s="23">
        <f t="shared" ca="1" si="8"/>
        <v>46020</v>
      </c>
      <c r="I176" s="19">
        <f ca="1">(Таблица4[[#This Row],[Текущая дата]]-Таблица4[[#This Row],[Дата регистрации клиента]])/30</f>
        <v>37.799999999999997</v>
      </c>
      <c r="J176" t="str">
        <f t="shared" si="9"/>
        <v>Суханова</v>
      </c>
      <c r="K176" t="str">
        <f t="shared" si="10"/>
        <v>Алла</v>
      </c>
      <c r="L176" t="str">
        <f t="shared" si="11"/>
        <v>Эльдаровна</v>
      </c>
    </row>
    <row r="177" spans="1:12" x14ac:dyDescent="0.25">
      <c r="A177">
        <v>62</v>
      </c>
      <c r="B177" t="s">
        <v>519</v>
      </c>
      <c r="C177" s="35" t="s">
        <v>1183</v>
      </c>
      <c r="D177" t="s">
        <v>140</v>
      </c>
      <c r="E177" s="23">
        <v>44671</v>
      </c>
      <c r="F177" t="str">
        <f>LEFT(Таблица4[[#This Row],[номер телефона клиента]],LEN(Таблица4[[#This Row],[номер телефона клиента]])-13)</f>
        <v>+7</v>
      </c>
      <c r="G177" t="str">
        <f>_xlfn.XLOOKUP(Таблица4[[#This Row],[Коды телефона]],Таблица5[Код],Таблица5[Страна],"Не найдено",0)</f>
        <v>Россия</v>
      </c>
      <c r="H177" s="23">
        <f t="shared" ca="1" si="8"/>
        <v>46020</v>
      </c>
      <c r="I177" s="19">
        <f ca="1">(Таблица4[[#This Row],[Текущая дата]]-Таблица4[[#This Row],[Дата регистрации клиента]])/30</f>
        <v>44.966666666666669</v>
      </c>
      <c r="J177" t="str">
        <f t="shared" si="9"/>
        <v>Исаков</v>
      </c>
      <c r="K177" t="str">
        <f t="shared" si="10"/>
        <v>Юрий</v>
      </c>
      <c r="L177" t="str">
        <f t="shared" si="11"/>
        <v>Августович</v>
      </c>
    </row>
    <row r="178" spans="1:12" x14ac:dyDescent="0.25">
      <c r="A178">
        <v>295</v>
      </c>
      <c r="B178" t="s">
        <v>518</v>
      </c>
      <c r="C178" s="35" t="s">
        <v>1184</v>
      </c>
      <c r="D178" t="s">
        <v>140</v>
      </c>
      <c r="E178" s="23">
        <v>44588</v>
      </c>
      <c r="F178" t="str">
        <f>LEFT(Таблица4[[#This Row],[номер телефона клиента]],LEN(Таблица4[[#This Row],[номер телефона клиента]])-13)</f>
        <v>+7</v>
      </c>
      <c r="G178" t="str">
        <f>_xlfn.XLOOKUP(Таблица4[[#This Row],[Коды телефона]],Таблица5[Код],Таблица5[Страна],"Не найдено",0)</f>
        <v>Россия</v>
      </c>
      <c r="H178" s="23">
        <f t="shared" ca="1" si="8"/>
        <v>46020</v>
      </c>
      <c r="I178" s="19">
        <f ca="1">(Таблица4[[#This Row],[Текущая дата]]-Таблица4[[#This Row],[Дата регистрации клиента]])/30</f>
        <v>47.733333333333334</v>
      </c>
      <c r="J178" t="str">
        <f t="shared" si="9"/>
        <v>Владимиров</v>
      </c>
      <c r="K178" t="str">
        <f t="shared" si="10"/>
        <v>Конон</v>
      </c>
      <c r="L178" t="str">
        <f t="shared" si="11"/>
        <v>Валентинович</v>
      </c>
    </row>
    <row r="179" spans="1:12" x14ac:dyDescent="0.25">
      <c r="A179">
        <v>235</v>
      </c>
      <c r="B179" t="s">
        <v>517</v>
      </c>
      <c r="C179" s="35" t="s">
        <v>1185</v>
      </c>
      <c r="D179" t="s">
        <v>140</v>
      </c>
      <c r="E179" s="23">
        <v>44635</v>
      </c>
      <c r="F179" t="str">
        <f>LEFT(Таблица4[[#This Row],[номер телефона клиента]],LEN(Таблица4[[#This Row],[номер телефона клиента]])-13)</f>
        <v>+998</v>
      </c>
      <c r="G179" t="str">
        <f>_xlfn.XLOOKUP(Таблица4[[#This Row],[Коды телефона]],Таблица5[Код],Таблица5[Страна],"Не найдено",0)</f>
        <v>Узбекистан</v>
      </c>
      <c r="H179" s="23">
        <f t="shared" ca="1" si="8"/>
        <v>46020</v>
      </c>
      <c r="I179" s="19">
        <f ca="1">(Таблица4[[#This Row],[Текущая дата]]-Таблица4[[#This Row],[Дата регистрации клиента]])/30</f>
        <v>46.166666666666664</v>
      </c>
      <c r="J179" t="str">
        <f t="shared" si="9"/>
        <v>Лобанов</v>
      </c>
      <c r="K179" t="str">
        <f t="shared" si="10"/>
        <v>Елисей</v>
      </c>
      <c r="L179" t="str">
        <f t="shared" si="11"/>
        <v>Игнатович</v>
      </c>
    </row>
    <row r="180" spans="1:12" x14ac:dyDescent="0.25">
      <c r="A180">
        <v>156</v>
      </c>
      <c r="B180" t="s">
        <v>516</v>
      </c>
      <c r="C180" s="35" t="s">
        <v>515</v>
      </c>
      <c r="D180" t="s">
        <v>142</v>
      </c>
      <c r="E180" s="23">
        <v>44905</v>
      </c>
      <c r="F180" t="str">
        <f>LEFT(Таблица4[[#This Row],[номер телефона клиента]],LEN(Таблица4[[#This Row],[номер телефона клиента]])-13)</f>
        <v>+380</v>
      </c>
      <c r="G180" t="str">
        <f>_xlfn.XLOOKUP(Таблица4[[#This Row],[Коды телефона]],Таблица5[Код],Таблица5[Страна],"Не найдено",0)</f>
        <v>Украина</v>
      </c>
      <c r="H180" s="23">
        <f t="shared" ca="1" si="8"/>
        <v>46020</v>
      </c>
      <c r="I180" s="19">
        <f ca="1">(Таблица4[[#This Row],[Текущая дата]]-Таблица4[[#This Row],[Дата регистрации клиента]])/30</f>
        <v>37.166666666666664</v>
      </c>
      <c r="J180" t="str">
        <f t="shared" si="9"/>
        <v>Белов</v>
      </c>
      <c r="K180" t="str">
        <f t="shared" si="10"/>
        <v>Симон</v>
      </c>
      <c r="L180" t="str">
        <f t="shared" si="11"/>
        <v>Иосипович</v>
      </c>
    </row>
    <row r="181" spans="1:12" x14ac:dyDescent="0.25">
      <c r="A181">
        <v>327</v>
      </c>
      <c r="B181" t="s">
        <v>514</v>
      </c>
      <c r="C181" s="35" t="s">
        <v>513</v>
      </c>
      <c r="D181" t="s">
        <v>140</v>
      </c>
      <c r="E181" s="23">
        <v>44565</v>
      </c>
      <c r="F181" t="str">
        <f>LEFT(Таблица4[[#This Row],[номер телефона клиента]],LEN(Таблица4[[#This Row],[номер телефона клиента]])-13)</f>
        <v>+992</v>
      </c>
      <c r="G181" t="str">
        <f>_xlfn.XLOOKUP(Таблица4[[#This Row],[Коды телефона]],Таблица5[Код],Таблица5[Страна],"Не найдено",0)</f>
        <v>Таджикистан</v>
      </c>
      <c r="H181" s="23">
        <f t="shared" ca="1" si="8"/>
        <v>46020</v>
      </c>
      <c r="I181" s="19">
        <f ca="1">(Таблица4[[#This Row],[Текущая дата]]-Таблица4[[#This Row],[Дата регистрации клиента]])/30</f>
        <v>48.5</v>
      </c>
      <c r="J181" t="str">
        <f t="shared" si="9"/>
        <v>Рожкова</v>
      </c>
      <c r="K181" t="str">
        <f t="shared" si="10"/>
        <v>Маргарита</v>
      </c>
      <c r="L181" t="str">
        <f t="shared" si="11"/>
        <v>Артемовна</v>
      </c>
    </row>
    <row r="182" spans="1:12" x14ac:dyDescent="0.25">
      <c r="A182">
        <v>275</v>
      </c>
      <c r="B182" t="s">
        <v>512</v>
      </c>
      <c r="C182" s="35" t="s">
        <v>1186</v>
      </c>
      <c r="D182" t="s">
        <v>140</v>
      </c>
      <c r="E182" s="23">
        <v>44651</v>
      </c>
      <c r="F182" t="str">
        <f>LEFT(Таблица4[[#This Row],[номер телефона клиента]],LEN(Таблица4[[#This Row],[номер телефона клиента]])-13)</f>
        <v>+992</v>
      </c>
      <c r="G182" t="str">
        <f>_xlfn.XLOOKUP(Таблица4[[#This Row],[Коды телефона]],Таблица5[Код],Таблица5[Страна],"Не найдено",0)</f>
        <v>Таджикистан</v>
      </c>
      <c r="H182" s="23">
        <f t="shared" ca="1" si="8"/>
        <v>46020</v>
      </c>
      <c r="I182" s="19">
        <f ca="1">(Таблица4[[#This Row],[Текущая дата]]-Таблица4[[#This Row],[Дата регистрации клиента]])/30</f>
        <v>45.633333333333333</v>
      </c>
      <c r="J182" t="str">
        <f t="shared" si="9"/>
        <v>Морозов</v>
      </c>
      <c r="K182" t="str">
        <f t="shared" si="10"/>
        <v>Андрон</v>
      </c>
      <c r="L182" t="str">
        <f t="shared" si="11"/>
        <v>Валерьевич</v>
      </c>
    </row>
    <row r="183" spans="1:12" x14ac:dyDescent="0.25">
      <c r="A183">
        <v>177</v>
      </c>
      <c r="B183" t="s">
        <v>511</v>
      </c>
      <c r="C183" s="35" t="s">
        <v>1187</v>
      </c>
      <c r="D183" t="s">
        <v>140</v>
      </c>
      <c r="E183" s="23">
        <v>44857</v>
      </c>
      <c r="F183" t="str">
        <f>LEFT(Таблица4[[#This Row],[номер телефона клиента]],LEN(Таблица4[[#This Row],[номер телефона клиента]])-13)</f>
        <v>+992</v>
      </c>
      <c r="G183" t="str">
        <f>_xlfn.XLOOKUP(Таблица4[[#This Row],[Коды телефона]],Таблица5[Код],Таблица5[Страна],"Не найдено",0)</f>
        <v>Таджикистан</v>
      </c>
      <c r="H183" s="23">
        <f t="shared" ca="1" si="8"/>
        <v>46020</v>
      </c>
      <c r="I183" s="19">
        <f ca="1">(Таблица4[[#This Row],[Текущая дата]]-Таблица4[[#This Row],[Дата регистрации клиента]])/30</f>
        <v>38.766666666666666</v>
      </c>
      <c r="J183" t="str">
        <f t="shared" si="9"/>
        <v>Сергеева</v>
      </c>
      <c r="K183" t="str">
        <f t="shared" si="10"/>
        <v>Иванна</v>
      </c>
      <c r="L183" t="str">
        <f t="shared" si="11"/>
        <v>Захаровна</v>
      </c>
    </row>
    <row r="184" spans="1:12" x14ac:dyDescent="0.25">
      <c r="A184">
        <v>181</v>
      </c>
      <c r="B184" t="s">
        <v>510</v>
      </c>
      <c r="C184" s="35" t="s">
        <v>509</v>
      </c>
      <c r="D184" t="s">
        <v>142</v>
      </c>
      <c r="E184" s="23">
        <v>44568</v>
      </c>
      <c r="F184" t="str">
        <f>LEFT(Таблица4[[#This Row],[номер телефона клиента]],LEN(Таблица4[[#This Row],[номер телефона клиента]])-13)</f>
        <v>+380</v>
      </c>
      <c r="G184" t="str">
        <f>_xlfn.XLOOKUP(Таблица4[[#This Row],[Коды телефона]],Таблица5[Код],Таблица5[Страна],"Не найдено",0)</f>
        <v>Украина</v>
      </c>
      <c r="H184" s="23">
        <f t="shared" ca="1" si="8"/>
        <v>46020</v>
      </c>
      <c r="I184" s="19">
        <f ca="1">(Таблица4[[#This Row],[Текущая дата]]-Таблица4[[#This Row],[Дата регистрации клиента]])/30</f>
        <v>48.4</v>
      </c>
      <c r="J184" t="str">
        <f t="shared" si="9"/>
        <v>Русаков</v>
      </c>
      <c r="K184" t="str">
        <f t="shared" si="10"/>
        <v>Модест</v>
      </c>
      <c r="L184" t="str">
        <f t="shared" si="11"/>
        <v>Захарьевич</v>
      </c>
    </row>
    <row r="185" spans="1:12" x14ac:dyDescent="0.25">
      <c r="A185">
        <v>478</v>
      </c>
      <c r="B185" t="s">
        <v>508</v>
      </c>
      <c r="C185" s="35" t="s">
        <v>507</v>
      </c>
      <c r="D185" t="s">
        <v>140</v>
      </c>
      <c r="E185" s="23">
        <v>44726</v>
      </c>
      <c r="F185" t="str">
        <f>LEFT(Таблица4[[#This Row],[номер телефона клиента]],LEN(Таблица4[[#This Row],[номер телефона клиента]])-13)</f>
        <v>+380</v>
      </c>
      <c r="G185" t="str">
        <f>_xlfn.XLOOKUP(Таблица4[[#This Row],[Коды телефона]],Таблица5[Код],Таблица5[Страна],"Не найдено",0)</f>
        <v>Украина</v>
      </c>
      <c r="H185" s="23">
        <f t="shared" ca="1" si="8"/>
        <v>46020</v>
      </c>
      <c r="I185" s="19">
        <f ca="1">(Таблица4[[#This Row],[Текущая дата]]-Таблица4[[#This Row],[Дата регистрации клиента]])/30</f>
        <v>43.133333333333333</v>
      </c>
      <c r="J185" t="str">
        <f t="shared" si="9"/>
        <v>Шарова</v>
      </c>
      <c r="K185" t="str">
        <f t="shared" si="10"/>
        <v>Екатерина</v>
      </c>
      <c r="L185" t="str">
        <f t="shared" si="11"/>
        <v>Леоновна</v>
      </c>
    </row>
    <row r="186" spans="1:12" x14ac:dyDescent="0.25">
      <c r="A186">
        <v>429</v>
      </c>
      <c r="B186" t="s">
        <v>506</v>
      </c>
      <c r="C186" s="35" t="s">
        <v>505</v>
      </c>
      <c r="D186" t="s">
        <v>142</v>
      </c>
      <c r="E186" s="23">
        <v>44625</v>
      </c>
      <c r="F186" t="str">
        <f>LEFT(Таблица4[[#This Row],[номер телефона клиента]],LEN(Таблица4[[#This Row],[номер телефона клиента]])-13)</f>
        <v>+992</v>
      </c>
      <c r="G186" t="str">
        <f>_xlfn.XLOOKUP(Таблица4[[#This Row],[Коды телефона]],Таблица5[Код],Таблица5[Страна],"Не найдено",0)</f>
        <v>Таджикистан</v>
      </c>
      <c r="H186" s="23">
        <f t="shared" ca="1" si="8"/>
        <v>46020</v>
      </c>
      <c r="I186" s="19">
        <f ca="1">(Таблица4[[#This Row],[Текущая дата]]-Таблица4[[#This Row],[Дата регистрации клиента]])/30</f>
        <v>46.5</v>
      </c>
      <c r="J186" t="str">
        <f t="shared" si="9"/>
        <v>Цветков</v>
      </c>
      <c r="K186" t="str">
        <f t="shared" si="10"/>
        <v>Лука</v>
      </c>
      <c r="L186" t="str">
        <f t="shared" si="11"/>
        <v>Витальевич</v>
      </c>
    </row>
    <row r="187" spans="1:12" x14ac:dyDescent="0.25">
      <c r="A187">
        <v>431</v>
      </c>
      <c r="B187" t="s">
        <v>504</v>
      </c>
      <c r="C187" s="35" t="s">
        <v>503</v>
      </c>
      <c r="D187" t="s">
        <v>140</v>
      </c>
      <c r="E187" s="23">
        <v>44623</v>
      </c>
      <c r="F187" t="str">
        <f>LEFT(Таблица4[[#This Row],[номер телефона клиента]],LEN(Таблица4[[#This Row],[номер телефона клиента]])-13)</f>
        <v>+7</v>
      </c>
      <c r="G187" t="str">
        <f>_xlfn.XLOOKUP(Таблица4[[#This Row],[Коды телефона]],Таблица5[Код],Таблица5[Страна],"Не найдено",0)</f>
        <v>Россия</v>
      </c>
      <c r="H187" s="23">
        <f t="shared" ca="1" si="8"/>
        <v>46020</v>
      </c>
      <c r="I187" s="19">
        <f ca="1">(Таблица4[[#This Row],[Текущая дата]]-Таблица4[[#This Row],[Дата регистрации клиента]])/30</f>
        <v>46.56666666666667</v>
      </c>
      <c r="J187" t="str">
        <f t="shared" si="9"/>
        <v>Мясников</v>
      </c>
      <c r="K187" t="str">
        <f t="shared" si="10"/>
        <v>Зосима</v>
      </c>
      <c r="L187" t="str">
        <f t="shared" si="11"/>
        <v>Якубович</v>
      </c>
    </row>
    <row r="188" spans="1:12" x14ac:dyDescent="0.25">
      <c r="A188">
        <v>147</v>
      </c>
      <c r="B188" t="s">
        <v>502</v>
      </c>
      <c r="C188" s="35" t="s">
        <v>501</v>
      </c>
      <c r="D188" t="s">
        <v>142</v>
      </c>
      <c r="E188" s="23">
        <v>44827</v>
      </c>
      <c r="F188" t="str">
        <f>LEFT(Таблица4[[#This Row],[номер телефона клиента]],LEN(Таблица4[[#This Row],[номер телефона клиента]])-13)</f>
        <v>+7</v>
      </c>
      <c r="G188" t="str">
        <f>_xlfn.XLOOKUP(Таблица4[[#This Row],[Коды телефона]],Таблица5[Код],Таблица5[Страна],"Не найдено",0)</f>
        <v>Россия</v>
      </c>
      <c r="H188" s="23">
        <f t="shared" ca="1" si="8"/>
        <v>46020</v>
      </c>
      <c r="I188" s="19">
        <f ca="1">(Таблица4[[#This Row],[Текущая дата]]-Таблица4[[#This Row],[Дата регистрации клиента]])/30</f>
        <v>39.766666666666666</v>
      </c>
      <c r="J188" t="str">
        <f t="shared" si="9"/>
        <v>Бирюкова</v>
      </c>
      <c r="K188" t="str">
        <f t="shared" si="10"/>
        <v>Агафья</v>
      </c>
      <c r="L188" t="str">
        <f t="shared" si="11"/>
        <v>Артемовна</v>
      </c>
    </row>
    <row r="189" spans="1:12" x14ac:dyDescent="0.25">
      <c r="A189">
        <v>312</v>
      </c>
      <c r="B189" t="s">
        <v>500</v>
      </c>
      <c r="C189" s="35" t="s">
        <v>499</v>
      </c>
      <c r="D189" t="s">
        <v>142</v>
      </c>
      <c r="E189" s="23">
        <v>44886</v>
      </c>
      <c r="F189" t="str">
        <f>LEFT(Таблица4[[#This Row],[номер телефона клиента]],LEN(Таблица4[[#This Row],[номер телефона клиента]])-13)</f>
        <v>+7</v>
      </c>
      <c r="G189" t="str">
        <f>_xlfn.XLOOKUP(Таблица4[[#This Row],[Коды телефона]],Таблица5[Код],Таблица5[Страна],"Не найдено",0)</f>
        <v>Россия</v>
      </c>
      <c r="H189" s="23">
        <f t="shared" ca="1" si="8"/>
        <v>46020</v>
      </c>
      <c r="I189" s="19">
        <f ca="1">(Таблица4[[#This Row],[Текущая дата]]-Таблица4[[#This Row],[Дата регистрации клиента]])/30</f>
        <v>37.799999999999997</v>
      </c>
      <c r="J189" t="str">
        <f t="shared" si="9"/>
        <v>Савельев</v>
      </c>
      <c r="K189" t="str">
        <f t="shared" si="10"/>
        <v>Климент</v>
      </c>
      <c r="L189" t="str">
        <f t="shared" si="11"/>
        <v>Гурьевич</v>
      </c>
    </row>
    <row r="190" spans="1:12" x14ac:dyDescent="0.25">
      <c r="A190">
        <v>41</v>
      </c>
      <c r="B190" t="s">
        <v>498</v>
      </c>
      <c r="C190" s="35" t="s">
        <v>497</v>
      </c>
      <c r="D190" t="s">
        <v>142</v>
      </c>
      <c r="E190" s="23">
        <v>44842</v>
      </c>
      <c r="F190" t="str">
        <f>LEFT(Таблица4[[#This Row],[номер телефона клиента]],LEN(Таблица4[[#This Row],[номер телефона клиента]])-13)</f>
        <v>+7</v>
      </c>
      <c r="G190" t="str">
        <f>_xlfn.XLOOKUP(Таблица4[[#This Row],[Коды телефона]],Таблица5[Код],Таблица5[Страна],"Не найдено",0)</f>
        <v>Россия</v>
      </c>
      <c r="H190" s="23">
        <f t="shared" ca="1" si="8"/>
        <v>46020</v>
      </c>
      <c r="I190" s="19">
        <f ca="1">(Таблица4[[#This Row],[Текущая дата]]-Таблица4[[#This Row],[Дата регистрации клиента]])/30</f>
        <v>39.266666666666666</v>
      </c>
      <c r="J190" t="str">
        <f t="shared" si="9"/>
        <v>Волкова</v>
      </c>
      <c r="K190" t="str">
        <f t="shared" si="10"/>
        <v>Валентина</v>
      </c>
      <c r="L190" t="str">
        <f t="shared" si="11"/>
        <v>Николаевна</v>
      </c>
    </row>
    <row r="191" spans="1:12" x14ac:dyDescent="0.25">
      <c r="A191">
        <v>389</v>
      </c>
      <c r="B191" t="s">
        <v>496</v>
      </c>
      <c r="C191" s="35" t="s">
        <v>1188</v>
      </c>
      <c r="D191" t="s">
        <v>142</v>
      </c>
      <c r="E191" s="23">
        <v>44876</v>
      </c>
      <c r="F191" t="str">
        <f>LEFT(Таблица4[[#This Row],[номер телефона клиента]],LEN(Таблица4[[#This Row],[номер телефона клиента]])-13)</f>
        <v>+7</v>
      </c>
      <c r="G191" t="str">
        <f>_xlfn.XLOOKUP(Таблица4[[#This Row],[Коды телефона]],Таблица5[Код],Таблица5[Страна],"Не найдено",0)</f>
        <v>Россия</v>
      </c>
      <c r="H191" s="23">
        <f t="shared" ca="1" si="8"/>
        <v>46020</v>
      </c>
      <c r="I191" s="19">
        <f ca="1">(Таблица4[[#This Row],[Текущая дата]]-Таблица4[[#This Row],[Дата регистрации клиента]])/30</f>
        <v>38.133333333333333</v>
      </c>
      <c r="J191" t="str">
        <f t="shared" si="9"/>
        <v>Филиппов</v>
      </c>
      <c r="K191" t="str">
        <f t="shared" si="10"/>
        <v>Автоном</v>
      </c>
      <c r="L191" t="str">
        <f t="shared" si="11"/>
        <v>Терентьевич</v>
      </c>
    </row>
    <row r="192" spans="1:12" x14ac:dyDescent="0.25">
      <c r="A192">
        <v>249</v>
      </c>
      <c r="B192" t="s">
        <v>495</v>
      </c>
      <c r="C192" s="35" t="s">
        <v>494</v>
      </c>
      <c r="D192" t="s">
        <v>142</v>
      </c>
      <c r="E192" s="23">
        <v>44781</v>
      </c>
      <c r="F192" t="str">
        <f>LEFT(Таблица4[[#This Row],[номер телефона клиента]],LEN(Таблица4[[#This Row],[номер телефона клиента]])-13)</f>
        <v>+7</v>
      </c>
      <c r="G192" t="str">
        <f>_xlfn.XLOOKUP(Таблица4[[#This Row],[Коды телефона]],Таблица5[Код],Таблица5[Страна],"Не найдено",0)</f>
        <v>Россия</v>
      </c>
      <c r="H192" s="23">
        <f t="shared" ca="1" si="8"/>
        <v>46020</v>
      </c>
      <c r="I192" s="19">
        <f ca="1">(Таблица4[[#This Row],[Текущая дата]]-Таблица4[[#This Row],[Дата регистрации клиента]])/30</f>
        <v>41.3</v>
      </c>
      <c r="J192" t="str">
        <f t="shared" si="9"/>
        <v>Абрамов</v>
      </c>
      <c r="K192" t="str">
        <f t="shared" si="10"/>
        <v>Адриан</v>
      </c>
      <c r="L192" t="str">
        <f t="shared" si="11"/>
        <v>Фролович</v>
      </c>
    </row>
    <row r="193" spans="1:12" x14ac:dyDescent="0.25">
      <c r="A193">
        <v>168</v>
      </c>
      <c r="B193" t="s">
        <v>493</v>
      </c>
      <c r="C193" s="35" t="s">
        <v>492</v>
      </c>
      <c r="D193" t="s">
        <v>142</v>
      </c>
      <c r="E193" s="23">
        <v>44706</v>
      </c>
      <c r="F193" t="str">
        <f>LEFT(Таблица4[[#This Row],[номер телефона клиента]],LEN(Таблица4[[#This Row],[номер телефона клиента]])-13)</f>
        <v>+998</v>
      </c>
      <c r="G193" t="str">
        <f>_xlfn.XLOOKUP(Таблица4[[#This Row],[Коды телефона]],Таблица5[Код],Таблица5[Страна],"Не найдено",0)</f>
        <v>Узбекистан</v>
      </c>
      <c r="H193" s="23">
        <f t="shared" ca="1" si="8"/>
        <v>46020</v>
      </c>
      <c r="I193" s="19">
        <f ca="1">(Таблица4[[#This Row],[Текущая дата]]-Таблица4[[#This Row],[Дата регистрации клиента]])/30</f>
        <v>43.8</v>
      </c>
      <c r="J193" t="str">
        <f t="shared" si="9"/>
        <v>Самсонов</v>
      </c>
      <c r="K193" t="str">
        <f t="shared" si="10"/>
        <v>Борислав</v>
      </c>
      <c r="L193" t="str">
        <f t="shared" si="11"/>
        <v>Фролович</v>
      </c>
    </row>
    <row r="194" spans="1:12" x14ac:dyDescent="0.25">
      <c r="A194">
        <v>121</v>
      </c>
      <c r="B194" t="s">
        <v>491</v>
      </c>
      <c r="C194" s="35" t="s">
        <v>490</v>
      </c>
      <c r="D194" t="s">
        <v>142</v>
      </c>
      <c r="E194" s="23">
        <v>44763</v>
      </c>
      <c r="F194" t="str">
        <f>LEFT(Таблица4[[#This Row],[номер телефона клиента]],LEN(Таблица4[[#This Row],[номер телефона клиента]])-13)</f>
        <v>+7</v>
      </c>
      <c r="G194" t="str">
        <f>_xlfn.XLOOKUP(Таблица4[[#This Row],[Коды телефона]],Таблица5[Код],Таблица5[Страна],"Не найдено",0)</f>
        <v>Россия</v>
      </c>
      <c r="H194" s="23">
        <f t="shared" ref="H194:H257" ca="1" si="12">TODAY()</f>
        <v>46020</v>
      </c>
      <c r="I194" s="19">
        <f ca="1">(Таблица4[[#This Row],[Текущая дата]]-Таблица4[[#This Row],[Дата регистрации клиента]])/30</f>
        <v>41.9</v>
      </c>
      <c r="J194" t="str">
        <f t="shared" ref="J194:J257" si="13">LEFT(C194,FIND(" ",C194)-1)</f>
        <v>Сысоева</v>
      </c>
      <c r="K194" t="str">
        <f t="shared" ref="K194:K257" si="14">MID(C194,FIND(" ",C194)+1,FIND(" ",C194,FIND(" ",C194)+1)-FIND(" ",C194)-1)</f>
        <v>Светлана</v>
      </c>
      <c r="L194" t="str">
        <f t="shared" ref="L194:L257" si="15">RIGHT(C194,LEN(C194)-FIND("~",SUBSTITUTE(C194," ","~",2)))</f>
        <v>Захаровна</v>
      </c>
    </row>
    <row r="195" spans="1:12" x14ac:dyDescent="0.25">
      <c r="A195">
        <v>405</v>
      </c>
      <c r="B195" t="s">
        <v>489</v>
      </c>
      <c r="C195" s="35" t="s">
        <v>1189</v>
      </c>
      <c r="D195" t="s">
        <v>140</v>
      </c>
      <c r="E195" s="23">
        <v>44798</v>
      </c>
      <c r="F195" t="str">
        <f>LEFT(Таблица4[[#This Row],[номер телефона клиента]],LEN(Таблица4[[#This Row],[номер телефона клиента]])-13)</f>
        <v>+380</v>
      </c>
      <c r="G195" t="str">
        <f>_xlfn.XLOOKUP(Таблица4[[#This Row],[Коды телефона]],Таблица5[Код],Таблица5[Страна],"Не найдено",0)</f>
        <v>Украина</v>
      </c>
      <c r="H195" s="23">
        <f t="shared" ca="1" si="12"/>
        <v>46020</v>
      </c>
      <c r="I195" s="19">
        <f ca="1">(Таблица4[[#This Row],[Текущая дата]]-Таблица4[[#This Row],[Дата регистрации клиента]])/30</f>
        <v>40.733333333333334</v>
      </c>
      <c r="J195" t="str">
        <f t="shared" si="13"/>
        <v>Белова</v>
      </c>
      <c r="K195" t="str">
        <f t="shared" si="14"/>
        <v>Ия</v>
      </c>
      <c r="L195" t="str">
        <f t="shared" si="15"/>
        <v>Робертовна</v>
      </c>
    </row>
    <row r="196" spans="1:12" x14ac:dyDescent="0.25">
      <c r="A196">
        <v>376</v>
      </c>
      <c r="B196" t="s">
        <v>488</v>
      </c>
      <c r="C196" s="35" t="s">
        <v>487</v>
      </c>
      <c r="D196" t="s">
        <v>142</v>
      </c>
      <c r="E196" s="23">
        <v>44730</v>
      </c>
      <c r="F196" t="str">
        <f>LEFT(Таблица4[[#This Row],[номер телефона клиента]],LEN(Таблица4[[#This Row],[номер телефона клиента]])-13)</f>
        <v>+375</v>
      </c>
      <c r="G196" t="str">
        <f>_xlfn.XLOOKUP(Таблица4[[#This Row],[Коды телефона]],Таблица5[Код],Таблица5[Страна],"Не найдено",0)</f>
        <v>Беларусь</v>
      </c>
      <c r="H196" s="23">
        <f t="shared" ca="1" si="12"/>
        <v>46020</v>
      </c>
      <c r="I196" s="19">
        <f ca="1">(Таблица4[[#This Row],[Текущая дата]]-Таблица4[[#This Row],[Дата регистрации клиента]])/30</f>
        <v>43</v>
      </c>
      <c r="J196" t="str">
        <f t="shared" si="13"/>
        <v>Лукин</v>
      </c>
      <c r="K196" t="str">
        <f t="shared" si="14"/>
        <v>Борис</v>
      </c>
      <c r="L196" t="str">
        <f t="shared" si="15"/>
        <v>Власович</v>
      </c>
    </row>
    <row r="197" spans="1:12" x14ac:dyDescent="0.25">
      <c r="A197">
        <v>489</v>
      </c>
      <c r="B197" t="s">
        <v>486</v>
      </c>
      <c r="C197" s="35" t="s">
        <v>1190</v>
      </c>
      <c r="D197" t="s">
        <v>142</v>
      </c>
      <c r="E197" s="23">
        <v>44587</v>
      </c>
      <c r="F197" t="str">
        <f>LEFT(Таблица4[[#This Row],[номер телефона клиента]],LEN(Таблица4[[#This Row],[номер телефона клиента]])-13)</f>
        <v>+7</v>
      </c>
      <c r="G197" t="str">
        <f>_xlfn.XLOOKUP(Таблица4[[#This Row],[Коды телефона]],Таблица5[Код],Таблица5[Страна],"Не найдено",0)</f>
        <v>Россия</v>
      </c>
      <c r="H197" s="23">
        <f t="shared" ca="1" si="12"/>
        <v>46020</v>
      </c>
      <c r="I197" s="19">
        <f ca="1">(Таблица4[[#This Row],[Текущая дата]]-Таблица4[[#This Row],[Дата регистрации клиента]])/30</f>
        <v>47.766666666666666</v>
      </c>
      <c r="J197" t="str">
        <f t="shared" si="13"/>
        <v>Воронов</v>
      </c>
      <c r="K197" t="str">
        <f t="shared" si="14"/>
        <v>Никанор</v>
      </c>
      <c r="L197" t="str">
        <f t="shared" si="15"/>
        <v>Феодосьевич</v>
      </c>
    </row>
    <row r="198" spans="1:12" x14ac:dyDescent="0.25">
      <c r="A198">
        <v>483</v>
      </c>
      <c r="B198" t="s">
        <v>485</v>
      </c>
      <c r="C198" s="35" t="s">
        <v>1191</v>
      </c>
      <c r="D198" t="s">
        <v>142</v>
      </c>
      <c r="E198" s="23">
        <v>44855</v>
      </c>
      <c r="F198" t="str">
        <f>LEFT(Таблица4[[#This Row],[номер телефона клиента]],LEN(Таблица4[[#This Row],[номер телефона клиента]])-13)</f>
        <v>+7</v>
      </c>
      <c r="G198" t="str">
        <f>_xlfn.XLOOKUP(Таблица4[[#This Row],[Коды телефона]],Таблица5[Код],Таблица5[Страна],"Не найдено",0)</f>
        <v>Россия</v>
      </c>
      <c r="H198" s="23">
        <f t="shared" ca="1" si="12"/>
        <v>46020</v>
      </c>
      <c r="I198" s="19">
        <f ca="1">(Таблица4[[#This Row],[Текущая дата]]-Таблица4[[#This Row],[Дата регистрации клиента]])/30</f>
        <v>38.833333333333336</v>
      </c>
      <c r="J198" t="str">
        <f t="shared" si="13"/>
        <v>Гущин</v>
      </c>
      <c r="K198" t="str">
        <f t="shared" si="14"/>
        <v>Александр</v>
      </c>
      <c r="L198" t="str">
        <f t="shared" si="15"/>
        <v>Архипович</v>
      </c>
    </row>
    <row r="199" spans="1:12" x14ac:dyDescent="0.25">
      <c r="A199">
        <v>107</v>
      </c>
      <c r="B199" t="s">
        <v>484</v>
      </c>
      <c r="C199" s="35" t="s">
        <v>483</v>
      </c>
      <c r="D199" t="s">
        <v>140</v>
      </c>
      <c r="E199" s="23">
        <v>44744</v>
      </c>
      <c r="F199" t="str">
        <f>LEFT(Таблица4[[#This Row],[номер телефона клиента]],LEN(Таблица4[[#This Row],[номер телефона клиента]])-13)</f>
        <v>+992</v>
      </c>
      <c r="G199" t="str">
        <f>_xlfn.XLOOKUP(Таблица4[[#This Row],[Коды телефона]],Таблица5[Код],Таблица5[Страна],"Не найдено",0)</f>
        <v>Таджикистан</v>
      </c>
      <c r="H199" s="23">
        <f t="shared" ca="1" si="12"/>
        <v>46020</v>
      </c>
      <c r="I199" s="19">
        <f ca="1">(Таблица4[[#This Row],[Текущая дата]]-Таблица4[[#This Row],[Дата регистрации клиента]])/30</f>
        <v>42.533333333333331</v>
      </c>
      <c r="J199" t="str">
        <f t="shared" si="13"/>
        <v>Большаков</v>
      </c>
      <c r="K199" t="str">
        <f t="shared" si="14"/>
        <v>Антип</v>
      </c>
      <c r="L199" t="str">
        <f t="shared" si="15"/>
        <v>Тихонович</v>
      </c>
    </row>
    <row r="200" spans="1:12" x14ac:dyDescent="0.25">
      <c r="A200">
        <v>51</v>
      </c>
      <c r="B200" t="s">
        <v>482</v>
      </c>
      <c r="C200" s="35" t="s">
        <v>481</v>
      </c>
      <c r="D200" t="s">
        <v>140</v>
      </c>
      <c r="E200" s="23">
        <v>44605</v>
      </c>
      <c r="F200" t="str">
        <f>LEFT(Таблица4[[#This Row],[номер телефона клиента]],LEN(Таблица4[[#This Row],[номер телефона клиента]])-13)</f>
        <v>+998</v>
      </c>
      <c r="G200" t="str">
        <f>_xlfn.XLOOKUP(Таблица4[[#This Row],[Коды телефона]],Таблица5[Код],Таблица5[Страна],"Не найдено",0)</f>
        <v>Узбекистан</v>
      </c>
      <c r="H200" s="23">
        <f t="shared" ca="1" si="12"/>
        <v>46020</v>
      </c>
      <c r="I200" s="19">
        <f ca="1">(Таблица4[[#This Row],[Текущая дата]]-Таблица4[[#This Row],[Дата регистрации клиента]])/30</f>
        <v>47.166666666666664</v>
      </c>
      <c r="J200" t="str">
        <f t="shared" si="13"/>
        <v>Костина</v>
      </c>
      <c r="K200" t="str">
        <f t="shared" si="14"/>
        <v>Жанна</v>
      </c>
      <c r="L200" t="str">
        <f t="shared" si="15"/>
        <v>Рубеновна</v>
      </c>
    </row>
    <row r="201" spans="1:12" x14ac:dyDescent="0.25">
      <c r="A201">
        <v>9</v>
      </c>
      <c r="B201" t="s">
        <v>480</v>
      </c>
      <c r="C201" s="35" t="s">
        <v>479</v>
      </c>
      <c r="D201" t="s">
        <v>142</v>
      </c>
      <c r="E201" s="23">
        <v>44900</v>
      </c>
      <c r="F201" t="str">
        <f>LEFT(Таблица4[[#This Row],[номер телефона клиента]],LEN(Таблица4[[#This Row],[номер телефона клиента]])-13)</f>
        <v>+992</v>
      </c>
      <c r="G201" t="str">
        <f>_xlfn.XLOOKUP(Таблица4[[#This Row],[Коды телефона]],Таблица5[Код],Таблица5[Страна],"Не найдено",0)</f>
        <v>Таджикистан</v>
      </c>
      <c r="H201" s="23">
        <f t="shared" ca="1" si="12"/>
        <v>46020</v>
      </c>
      <c r="I201" s="19">
        <f ca="1">(Таблица4[[#This Row],[Текущая дата]]-Таблица4[[#This Row],[Дата регистрации клиента]])/30</f>
        <v>37.333333333333336</v>
      </c>
      <c r="J201" t="str">
        <f t="shared" si="13"/>
        <v>Устинов</v>
      </c>
      <c r="K201" t="str">
        <f t="shared" si="14"/>
        <v>Милан</v>
      </c>
      <c r="L201" t="str">
        <f t="shared" si="15"/>
        <v>Архипович</v>
      </c>
    </row>
    <row r="202" spans="1:12" x14ac:dyDescent="0.25">
      <c r="A202">
        <v>456</v>
      </c>
      <c r="B202" t="s">
        <v>478</v>
      </c>
      <c r="C202" s="35" t="s">
        <v>477</v>
      </c>
      <c r="D202" t="s">
        <v>142</v>
      </c>
      <c r="E202" s="23">
        <v>44618</v>
      </c>
      <c r="F202" t="str">
        <f>LEFT(Таблица4[[#This Row],[номер телефона клиента]],LEN(Таблица4[[#This Row],[номер телефона клиента]])-13)</f>
        <v>+7</v>
      </c>
      <c r="G202" t="str">
        <f>_xlfn.XLOOKUP(Таблица4[[#This Row],[Коды телефона]],Таблица5[Код],Таблица5[Страна],"Не найдено",0)</f>
        <v>Россия</v>
      </c>
      <c r="H202" s="23">
        <f t="shared" ca="1" si="12"/>
        <v>46020</v>
      </c>
      <c r="I202" s="19">
        <f ca="1">(Таблица4[[#This Row],[Текущая дата]]-Таблица4[[#This Row],[Дата регистрации клиента]])/30</f>
        <v>46.733333333333334</v>
      </c>
      <c r="J202" t="str">
        <f t="shared" si="13"/>
        <v>Муравьева</v>
      </c>
      <c r="K202" t="str">
        <f t="shared" si="14"/>
        <v>Алла</v>
      </c>
      <c r="L202" t="str">
        <f t="shared" si="15"/>
        <v>Петровна</v>
      </c>
    </row>
    <row r="203" spans="1:12" x14ac:dyDescent="0.25">
      <c r="A203">
        <v>110</v>
      </c>
      <c r="B203" t="s">
        <v>476</v>
      </c>
      <c r="C203" s="35" t="s">
        <v>1192</v>
      </c>
      <c r="D203" t="s">
        <v>140</v>
      </c>
      <c r="E203" s="23">
        <v>44580</v>
      </c>
      <c r="F203" t="str">
        <f>LEFT(Таблица4[[#This Row],[номер телефона клиента]],LEN(Таблица4[[#This Row],[номер телефона клиента]])-13)</f>
        <v>+998</v>
      </c>
      <c r="G203" t="str">
        <f>_xlfn.XLOOKUP(Таблица4[[#This Row],[Коды телефона]],Таблица5[Код],Таблица5[Страна],"Не найдено",0)</f>
        <v>Узбекистан</v>
      </c>
      <c r="H203" s="23">
        <f t="shared" ca="1" si="12"/>
        <v>46020</v>
      </c>
      <c r="I203" s="19">
        <f ca="1">(Таблица4[[#This Row],[Текущая дата]]-Таблица4[[#This Row],[Дата регистрации клиента]])/30</f>
        <v>48</v>
      </c>
      <c r="J203" t="str">
        <f t="shared" si="13"/>
        <v>Белоусов</v>
      </c>
      <c r="K203" t="str">
        <f t="shared" si="14"/>
        <v>Давыд</v>
      </c>
      <c r="L203" t="str">
        <f t="shared" si="15"/>
        <v>Фёдорович</v>
      </c>
    </row>
    <row r="204" spans="1:12" x14ac:dyDescent="0.25">
      <c r="A204">
        <v>216</v>
      </c>
      <c r="B204" t="s">
        <v>475</v>
      </c>
      <c r="C204" s="35" t="s">
        <v>474</v>
      </c>
      <c r="D204" t="s">
        <v>140</v>
      </c>
      <c r="E204" s="23">
        <v>44655</v>
      </c>
      <c r="F204" t="str">
        <f>LEFT(Таблица4[[#This Row],[номер телефона клиента]],LEN(Таблица4[[#This Row],[номер телефона клиента]])-13)</f>
        <v>+992</v>
      </c>
      <c r="G204" t="str">
        <f>_xlfn.XLOOKUP(Таблица4[[#This Row],[Коды телефона]],Таблица5[Код],Таблица5[Страна],"Не найдено",0)</f>
        <v>Таджикистан</v>
      </c>
      <c r="H204" s="23">
        <f t="shared" ca="1" si="12"/>
        <v>46020</v>
      </c>
      <c r="I204" s="19">
        <f ca="1">(Таблица4[[#This Row],[Текущая дата]]-Таблица4[[#This Row],[Дата регистрации клиента]])/30</f>
        <v>45.5</v>
      </c>
      <c r="J204" t="str">
        <f t="shared" si="13"/>
        <v>Никонов</v>
      </c>
      <c r="K204" t="str">
        <f t="shared" si="14"/>
        <v>Софон</v>
      </c>
      <c r="L204" t="str">
        <f t="shared" si="15"/>
        <v>Авдеевич</v>
      </c>
    </row>
    <row r="205" spans="1:12" x14ac:dyDescent="0.25">
      <c r="A205">
        <v>77</v>
      </c>
      <c r="B205" t="s">
        <v>473</v>
      </c>
      <c r="C205" s="35" t="s">
        <v>472</v>
      </c>
      <c r="D205" t="s">
        <v>140</v>
      </c>
      <c r="E205" s="23">
        <v>44644</v>
      </c>
      <c r="F205" t="str">
        <f>LEFT(Таблица4[[#This Row],[номер телефона клиента]],LEN(Таблица4[[#This Row],[номер телефона клиента]])-13)</f>
        <v>+7</v>
      </c>
      <c r="G205" t="str">
        <f>_xlfn.XLOOKUP(Таблица4[[#This Row],[Коды телефона]],Таблица5[Код],Таблица5[Страна],"Не найдено",0)</f>
        <v>Россия</v>
      </c>
      <c r="H205" s="23">
        <f t="shared" ca="1" si="12"/>
        <v>46020</v>
      </c>
      <c r="I205" s="19">
        <f ca="1">(Таблица4[[#This Row],[Текущая дата]]-Таблица4[[#This Row],[Дата регистрации клиента]])/30</f>
        <v>45.866666666666667</v>
      </c>
      <c r="J205" t="str">
        <f t="shared" si="13"/>
        <v>Фокин</v>
      </c>
      <c r="K205" t="str">
        <f t="shared" si="14"/>
        <v>Глеб</v>
      </c>
      <c r="L205" t="str">
        <f t="shared" si="15"/>
        <v>Елизарович</v>
      </c>
    </row>
    <row r="206" spans="1:12" x14ac:dyDescent="0.25">
      <c r="A206">
        <v>192</v>
      </c>
      <c r="B206" t="s">
        <v>471</v>
      </c>
      <c r="C206" s="35" t="s">
        <v>470</v>
      </c>
      <c r="D206" t="s">
        <v>142</v>
      </c>
      <c r="E206" s="23">
        <v>44572</v>
      </c>
      <c r="F206" t="str">
        <f>LEFT(Таблица4[[#This Row],[номер телефона клиента]],LEN(Таблица4[[#This Row],[номер телефона клиента]])-13)</f>
        <v>+7</v>
      </c>
      <c r="G206" t="str">
        <f>_xlfn.XLOOKUP(Таблица4[[#This Row],[Коды телефона]],Таблица5[Код],Таблица5[Страна],"Не найдено",0)</f>
        <v>Россия</v>
      </c>
      <c r="H206" s="23">
        <f t="shared" ca="1" si="12"/>
        <v>46020</v>
      </c>
      <c r="I206" s="19">
        <f ca="1">(Таблица4[[#This Row],[Текущая дата]]-Таблица4[[#This Row],[Дата регистрации клиента]])/30</f>
        <v>48.266666666666666</v>
      </c>
      <c r="J206" t="str">
        <f t="shared" si="13"/>
        <v>Устинов</v>
      </c>
      <c r="K206" t="str">
        <f t="shared" si="14"/>
        <v>Евграф</v>
      </c>
      <c r="L206" t="str">
        <f t="shared" si="15"/>
        <v>Исидорович</v>
      </c>
    </row>
    <row r="207" spans="1:12" x14ac:dyDescent="0.25">
      <c r="A207">
        <v>308</v>
      </c>
      <c r="B207" t="s">
        <v>469</v>
      </c>
      <c r="C207" s="35" t="s">
        <v>1193</v>
      </c>
      <c r="D207" t="s">
        <v>142</v>
      </c>
      <c r="E207" s="23">
        <v>44562</v>
      </c>
      <c r="F207" t="str">
        <f>LEFT(Таблица4[[#This Row],[номер телефона клиента]],LEN(Таблица4[[#This Row],[номер телефона клиента]])-13)</f>
        <v>+375</v>
      </c>
      <c r="G207" t="str">
        <f>_xlfn.XLOOKUP(Таблица4[[#This Row],[Коды телефона]],Таблица5[Код],Таблица5[Страна],"Не найдено",0)</f>
        <v>Беларусь</v>
      </c>
      <c r="H207" s="23">
        <f t="shared" ca="1" si="12"/>
        <v>46020</v>
      </c>
      <c r="I207" s="19">
        <f ca="1">(Таблица4[[#This Row],[Текущая дата]]-Таблица4[[#This Row],[Дата регистрации клиента]])/30</f>
        <v>48.6</v>
      </c>
      <c r="J207" t="str">
        <f t="shared" si="13"/>
        <v>Васильева</v>
      </c>
      <c r="K207" t="str">
        <f t="shared" si="14"/>
        <v>Ирина</v>
      </c>
      <c r="L207" t="str">
        <f t="shared" si="15"/>
        <v>Анатольевна</v>
      </c>
    </row>
    <row r="208" spans="1:12" x14ac:dyDescent="0.25">
      <c r="A208">
        <v>455</v>
      </c>
      <c r="B208" t="s">
        <v>468</v>
      </c>
      <c r="C208" s="35" t="s">
        <v>1194</v>
      </c>
      <c r="D208" t="s">
        <v>142</v>
      </c>
      <c r="E208" s="23">
        <v>44820</v>
      </c>
      <c r="F208" t="str">
        <f>LEFT(Таблица4[[#This Row],[номер телефона клиента]],LEN(Таблица4[[#This Row],[номер телефона клиента]])-13)</f>
        <v>+380</v>
      </c>
      <c r="G208" t="str">
        <f>_xlfn.XLOOKUP(Таблица4[[#This Row],[Коды телефона]],Таблица5[Код],Таблица5[Страна],"Не найдено",0)</f>
        <v>Украина</v>
      </c>
      <c r="H208" s="23">
        <f t="shared" ca="1" si="12"/>
        <v>46020</v>
      </c>
      <c r="I208" s="19">
        <f ca="1">(Таблица4[[#This Row],[Текущая дата]]-Таблица4[[#This Row],[Дата регистрации клиента]])/30</f>
        <v>40</v>
      </c>
      <c r="J208" t="str">
        <f t="shared" si="13"/>
        <v>Калинин</v>
      </c>
      <c r="K208" t="str">
        <f t="shared" si="14"/>
        <v>Герман</v>
      </c>
      <c r="L208" t="str">
        <f t="shared" si="15"/>
        <v>Арсеньевич</v>
      </c>
    </row>
    <row r="209" spans="1:12" x14ac:dyDescent="0.25">
      <c r="A209">
        <v>480</v>
      </c>
      <c r="B209" t="s">
        <v>467</v>
      </c>
      <c r="C209" s="35" t="s">
        <v>1195</v>
      </c>
      <c r="D209" t="s">
        <v>142</v>
      </c>
      <c r="E209" s="23">
        <v>44568</v>
      </c>
      <c r="F209" t="str">
        <f>LEFT(Таблица4[[#This Row],[номер телефона клиента]],LEN(Таблица4[[#This Row],[номер телефона клиента]])-13)</f>
        <v>+998</v>
      </c>
      <c r="G209" t="str">
        <f>_xlfn.XLOOKUP(Таблица4[[#This Row],[Коды телефона]],Таблица5[Код],Таблица5[Страна],"Не найдено",0)</f>
        <v>Узбекистан</v>
      </c>
      <c r="H209" s="23">
        <f t="shared" ca="1" si="12"/>
        <v>46020</v>
      </c>
      <c r="I209" s="19">
        <f ca="1">(Таблица4[[#This Row],[Текущая дата]]-Таблица4[[#This Row],[Дата регистрации клиента]])/30</f>
        <v>48.4</v>
      </c>
      <c r="J209" t="str">
        <f t="shared" si="13"/>
        <v>Капустина</v>
      </c>
      <c r="K209" t="str">
        <f t="shared" si="14"/>
        <v>Юлия</v>
      </c>
      <c r="L209" t="str">
        <f t="shared" si="15"/>
        <v>Кузьминична</v>
      </c>
    </row>
    <row r="210" spans="1:12" x14ac:dyDescent="0.25">
      <c r="A210">
        <v>203</v>
      </c>
      <c r="B210" t="s">
        <v>466</v>
      </c>
      <c r="C210" s="35" t="s">
        <v>465</v>
      </c>
      <c r="D210" t="s">
        <v>140</v>
      </c>
      <c r="E210" s="23">
        <v>44685</v>
      </c>
      <c r="F210" t="str">
        <f>LEFT(Таблица4[[#This Row],[номер телефона клиента]],LEN(Таблица4[[#This Row],[номер телефона клиента]])-13)</f>
        <v>+7</v>
      </c>
      <c r="G210" t="str">
        <f>_xlfn.XLOOKUP(Таблица4[[#This Row],[Коды телефона]],Таблица5[Код],Таблица5[Страна],"Не найдено",0)</f>
        <v>Россия</v>
      </c>
      <c r="H210" s="23">
        <f t="shared" ca="1" si="12"/>
        <v>46020</v>
      </c>
      <c r="I210" s="19">
        <f ca="1">(Таблица4[[#This Row],[Текущая дата]]-Таблица4[[#This Row],[Дата регистрации клиента]])/30</f>
        <v>44.5</v>
      </c>
      <c r="J210" t="str">
        <f t="shared" si="13"/>
        <v>Суханов</v>
      </c>
      <c r="K210" t="str">
        <f t="shared" si="14"/>
        <v>Станислав</v>
      </c>
      <c r="L210" t="str">
        <f t="shared" si="15"/>
        <v>Архипович</v>
      </c>
    </row>
    <row r="211" spans="1:12" x14ac:dyDescent="0.25">
      <c r="A211">
        <v>21</v>
      </c>
      <c r="B211" t="s">
        <v>464</v>
      </c>
      <c r="C211" s="35" t="s">
        <v>1196</v>
      </c>
      <c r="D211" t="s">
        <v>142</v>
      </c>
      <c r="E211" s="23">
        <v>44881</v>
      </c>
      <c r="F211" t="str">
        <f>LEFT(Таблица4[[#This Row],[номер телефона клиента]],LEN(Таблица4[[#This Row],[номер телефона клиента]])-13)</f>
        <v>+375</v>
      </c>
      <c r="G211" t="str">
        <f>_xlfn.XLOOKUP(Таблица4[[#This Row],[Коды телефона]],Таблица5[Код],Таблица5[Страна],"Не найдено",0)</f>
        <v>Беларусь</v>
      </c>
      <c r="H211" s="23">
        <f t="shared" ca="1" si="12"/>
        <v>46020</v>
      </c>
      <c r="I211" s="19">
        <f ca="1">(Таблица4[[#This Row],[Текущая дата]]-Таблица4[[#This Row],[Дата регистрации клиента]])/30</f>
        <v>37.966666666666669</v>
      </c>
      <c r="J211" t="str">
        <f t="shared" si="13"/>
        <v>Третьяков</v>
      </c>
      <c r="K211" t="str">
        <f t="shared" si="14"/>
        <v>Никита</v>
      </c>
      <c r="L211" t="str">
        <f t="shared" si="15"/>
        <v>Венедиктович</v>
      </c>
    </row>
    <row r="212" spans="1:12" x14ac:dyDescent="0.25">
      <c r="A212">
        <v>302</v>
      </c>
      <c r="B212" t="s">
        <v>463</v>
      </c>
      <c r="C212" s="35" t="s">
        <v>462</v>
      </c>
      <c r="D212" t="s">
        <v>140</v>
      </c>
      <c r="E212" s="23">
        <v>44859</v>
      </c>
      <c r="F212" t="str">
        <f>LEFT(Таблица4[[#This Row],[номер телефона клиента]],LEN(Таблица4[[#This Row],[номер телефона клиента]])-13)</f>
        <v>+7</v>
      </c>
      <c r="G212" t="str">
        <f>_xlfn.XLOOKUP(Таблица4[[#This Row],[Коды телефона]],Таблица5[Код],Таблица5[Страна],"Не найдено",0)</f>
        <v>Россия</v>
      </c>
      <c r="H212" s="23">
        <f t="shared" ca="1" si="12"/>
        <v>46020</v>
      </c>
      <c r="I212" s="19">
        <f ca="1">(Таблица4[[#This Row],[Текущая дата]]-Таблица4[[#This Row],[Дата регистрации клиента]])/30</f>
        <v>38.700000000000003</v>
      </c>
      <c r="J212" t="str">
        <f t="shared" si="13"/>
        <v>Журавлева</v>
      </c>
      <c r="K212" t="str">
        <f t="shared" si="14"/>
        <v>Александра</v>
      </c>
      <c r="L212" t="str">
        <f t="shared" si="15"/>
        <v>Валентиновна</v>
      </c>
    </row>
    <row r="213" spans="1:12" x14ac:dyDescent="0.25">
      <c r="A213">
        <v>341</v>
      </c>
      <c r="B213" t="s">
        <v>461</v>
      </c>
      <c r="C213" s="35" t="s">
        <v>1197</v>
      </c>
      <c r="D213" t="s">
        <v>140</v>
      </c>
      <c r="E213" s="23">
        <v>44724</v>
      </c>
      <c r="F213" t="str">
        <f>LEFT(Таблица4[[#This Row],[номер телефона клиента]],LEN(Таблица4[[#This Row],[номер телефона клиента]])-13)</f>
        <v>+7</v>
      </c>
      <c r="G213" t="str">
        <f>_xlfn.XLOOKUP(Таблица4[[#This Row],[Коды телефона]],Таблица5[Код],Таблица5[Страна],"Не найдено",0)</f>
        <v>Россия</v>
      </c>
      <c r="H213" s="23">
        <f t="shared" ca="1" si="12"/>
        <v>46020</v>
      </c>
      <c r="I213" s="19">
        <f ca="1">(Таблица4[[#This Row],[Текущая дата]]-Таблица4[[#This Row],[Дата регистрации клиента]])/30</f>
        <v>43.2</v>
      </c>
      <c r="J213" t="str">
        <f t="shared" si="13"/>
        <v>Ефимова</v>
      </c>
      <c r="K213" t="str">
        <f t="shared" si="14"/>
        <v>Алевтина</v>
      </c>
      <c r="L213" t="str">
        <f t="shared" si="15"/>
        <v>Архиповна</v>
      </c>
    </row>
    <row r="214" spans="1:12" x14ac:dyDescent="0.25">
      <c r="A214">
        <v>463</v>
      </c>
      <c r="B214" t="s">
        <v>460</v>
      </c>
      <c r="C214" s="35" t="s">
        <v>1198</v>
      </c>
      <c r="D214" t="s">
        <v>140</v>
      </c>
      <c r="E214" s="23">
        <v>44869</v>
      </c>
      <c r="F214" t="str">
        <f>LEFT(Таблица4[[#This Row],[номер телефона клиента]],LEN(Таблица4[[#This Row],[номер телефона клиента]])-13)</f>
        <v>+380</v>
      </c>
      <c r="G214" t="str">
        <f>_xlfn.XLOOKUP(Таблица4[[#This Row],[Коды телефона]],Таблица5[Код],Таблица5[Страна],"Не найдено",0)</f>
        <v>Украина</v>
      </c>
      <c r="H214" s="23">
        <f t="shared" ca="1" si="12"/>
        <v>46020</v>
      </c>
      <c r="I214" s="19">
        <f ca="1">(Таблица4[[#This Row],[Текущая дата]]-Таблица4[[#This Row],[Дата регистрации клиента]])/30</f>
        <v>38.366666666666667</v>
      </c>
      <c r="J214" t="str">
        <f t="shared" si="13"/>
        <v>Ефремова</v>
      </c>
      <c r="K214" t="str">
        <f t="shared" si="14"/>
        <v>Вероника</v>
      </c>
      <c r="L214" t="str">
        <f t="shared" si="15"/>
        <v>Руслановна</v>
      </c>
    </row>
    <row r="215" spans="1:12" x14ac:dyDescent="0.25">
      <c r="A215">
        <v>421</v>
      </c>
      <c r="B215" t="s">
        <v>459</v>
      </c>
      <c r="C215" s="35" t="s">
        <v>458</v>
      </c>
      <c r="D215" t="s">
        <v>140</v>
      </c>
      <c r="E215" s="23">
        <v>44620</v>
      </c>
      <c r="F215" t="str">
        <f>LEFT(Таблица4[[#This Row],[номер телефона клиента]],LEN(Таблица4[[#This Row],[номер телефона клиента]])-13)</f>
        <v>+7</v>
      </c>
      <c r="G215" t="str">
        <f>_xlfn.XLOOKUP(Таблица4[[#This Row],[Коды телефона]],Таблица5[Код],Таблица5[Страна],"Не найдено",0)</f>
        <v>Россия</v>
      </c>
      <c r="H215" s="23">
        <f t="shared" ca="1" si="12"/>
        <v>46020</v>
      </c>
      <c r="I215" s="19">
        <f ca="1">(Таблица4[[#This Row],[Текущая дата]]-Таблица4[[#This Row],[Дата регистрации клиента]])/30</f>
        <v>46.666666666666664</v>
      </c>
      <c r="J215" t="str">
        <f t="shared" si="13"/>
        <v>Красильников</v>
      </c>
      <c r="K215" t="str">
        <f t="shared" si="14"/>
        <v>Павел</v>
      </c>
      <c r="L215" t="str">
        <f t="shared" si="15"/>
        <v>Ермилович</v>
      </c>
    </row>
    <row r="216" spans="1:12" x14ac:dyDescent="0.25">
      <c r="A216">
        <v>86</v>
      </c>
      <c r="B216" t="s">
        <v>457</v>
      </c>
      <c r="C216" s="35" t="s">
        <v>456</v>
      </c>
      <c r="D216" t="s">
        <v>142</v>
      </c>
      <c r="E216" s="23">
        <v>44692</v>
      </c>
      <c r="F216" t="str">
        <f>LEFT(Таблица4[[#This Row],[номер телефона клиента]],LEN(Таблица4[[#This Row],[номер телефона клиента]])-13)</f>
        <v>+998</v>
      </c>
      <c r="G216" t="str">
        <f>_xlfn.XLOOKUP(Таблица4[[#This Row],[Коды телефона]],Таблица5[Код],Таблица5[Страна],"Не найдено",0)</f>
        <v>Узбекистан</v>
      </c>
      <c r="H216" s="23">
        <f t="shared" ca="1" si="12"/>
        <v>46020</v>
      </c>
      <c r="I216" s="19">
        <f ca="1">(Таблица4[[#This Row],[Текущая дата]]-Таблица4[[#This Row],[Дата регистрации клиента]])/30</f>
        <v>44.266666666666666</v>
      </c>
      <c r="J216" t="str">
        <f t="shared" si="13"/>
        <v>Гуляева</v>
      </c>
      <c r="K216" t="str">
        <f t="shared" si="14"/>
        <v>Раиса</v>
      </c>
      <c r="L216" t="str">
        <f t="shared" si="15"/>
        <v>Кузьминична</v>
      </c>
    </row>
    <row r="217" spans="1:12" x14ac:dyDescent="0.25">
      <c r="A217">
        <v>319</v>
      </c>
      <c r="B217" t="s">
        <v>455</v>
      </c>
      <c r="C217" s="35" t="s">
        <v>454</v>
      </c>
      <c r="D217" t="s">
        <v>142</v>
      </c>
      <c r="E217" s="23">
        <v>44674</v>
      </c>
      <c r="F217" t="str">
        <f>LEFT(Таблица4[[#This Row],[номер телефона клиента]],LEN(Таблица4[[#This Row],[номер телефона клиента]])-13)</f>
        <v>+998</v>
      </c>
      <c r="G217" t="str">
        <f>_xlfn.XLOOKUP(Таблица4[[#This Row],[Коды телефона]],Таблица5[Код],Таблица5[Страна],"Не найдено",0)</f>
        <v>Узбекистан</v>
      </c>
      <c r="H217" s="23">
        <f t="shared" ca="1" si="12"/>
        <v>46020</v>
      </c>
      <c r="I217" s="19">
        <f ca="1">(Таблица4[[#This Row],[Текущая дата]]-Таблица4[[#This Row],[Дата регистрации клиента]])/30</f>
        <v>44.866666666666667</v>
      </c>
      <c r="J217" t="str">
        <f t="shared" si="13"/>
        <v>Маркова</v>
      </c>
      <c r="K217" t="str">
        <f t="shared" si="14"/>
        <v>Василиса</v>
      </c>
      <c r="L217" t="str">
        <f t="shared" si="15"/>
        <v>Юрьевна</v>
      </c>
    </row>
    <row r="218" spans="1:12" x14ac:dyDescent="0.25">
      <c r="A218">
        <v>290</v>
      </c>
      <c r="B218" t="s">
        <v>453</v>
      </c>
      <c r="C218" s="35" t="s">
        <v>1199</v>
      </c>
      <c r="D218" t="s">
        <v>142</v>
      </c>
      <c r="E218" s="23">
        <v>44777</v>
      </c>
      <c r="F218" t="str">
        <f>LEFT(Таблица4[[#This Row],[номер телефона клиента]],LEN(Таблица4[[#This Row],[номер телефона клиента]])-13)</f>
        <v>+7</v>
      </c>
      <c r="G218" t="str">
        <f>_xlfn.XLOOKUP(Таблица4[[#This Row],[Коды телефона]],Таблица5[Код],Таблица5[Страна],"Не найдено",0)</f>
        <v>Россия</v>
      </c>
      <c r="H218" s="23">
        <f t="shared" ca="1" si="12"/>
        <v>46020</v>
      </c>
      <c r="I218" s="19">
        <f ca="1">(Таблица4[[#This Row],[Текущая дата]]-Таблица4[[#This Row],[Дата регистрации клиента]])/30</f>
        <v>41.43333333333333</v>
      </c>
      <c r="J218" t="str">
        <f t="shared" si="13"/>
        <v>Савин</v>
      </c>
      <c r="K218" t="str">
        <f t="shared" si="14"/>
        <v>Николай</v>
      </c>
      <c r="L218" t="str">
        <f t="shared" si="15"/>
        <v>Гавриилович</v>
      </c>
    </row>
    <row r="219" spans="1:12" x14ac:dyDescent="0.25">
      <c r="A219">
        <v>13</v>
      </c>
      <c r="B219" t="s">
        <v>452</v>
      </c>
      <c r="C219" s="35" t="s">
        <v>451</v>
      </c>
      <c r="D219" t="s">
        <v>140</v>
      </c>
      <c r="E219" s="23">
        <v>44724</v>
      </c>
      <c r="F219" t="str">
        <f>LEFT(Таблица4[[#This Row],[номер телефона клиента]],LEN(Таблица4[[#This Row],[номер телефона клиента]])-13)</f>
        <v>+7</v>
      </c>
      <c r="G219" t="str">
        <f>_xlfn.XLOOKUP(Таблица4[[#This Row],[Коды телефона]],Таблица5[Код],Таблица5[Страна],"Не найдено",0)</f>
        <v>Россия</v>
      </c>
      <c r="H219" s="23">
        <f t="shared" ca="1" si="12"/>
        <v>46020</v>
      </c>
      <c r="I219" s="19">
        <f ca="1">(Таблица4[[#This Row],[Текущая дата]]-Таблица4[[#This Row],[Дата регистрации клиента]])/30</f>
        <v>43.2</v>
      </c>
      <c r="J219" t="str">
        <f t="shared" si="13"/>
        <v>Максимова</v>
      </c>
      <c r="K219" t="str">
        <f t="shared" si="14"/>
        <v>Елена</v>
      </c>
      <c r="L219" t="str">
        <f t="shared" si="15"/>
        <v>Валериевна</v>
      </c>
    </row>
    <row r="220" spans="1:12" x14ac:dyDescent="0.25">
      <c r="A220">
        <v>453</v>
      </c>
      <c r="B220" t="s">
        <v>450</v>
      </c>
      <c r="C220" s="35" t="s">
        <v>449</v>
      </c>
      <c r="D220" t="s">
        <v>142</v>
      </c>
      <c r="E220" s="23">
        <v>44635</v>
      </c>
      <c r="F220" t="str">
        <f>LEFT(Таблица4[[#This Row],[номер телефона клиента]],LEN(Таблица4[[#This Row],[номер телефона клиента]])-13)</f>
        <v>+7</v>
      </c>
      <c r="G220" t="str">
        <f>_xlfn.XLOOKUP(Таблица4[[#This Row],[Коды телефона]],Таблица5[Код],Таблица5[Страна],"Не найдено",0)</f>
        <v>Россия</v>
      </c>
      <c r="H220" s="23">
        <f t="shared" ca="1" si="12"/>
        <v>46020</v>
      </c>
      <c r="I220" s="19">
        <f ca="1">(Таблица4[[#This Row],[Текущая дата]]-Таблица4[[#This Row],[Дата регистрации клиента]])/30</f>
        <v>46.166666666666664</v>
      </c>
      <c r="J220" t="str">
        <f t="shared" si="13"/>
        <v>Никифоров</v>
      </c>
      <c r="K220" t="str">
        <f t="shared" si="14"/>
        <v>Богдан</v>
      </c>
      <c r="L220" t="str">
        <f t="shared" si="15"/>
        <v>Харитонович</v>
      </c>
    </row>
    <row r="221" spans="1:12" x14ac:dyDescent="0.25">
      <c r="A221">
        <v>120</v>
      </c>
      <c r="B221" t="s">
        <v>448</v>
      </c>
      <c r="C221" s="35" t="s">
        <v>1200</v>
      </c>
      <c r="D221" t="s">
        <v>142</v>
      </c>
      <c r="E221" s="23">
        <v>44691</v>
      </c>
      <c r="F221" t="str">
        <f>LEFT(Таблица4[[#This Row],[номер телефона клиента]],LEN(Таблица4[[#This Row],[номер телефона клиента]])-13)</f>
        <v>+7</v>
      </c>
      <c r="G221" t="str">
        <f>_xlfn.XLOOKUP(Таблица4[[#This Row],[Коды телефона]],Таблица5[Код],Таблица5[Страна],"Не найдено",0)</f>
        <v>Россия</v>
      </c>
      <c r="H221" s="23">
        <f t="shared" ca="1" si="12"/>
        <v>46020</v>
      </c>
      <c r="I221" s="19">
        <f ca="1">(Таблица4[[#This Row],[Текущая дата]]-Таблица4[[#This Row],[Дата регистрации клиента]])/30</f>
        <v>44.3</v>
      </c>
      <c r="J221" t="str">
        <f t="shared" si="13"/>
        <v>Макаров</v>
      </c>
      <c r="K221" t="str">
        <f t="shared" si="14"/>
        <v>Велимир</v>
      </c>
      <c r="L221" t="str">
        <f t="shared" si="15"/>
        <v>Игоревич</v>
      </c>
    </row>
    <row r="222" spans="1:12" x14ac:dyDescent="0.25">
      <c r="A222">
        <v>292</v>
      </c>
      <c r="B222" t="s">
        <v>447</v>
      </c>
      <c r="C222" s="35" t="s">
        <v>446</v>
      </c>
      <c r="D222" t="s">
        <v>140</v>
      </c>
      <c r="E222" s="23">
        <v>44608</v>
      </c>
      <c r="F222" t="str">
        <f>LEFT(Таблица4[[#This Row],[номер телефона клиента]],LEN(Таблица4[[#This Row],[номер телефона клиента]])-13)</f>
        <v>+7</v>
      </c>
      <c r="G222" t="str">
        <f>_xlfn.XLOOKUP(Таблица4[[#This Row],[Коды телефона]],Таблица5[Код],Таблица5[Страна],"Не найдено",0)</f>
        <v>Россия</v>
      </c>
      <c r="H222" s="23">
        <f t="shared" ca="1" si="12"/>
        <v>46020</v>
      </c>
      <c r="I222" s="19">
        <f ca="1">(Таблица4[[#This Row],[Текущая дата]]-Таблица4[[#This Row],[Дата регистрации клиента]])/30</f>
        <v>47.06666666666667</v>
      </c>
      <c r="J222" t="str">
        <f t="shared" si="13"/>
        <v>Тимофеев</v>
      </c>
      <c r="K222" t="str">
        <f t="shared" si="14"/>
        <v>Аполлинарий</v>
      </c>
      <c r="L222" t="str">
        <f t="shared" si="15"/>
        <v>Фомич</v>
      </c>
    </row>
    <row r="223" spans="1:12" x14ac:dyDescent="0.25">
      <c r="A223">
        <v>1</v>
      </c>
      <c r="B223" t="s">
        <v>445</v>
      </c>
      <c r="C223" s="35" t="s">
        <v>1201</v>
      </c>
      <c r="D223" t="s">
        <v>142</v>
      </c>
      <c r="E223" s="23">
        <v>44585</v>
      </c>
      <c r="F223" t="str">
        <f>LEFT(Таблица4[[#This Row],[номер телефона клиента]],LEN(Таблица4[[#This Row],[номер телефона клиента]])-13)</f>
        <v>+7</v>
      </c>
      <c r="G223" t="str">
        <f>_xlfn.XLOOKUP(Таблица4[[#This Row],[Коды телефона]],Таблица5[Код],Таблица5[Страна],"Не найдено",0)</f>
        <v>Россия</v>
      </c>
      <c r="H223" s="23">
        <f t="shared" ca="1" si="12"/>
        <v>46020</v>
      </c>
      <c r="I223" s="19">
        <f ca="1">(Таблица4[[#This Row],[Текущая дата]]-Таблица4[[#This Row],[Дата регистрации клиента]])/30</f>
        <v>47.833333333333336</v>
      </c>
      <c r="J223" t="str">
        <f t="shared" si="13"/>
        <v>Лапин</v>
      </c>
      <c r="K223" t="str">
        <f t="shared" si="14"/>
        <v>Потап</v>
      </c>
      <c r="L223" t="str">
        <f t="shared" si="15"/>
        <v>Егорович</v>
      </c>
    </row>
    <row r="224" spans="1:12" x14ac:dyDescent="0.25">
      <c r="A224">
        <v>98</v>
      </c>
      <c r="B224" t="s">
        <v>444</v>
      </c>
      <c r="C224" s="35" t="s">
        <v>1202</v>
      </c>
      <c r="D224" t="s">
        <v>142</v>
      </c>
      <c r="E224" s="23">
        <v>44637</v>
      </c>
      <c r="F224" t="str">
        <f>LEFT(Таблица4[[#This Row],[номер телефона клиента]],LEN(Таблица4[[#This Row],[номер телефона клиента]])-13)</f>
        <v>+7</v>
      </c>
      <c r="G224" t="str">
        <f>_xlfn.XLOOKUP(Таблица4[[#This Row],[Коды телефона]],Таблица5[Код],Таблица5[Страна],"Не найдено",0)</f>
        <v>Россия</v>
      </c>
      <c r="H224" s="23">
        <f t="shared" ca="1" si="12"/>
        <v>46020</v>
      </c>
      <c r="I224" s="19">
        <f ca="1">(Таблица4[[#This Row],[Текущая дата]]-Таблица4[[#This Row],[Дата регистрации клиента]])/30</f>
        <v>46.1</v>
      </c>
      <c r="J224" t="str">
        <f t="shared" si="13"/>
        <v>Степанов</v>
      </c>
      <c r="K224" t="str">
        <f t="shared" si="14"/>
        <v>Никита</v>
      </c>
      <c r="L224" t="str">
        <f t="shared" si="15"/>
        <v>Виленович</v>
      </c>
    </row>
    <row r="225" spans="1:12" x14ac:dyDescent="0.25">
      <c r="A225">
        <v>226</v>
      </c>
      <c r="B225" t="s">
        <v>443</v>
      </c>
      <c r="C225" s="35" t="s">
        <v>1203</v>
      </c>
      <c r="D225" t="s">
        <v>142</v>
      </c>
      <c r="E225" s="23">
        <v>44702</v>
      </c>
      <c r="F225" t="str">
        <f>LEFT(Таблица4[[#This Row],[номер телефона клиента]],LEN(Таблица4[[#This Row],[номер телефона клиента]])-13)</f>
        <v>+7</v>
      </c>
      <c r="G225" t="str">
        <f>_xlfn.XLOOKUP(Таблица4[[#This Row],[Коды телефона]],Таблица5[Код],Таблица5[Страна],"Не найдено",0)</f>
        <v>Россия</v>
      </c>
      <c r="H225" s="23">
        <f t="shared" ca="1" si="12"/>
        <v>46020</v>
      </c>
      <c r="I225" s="19">
        <f ca="1">(Таблица4[[#This Row],[Текущая дата]]-Таблица4[[#This Row],[Дата регистрации клиента]])/30</f>
        <v>43.93333333333333</v>
      </c>
      <c r="J225" t="str">
        <f t="shared" si="13"/>
        <v>Логинов</v>
      </c>
      <c r="K225" t="str">
        <f t="shared" si="14"/>
        <v>Агап</v>
      </c>
      <c r="L225" t="str">
        <f t="shared" si="15"/>
        <v>Валерьевич</v>
      </c>
    </row>
    <row r="226" spans="1:12" x14ac:dyDescent="0.25">
      <c r="A226">
        <v>296</v>
      </c>
      <c r="B226" t="s">
        <v>442</v>
      </c>
      <c r="C226" s="35" t="s">
        <v>441</v>
      </c>
      <c r="D226" t="s">
        <v>140</v>
      </c>
      <c r="E226" s="23">
        <v>44758</v>
      </c>
      <c r="F226" t="str">
        <f>LEFT(Таблица4[[#This Row],[номер телефона клиента]],LEN(Таблица4[[#This Row],[номер телефона клиента]])-13)</f>
        <v>+998</v>
      </c>
      <c r="G226" t="str">
        <f>_xlfn.XLOOKUP(Таблица4[[#This Row],[Коды телефона]],Таблица5[Код],Таблица5[Страна],"Не найдено",0)</f>
        <v>Узбекистан</v>
      </c>
      <c r="H226" s="23">
        <f t="shared" ca="1" si="12"/>
        <v>46020</v>
      </c>
      <c r="I226" s="19">
        <f ca="1">(Таблица4[[#This Row],[Текущая дата]]-Таблица4[[#This Row],[Дата регистрации клиента]])/30</f>
        <v>42.06666666666667</v>
      </c>
      <c r="J226" t="str">
        <f t="shared" si="13"/>
        <v>Исакова</v>
      </c>
      <c r="K226" t="str">
        <f t="shared" si="14"/>
        <v>Людмила</v>
      </c>
      <c r="L226" t="str">
        <f t="shared" si="15"/>
        <v>Олеговна</v>
      </c>
    </row>
    <row r="227" spans="1:12" x14ac:dyDescent="0.25">
      <c r="A227">
        <v>29</v>
      </c>
      <c r="B227" t="s">
        <v>440</v>
      </c>
      <c r="C227" s="35" t="s">
        <v>439</v>
      </c>
      <c r="D227" t="s">
        <v>142</v>
      </c>
      <c r="E227" s="23">
        <v>44704</v>
      </c>
      <c r="F227" t="str">
        <f>LEFT(Таблица4[[#This Row],[номер телефона клиента]],LEN(Таблица4[[#This Row],[номер телефона клиента]])-13)</f>
        <v>+7</v>
      </c>
      <c r="G227" t="str">
        <f>_xlfn.XLOOKUP(Таблица4[[#This Row],[Коды телефона]],Таблица5[Код],Таблица5[Страна],"Не найдено",0)</f>
        <v>Россия</v>
      </c>
      <c r="H227" s="23">
        <f t="shared" ca="1" si="12"/>
        <v>46020</v>
      </c>
      <c r="I227" s="19">
        <f ca="1">(Таблица4[[#This Row],[Текущая дата]]-Таблица4[[#This Row],[Дата регистрации клиента]])/30</f>
        <v>43.866666666666667</v>
      </c>
      <c r="J227" t="str">
        <f t="shared" si="13"/>
        <v>Вишняков</v>
      </c>
      <c r="K227" t="str">
        <f t="shared" si="14"/>
        <v>Ярослав</v>
      </c>
      <c r="L227" t="str">
        <f t="shared" si="15"/>
        <v>Анатольевич</v>
      </c>
    </row>
    <row r="228" spans="1:12" x14ac:dyDescent="0.25">
      <c r="A228">
        <v>297</v>
      </c>
      <c r="B228" t="s">
        <v>438</v>
      </c>
      <c r="C228" s="35" t="s">
        <v>437</v>
      </c>
      <c r="D228" t="s">
        <v>140</v>
      </c>
      <c r="E228" s="23">
        <v>44666</v>
      </c>
      <c r="F228" t="str">
        <f>LEFT(Таблица4[[#This Row],[номер телефона клиента]],LEN(Таблица4[[#This Row],[номер телефона клиента]])-13)</f>
        <v>+380</v>
      </c>
      <c r="G228" t="str">
        <f>_xlfn.XLOOKUP(Таблица4[[#This Row],[Коды телефона]],Таблица5[Код],Таблица5[Страна],"Не найдено",0)</f>
        <v>Украина</v>
      </c>
      <c r="H228" s="23">
        <f t="shared" ca="1" si="12"/>
        <v>46020</v>
      </c>
      <c r="I228" s="19">
        <f ca="1">(Таблица4[[#This Row],[Текущая дата]]-Таблица4[[#This Row],[Дата регистрации клиента]])/30</f>
        <v>45.133333333333333</v>
      </c>
      <c r="J228" t="str">
        <f t="shared" si="13"/>
        <v>Нестеров</v>
      </c>
      <c r="K228" t="str">
        <f t="shared" si="14"/>
        <v>Чеслав</v>
      </c>
      <c r="L228" t="str">
        <f t="shared" si="15"/>
        <v>Аверьянович</v>
      </c>
    </row>
    <row r="229" spans="1:12" x14ac:dyDescent="0.25">
      <c r="A229">
        <v>497</v>
      </c>
      <c r="B229" t="s">
        <v>436</v>
      </c>
      <c r="C229" s="35" t="s">
        <v>1204</v>
      </c>
      <c r="D229" t="s">
        <v>140</v>
      </c>
      <c r="E229" s="23">
        <v>44826</v>
      </c>
      <c r="F229" t="str">
        <f>LEFT(Таблица4[[#This Row],[номер телефона клиента]],LEN(Таблица4[[#This Row],[номер телефона клиента]])-13)</f>
        <v>+998</v>
      </c>
      <c r="G229" t="str">
        <f>_xlfn.XLOOKUP(Таблица4[[#This Row],[Коды телефона]],Таблица5[Код],Таблица5[Страна],"Не найдено",0)</f>
        <v>Узбекистан</v>
      </c>
      <c r="H229" s="23">
        <f t="shared" ca="1" si="12"/>
        <v>46020</v>
      </c>
      <c r="I229" s="19">
        <f ca="1">(Таблица4[[#This Row],[Текущая дата]]-Таблица4[[#This Row],[Дата регистрации клиента]])/30</f>
        <v>39.799999999999997</v>
      </c>
      <c r="J229" t="str">
        <f t="shared" si="13"/>
        <v>Цветков</v>
      </c>
      <c r="K229" t="str">
        <f t="shared" si="14"/>
        <v>Валерьян</v>
      </c>
      <c r="L229" t="str">
        <f t="shared" si="15"/>
        <v>Федосеевич</v>
      </c>
    </row>
    <row r="230" spans="1:12" x14ac:dyDescent="0.25">
      <c r="A230">
        <v>191</v>
      </c>
      <c r="B230" t="s">
        <v>435</v>
      </c>
      <c r="C230" s="35" t="s">
        <v>1205</v>
      </c>
      <c r="D230" t="s">
        <v>142</v>
      </c>
      <c r="E230" s="23">
        <v>44866</v>
      </c>
      <c r="F230" t="str">
        <f>LEFT(Таблица4[[#This Row],[номер телефона клиента]],LEN(Таблица4[[#This Row],[номер телефона клиента]])-13)</f>
        <v>+380</v>
      </c>
      <c r="G230" t="str">
        <f>_xlfn.XLOOKUP(Таблица4[[#This Row],[Коды телефона]],Таблица5[Код],Таблица5[Страна],"Не найдено",0)</f>
        <v>Украина</v>
      </c>
      <c r="H230" s="23">
        <f t="shared" ca="1" si="12"/>
        <v>46020</v>
      </c>
      <c r="I230" s="19">
        <f ca="1">(Таблица4[[#This Row],[Текущая дата]]-Таблица4[[#This Row],[Дата регистрации клиента]])/30</f>
        <v>38.466666666666669</v>
      </c>
      <c r="J230" t="str">
        <f t="shared" si="13"/>
        <v>Богданов</v>
      </c>
      <c r="K230" t="str">
        <f t="shared" si="14"/>
        <v>Матвей</v>
      </c>
      <c r="L230" t="str">
        <f t="shared" si="15"/>
        <v>Адамович</v>
      </c>
    </row>
    <row r="231" spans="1:12" x14ac:dyDescent="0.25">
      <c r="A231">
        <v>58</v>
      </c>
      <c r="B231" t="s">
        <v>434</v>
      </c>
      <c r="C231" s="35" t="s">
        <v>433</v>
      </c>
      <c r="D231" t="s">
        <v>140</v>
      </c>
      <c r="E231" s="23">
        <v>44628</v>
      </c>
      <c r="F231" t="str">
        <f>LEFT(Таблица4[[#This Row],[номер телефона клиента]],LEN(Таблица4[[#This Row],[номер телефона клиента]])-13)</f>
        <v>+375</v>
      </c>
      <c r="G231" t="str">
        <f>_xlfn.XLOOKUP(Таблица4[[#This Row],[Коды телефона]],Таблица5[Код],Таблица5[Страна],"Не найдено",0)</f>
        <v>Беларусь</v>
      </c>
      <c r="H231" s="23">
        <f t="shared" ca="1" si="12"/>
        <v>46020</v>
      </c>
      <c r="I231" s="19">
        <f ca="1">(Таблица4[[#This Row],[Текущая дата]]-Таблица4[[#This Row],[Дата регистрации клиента]])/30</f>
        <v>46.4</v>
      </c>
      <c r="J231" t="str">
        <f t="shared" si="13"/>
        <v>Владимирова</v>
      </c>
      <c r="K231" t="str">
        <f t="shared" si="14"/>
        <v>Алина</v>
      </c>
      <c r="L231" t="str">
        <f t="shared" si="15"/>
        <v>Феликсовна</v>
      </c>
    </row>
    <row r="232" spans="1:12" x14ac:dyDescent="0.25">
      <c r="A232">
        <v>446</v>
      </c>
      <c r="B232" t="s">
        <v>432</v>
      </c>
      <c r="C232" s="35" t="s">
        <v>1206</v>
      </c>
      <c r="D232" t="s">
        <v>142</v>
      </c>
      <c r="E232" s="23">
        <v>44671</v>
      </c>
      <c r="F232" t="str">
        <f>LEFT(Таблица4[[#This Row],[номер телефона клиента]],LEN(Таблица4[[#This Row],[номер телефона клиента]])-13)</f>
        <v>+992</v>
      </c>
      <c r="G232" t="str">
        <f>_xlfn.XLOOKUP(Таблица4[[#This Row],[Коды телефона]],Таблица5[Код],Таблица5[Страна],"Не найдено",0)</f>
        <v>Таджикистан</v>
      </c>
      <c r="H232" s="23">
        <f t="shared" ca="1" si="12"/>
        <v>46020</v>
      </c>
      <c r="I232" s="19">
        <f ca="1">(Таблица4[[#This Row],[Текущая дата]]-Таблица4[[#This Row],[Дата регистрации клиента]])/30</f>
        <v>44.966666666666669</v>
      </c>
      <c r="J232" t="str">
        <f t="shared" si="13"/>
        <v>Турова</v>
      </c>
      <c r="K232" t="str">
        <f t="shared" si="14"/>
        <v>Лора</v>
      </c>
      <c r="L232" t="str">
        <f t="shared" si="15"/>
        <v>Вадимовна</v>
      </c>
    </row>
    <row r="233" spans="1:12" x14ac:dyDescent="0.25">
      <c r="A233">
        <v>117</v>
      </c>
      <c r="B233" t="s">
        <v>431</v>
      </c>
      <c r="C233" s="35" t="s">
        <v>1207</v>
      </c>
      <c r="D233" t="s">
        <v>142</v>
      </c>
      <c r="E233" s="23">
        <v>44706</v>
      </c>
      <c r="F233" t="str">
        <f>LEFT(Таблица4[[#This Row],[номер телефона клиента]],LEN(Таблица4[[#This Row],[номер телефона клиента]])-13)</f>
        <v>+380</v>
      </c>
      <c r="G233" t="str">
        <f>_xlfn.XLOOKUP(Таблица4[[#This Row],[Коды телефона]],Таблица5[Код],Таблица5[Страна],"Не найдено",0)</f>
        <v>Украина</v>
      </c>
      <c r="H233" s="23">
        <f t="shared" ca="1" si="12"/>
        <v>46020</v>
      </c>
      <c r="I233" s="19">
        <f ca="1">(Таблица4[[#This Row],[Текущая дата]]-Таблица4[[#This Row],[Дата регистрации клиента]])/30</f>
        <v>43.8</v>
      </c>
      <c r="J233" t="str">
        <f t="shared" si="13"/>
        <v>Горбачев</v>
      </c>
      <c r="K233" t="str">
        <f t="shared" si="14"/>
        <v>Мирон</v>
      </c>
      <c r="L233" t="str">
        <f t="shared" si="15"/>
        <v>Давидович</v>
      </c>
    </row>
    <row r="234" spans="1:12" x14ac:dyDescent="0.25">
      <c r="A234">
        <v>187</v>
      </c>
      <c r="B234" t="s">
        <v>430</v>
      </c>
      <c r="C234" s="35" t="s">
        <v>1208</v>
      </c>
      <c r="D234" t="s">
        <v>142</v>
      </c>
      <c r="E234" s="23">
        <v>44848</v>
      </c>
      <c r="F234" t="str">
        <f>LEFT(Таблица4[[#This Row],[номер телефона клиента]],LEN(Таблица4[[#This Row],[номер телефона клиента]])-13)</f>
        <v>+7</v>
      </c>
      <c r="G234" t="str">
        <f>_xlfn.XLOOKUP(Таблица4[[#This Row],[Коды телефона]],Таблица5[Код],Таблица5[Страна],"Не найдено",0)</f>
        <v>Россия</v>
      </c>
      <c r="H234" s="23">
        <f t="shared" ca="1" si="12"/>
        <v>46020</v>
      </c>
      <c r="I234" s="19">
        <f ca="1">(Таблица4[[#This Row],[Текущая дата]]-Таблица4[[#This Row],[Дата регистрации клиента]])/30</f>
        <v>39.06666666666667</v>
      </c>
      <c r="J234" t="str">
        <f t="shared" si="13"/>
        <v>Белякова</v>
      </c>
      <c r="K234" t="str">
        <f t="shared" si="14"/>
        <v>Юлия</v>
      </c>
      <c r="L234" t="str">
        <f t="shared" si="15"/>
        <v>Геннадиевна</v>
      </c>
    </row>
    <row r="235" spans="1:12" x14ac:dyDescent="0.25">
      <c r="A235">
        <v>231</v>
      </c>
      <c r="B235" t="s">
        <v>429</v>
      </c>
      <c r="C235" s="35" t="s">
        <v>428</v>
      </c>
      <c r="D235" t="s">
        <v>140</v>
      </c>
      <c r="E235" s="23">
        <v>44752</v>
      </c>
      <c r="F235" t="str">
        <f>LEFT(Таблица4[[#This Row],[номер телефона клиента]],LEN(Таблица4[[#This Row],[номер телефона клиента]])-13)</f>
        <v>+7</v>
      </c>
      <c r="G235" t="str">
        <f>_xlfn.XLOOKUP(Таблица4[[#This Row],[Коды телефона]],Таблица5[Код],Таблица5[Страна],"Не найдено",0)</f>
        <v>Россия</v>
      </c>
      <c r="H235" s="23">
        <f t="shared" ca="1" si="12"/>
        <v>46020</v>
      </c>
      <c r="I235" s="19">
        <f ca="1">(Таблица4[[#This Row],[Текущая дата]]-Таблица4[[#This Row],[Дата регистрации клиента]])/30</f>
        <v>42.266666666666666</v>
      </c>
      <c r="J235" t="str">
        <f t="shared" si="13"/>
        <v>Ермаков</v>
      </c>
      <c r="K235" t="str">
        <f t="shared" si="14"/>
        <v>Ярослав</v>
      </c>
      <c r="L235" t="str">
        <f t="shared" si="15"/>
        <v>Тихонович</v>
      </c>
    </row>
    <row r="236" spans="1:12" x14ac:dyDescent="0.25">
      <c r="A236">
        <v>265</v>
      </c>
      <c r="B236" t="s">
        <v>427</v>
      </c>
      <c r="C236" s="35" t="s">
        <v>426</v>
      </c>
      <c r="D236" t="s">
        <v>140</v>
      </c>
      <c r="E236" s="23">
        <v>44756</v>
      </c>
      <c r="F236" t="str">
        <f>LEFT(Таблица4[[#This Row],[номер телефона клиента]],LEN(Таблица4[[#This Row],[номер телефона клиента]])-13)</f>
        <v>+998</v>
      </c>
      <c r="G236" t="str">
        <f>_xlfn.XLOOKUP(Таблица4[[#This Row],[Коды телефона]],Таблица5[Код],Таблица5[Страна],"Не найдено",0)</f>
        <v>Узбекистан</v>
      </c>
      <c r="H236" s="23">
        <f t="shared" ca="1" si="12"/>
        <v>46020</v>
      </c>
      <c r="I236" s="19">
        <f ca="1">(Таблица4[[#This Row],[Текущая дата]]-Таблица4[[#This Row],[Дата регистрации клиента]])/30</f>
        <v>42.133333333333333</v>
      </c>
      <c r="J236" t="str">
        <f t="shared" si="13"/>
        <v>Баранов</v>
      </c>
      <c r="K236" t="str">
        <f t="shared" si="14"/>
        <v>Эраст</v>
      </c>
      <c r="L236" t="str">
        <f t="shared" si="15"/>
        <v>Терентьевич</v>
      </c>
    </row>
    <row r="237" spans="1:12" x14ac:dyDescent="0.25">
      <c r="A237">
        <v>391</v>
      </c>
      <c r="B237" t="s">
        <v>425</v>
      </c>
      <c r="C237" s="35" t="s">
        <v>1209</v>
      </c>
      <c r="D237" t="s">
        <v>142</v>
      </c>
      <c r="E237" s="23">
        <v>44675</v>
      </c>
      <c r="F237" t="str">
        <f>LEFT(Таблица4[[#This Row],[номер телефона клиента]],LEN(Таблица4[[#This Row],[номер телефона клиента]])-13)</f>
        <v>+992</v>
      </c>
      <c r="G237" t="str">
        <f>_xlfn.XLOOKUP(Таблица4[[#This Row],[Коды телефона]],Таблица5[Код],Таблица5[Страна],"Не найдено",0)</f>
        <v>Таджикистан</v>
      </c>
      <c r="H237" s="23">
        <f t="shared" ca="1" si="12"/>
        <v>46020</v>
      </c>
      <c r="I237" s="19">
        <f ca="1">(Таблица4[[#This Row],[Текущая дата]]-Таблица4[[#This Row],[Дата регистрации клиента]])/30</f>
        <v>44.833333333333336</v>
      </c>
      <c r="J237" t="str">
        <f t="shared" si="13"/>
        <v>Воронова</v>
      </c>
      <c r="K237" t="str">
        <f t="shared" si="14"/>
        <v>Вероника</v>
      </c>
      <c r="L237" t="str">
        <f t="shared" si="15"/>
        <v>Геннадьевна</v>
      </c>
    </row>
    <row r="238" spans="1:12" x14ac:dyDescent="0.25">
      <c r="A238">
        <v>355</v>
      </c>
      <c r="B238" t="s">
        <v>424</v>
      </c>
      <c r="C238" s="35" t="s">
        <v>423</v>
      </c>
      <c r="D238" t="s">
        <v>140</v>
      </c>
      <c r="E238" s="23">
        <v>44631</v>
      </c>
      <c r="F238" t="str">
        <f>LEFT(Таблица4[[#This Row],[номер телефона клиента]],LEN(Таблица4[[#This Row],[номер телефона клиента]])-13)</f>
        <v>+7</v>
      </c>
      <c r="G238" t="str">
        <f>_xlfn.XLOOKUP(Таблица4[[#This Row],[Коды телефона]],Таблица5[Код],Таблица5[Страна],"Не найдено",0)</f>
        <v>Россия</v>
      </c>
      <c r="H238" s="23">
        <f t="shared" ca="1" si="12"/>
        <v>46020</v>
      </c>
      <c r="I238" s="19">
        <f ca="1">(Таблица4[[#This Row],[Текущая дата]]-Таблица4[[#This Row],[Дата регистрации клиента]])/30</f>
        <v>46.3</v>
      </c>
      <c r="J238" t="str">
        <f t="shared" si="13"/>
        <v>Назарова</v>
      </c>
      <c r="K238" t="str">
        <f t="shared" si="14"/>
        <v>Ия</v>
      </c>
      <c r="L238" t="str">
        <f t="shared" si="15"/>
        <v>Ивановна</v>
      </c>
    </row>
    <row r="239" spans="1:12" x14ac:dyDescent="0.25">
      <c r="A239">
        <v>277</v>
      </c>
      <c r="B239" t="s">
        <v>422</v>
      </c>
      <c r="C239" s="35" t="s">
        <v>1210</v>
      </c>
      <c r="D239" t="s">
        <v>142</v>
      </c>
      <c r="E239" s="23">
        <v>44750</v>
      </c>
      <c r="F239" t="str">
        <f>LEFT(Таблица4[[#This Row],[номер телефона клиента]],LEN(Таблица4[[#This Row],[номер телефона клиента]])-13)</f>
        <v>+7</v>
      </c>
      <c r="G239" t="str">
        <f>_xlfn.XLOOKUP(Таблица4[[#This Row],[Коды телефона]],Таблица5[Код],Таблица5[Страна],"Не найдено",0)</f>
        <v>Россия</v>
      </c>
      <c r="H239" s="23">
        <f t="shared" ca="1" si="12"/>
        <v>46020</v>
      </c>
      <c r="I239" s="19">
        <f ca="1">(Таблица4[[#This Row],[Текущая дата]]-Таблица4[[#This Row],[Дата регистрации клиента]])/30</f>
        <v>42.333333333333336</v>
      </c>
      <c r="J239" t="str">
        <f t="shared" si="13"/>
        <v>Пономарев</v>
      </c>
      <c r="K239" t="str">
        <f t="shared" si="14"/>
        <v>Любомир</v>
      </c>
      <c r="L239" t="str">
        <f t="shared" si="15"/>
        <v>Архипович</v>
      </c>
    </row>
    <row r="240" spans="1:12" x14ac:dyDescent="0.25">
      <c r="A240">
        <v>104</v>
      </c>
      <c r="B240" t="s">
        <v>421</v>
      </c>
      <c r="C240" s="35" t="s">
        <v>1211</v>
      </c>
      <c r="D240" t="s">
        <v>140</v>
      </c>
      <c r="E240" s="23">
        <v>44772</v>
      </c>
      <c r="F240" t="str">
        <f>LEFT(Таблица4[[#This Row],[номер телефона клиента]],LEN(Таблица4[[#This Row],[номер телефона клиента]])-13)</f>
        <v>+998</v>
      </c>
      <c r="G240" t="str">
        <f>_xlfn.XLOOKUP(Таблица4[[#This Row],[Коды телефона]],Таблица5[Код],Таблица5[Страна],"Не найдено",0)</f>
        <v>Узбекистан</v>
      </c>
      <c r="H240" s="23">
        <f t="shared" ca="1" si="12"/>
        <v>46020</v>
      </c>
      <c r="I240" s="19">
        <f ca="1">(Таблица4[[#This Row],[Текущая дата]]-Таблица4[[#This Row],[Дата регистрации клиента]])/30</f>
        <v>41.6</v>
      </c>
      <c r="J240" t="str">
        <f t="shared" si="13"/>
        <v>Лапина</v>
      </c>
      <c r="K240" t="str">
        <f t="shared" si="14"/>
        <v>Елизавета</v>
      </c>
      <c r="L240" t="str">
        <f t="shared" si="15"/>
        <v>Яковлевна</v>
      </c>
    </row>
    <row r="241" spans="1:12" x14ac:dyDescent="0.25">
      <c r="A241">
        <v>109</v>
      </c>
      <c r="B241" t="s">
        <v>420</v>
      </c>
      <c r="C241" s="35" t="s">
        <v>419</v>
      </c>
      <c r="D241" t="s">
        <v>142</v>
      </c>
      <c r="E241" s="23">
        <v>44732</v>
      </c>
      <c r="F241" t="str">
        <f>LEFT(Таблица4[[#This Row],[номер телефона клиента]],LEN(Таблица4[[#This Row],[номер телефона клиента]])-13)</f>
        <v>+380</v>
      </c>
      <c r="G241" t="str">
        <f>_xlfn.XLOOKUP(Таблица4[[#This Row],[Коды телефона]],Таблица5[Код],Таблица5[Страна],"Не найдено",0)</f>
        <v>Украина</v>
      </c>
      <c r="H241" s="23">
        <f t="shared" ca="1" si="12"/>
        <v>46020</v>
      </c>
      <c r="I241" s="19">
        <f ca="1">(Таблица4[[#This Row],[Текущая дата]]-Таблица4[[#This Row],[Дата регистрации клиента]])/30</f>
        <v>42.93333333333333</v>
      </c>
      <c r="J241" t="str">
        <f t="shared" si="13"/>
        <v>Гурьева</v>
      </c>
      <c r="K241" t="str">
        <f t="shared" si="14"/>
        <v>Людмила</v>
      </c>
      <c r="L241" t="str">
        <f t="shared" si="15"/>
        <v>Владимировна</v>
      </c>
    </row>
    <row r="242" spans="1:12" x14ac:dyDescent="0.25">
      <c r="A242">
        <v>369</v>
      </c>
      <c r="B242" t="s">
        <v>418</v>
      </c>
      <c r="C242" s="35" t="s">
        <v>1212</v>
      </c>
      <c r="D242" t="s">
        <v>142</v>
      </c>
      <c r="E242" s="23">
        <v>44678</v>
      </c>
      <c r="F242" t="str">
        <f>LEFT(Таблица4[[#This Row],[номер телефона клиента]],LEN(Таблица4[[#This Row],[номер телефона клиента]])-13)</f>
        <v>+7</v>
      </c>
      <c r="G242" t="str">
        <f>_xlfn.XLOOKUP(Таблица4[[#This Row],[Коды телефона]],Таблица5[Код],Таблица5[Страна],"Не найдено",0)</f>
        <v>Россия</v>
      </c>
      <c r="H242" s="23">
        <f t="shared" ca="1" si="12"/>
        <v>46020</v>
      </c>
      <c r="I242" s="19">
        <f ca="1">(Таблица4[[#This Row],[Текущая дата]]-Таблица4[[#This Row],[Дата регистрации клиента]])/30</f>
        <v>44.733333333333334</v>
      </c>
      <c r="J242" t="str">
        <f t="shared" si="13"/>
        <v>Дементьева</v>
      </c>
      <c r="K242" t="str">
        <f t="shared" si="14"/>
        <v>Фёкла</v>
      </c>
      <c r="L242" t="str">
        <f t="shared" si="15"/>
        <v>Натановна</v>
      </c>
    </row>
    <row r="243" spans="1:12" x14ac:dyDescent="0.25">
      <c r="A243">
        <v>78</v>
      </c>
      <c r="B243" t="s">
        <v>417</v>
      </c>
      <c r="C243" s="35" t="s">
        <v>416</v>
      </c>
      <c r="D243" t="s">
        <v>142</v>
      </c>
      <c r="E243" s="23">
        <v>44658</v>
      </c>
      <c r="F243" t="str">
        <f>LEFT(Таблица4[[#This Row],[номер телефона клиента]],LEN(Таблица4[[#This Row],[номер телефона клиента]])-13)</f>
        <v>+380</v>
      </c>
      <c r="G243" t="str">
        <f>_xlfn.XLOOKUP(Таблица4[[#This Row],[Коды телефона]],Таблица5[Код],Таблица5[Страна],"Не найдено",0)</f>
        <v>Украина</v>
      </c>
      <c r="H243" s="23">
        <f t="shared" ca="1" si="12"/>
        <v>46020</v>
      </c>
      <c r="I243" s="19">
        <f ca="1">(Таблица4[[#This Row],[Текущая дата]]-Таблица4[[#This Row],[Дата регистрации клиента]])/30</f>
        <v>45.4</v>
      </c>
      <c r="J243" t="str">
        <f t="shared" si="13"/>
        <v>Маслова</v>
      </c>
      <c r="K243" t="str">
        <f t="shared" si="14"/>
        <v>Иванна</v>
      </c>
      <c r="L243" t="str">
        <f t="shared" si="15"/>
        <v>Макаровна</v>
      </c>
    </row>
    <row r="244" spans="1:12" x14ac:dyDescent="0.25">
      <c r="A244">
        <v>66</v>
      </c>
      <c r="B244" t="s">
        <v>415</v>
      </c>
      <c r="C244" s="35" t="s">
        <v>1213</v>
      </c>
      <c r="D244" t="s">
        <v>140</v>
      </c>
      <c r="E244" s="23">
        <v>44777</v>
      </c>
      <c r="F244" t="str">
        <f>LEFT(Таблица4[[#This Row],[номер телефона клиента]],LEN(Таблица4[[#This Row],[номер телефона клиента]])-13)</f>
        <v>+7</v>
      </c>
      <c r="G244" t="str">
        <f>_xlfn.XLOOKUP(Таблица4[[#This Row],[Коды телефона]],Таблица5[Код],Таблица5[Страна],"Не найдено",0)</f>
        <v>Россия</v>
      </c>
      <c r="H244" s="23">
        <f t="shared" ca="1" si="12"/>
        <v>46020</v>
      </c>
      <c r="I244" s="19">
        <f ca="1">(Таблица4[[#This Row],[Текущая дата]]-Таблица4[[#This Row],[Дата регистрации клиента]])/30</f>
        <v>41.43333333333333</v>
      </c>
      <c r="J244" t="str">
        <f t="shared" si="13"/>
        <v>Ковалева</v>
      </c>
      <c r="K244" t="str">
        <f t="shared" si="14"/>
        <v>Клавдия</v>
      </c>
      <c r="L244" t="str">
        <f t="shared" si="15"/>
        <v>Богдановна</v>
      </c>
    </row>
    <row r="245" spans="1:12" x14ac:dyDescent="0.25">
      <c r="A245">
        <v>261</v>
      </c>
      <c r="B245" t="s">
        <v>414</v>
      </c>
      <c r="C245" s="35" t="s">
        <v>413</v>
      </c>
      <c r="D245" t="s">
        <v>142</v>
      </c>
      <c r="E245" s="23">
        <v>44848</v>
      </c>
      <c r="F245" t="str">
        <f>LEFT(Таблица4[[#This Row],[номер телефона клиента]],LEN(Таблица4[[#This Row],[номер телефона клиента]])-13)</f>
        <v>+7</v>
      </c>
      <c r="G245" t="str">
        <f>_xlfn.XLOOKUP(Таблица4[[#This Row],[Коды телефона]],Таблица5[Код],Таблица5[Страна],"Не найдено",0)</f>
        <v>Россия</v>
      </c>
      <c r="H245" s="23">
        <f t="shared" ca="1" si="12"/>
        <v>46020</v>
      </c>
      <c r="I245" s="19">
        <f ca="1">(Таблица4[[#This Row],[Текущая дата]]-Таблица4[[#This Row],[Дата регистрации клиента]])/30</f>
        <v>39.06666666666667</v>
      </c>
      <c r="J245" t="str">
        <f t="shared" si="13"/>
        <v>Евсеев</v>
      </c>
      <c r="K245" t="str">
        <f t="shared" si="14"/>
        <v>Ратмир</v>
      </c>
      <c r="L245" t="str">
        <f t="shared" si="15"/>
        <v>Артемьевич</v>
      </c>
    </row>
    <row r="246" spans="1:12" x14ac:dyDescent="0.25">
      <c r="A246">
        <v>307</v>
      </c>
      <c r="B246" t="s">
        <v>412</v>
      </c>
      <c r="C246" s="35" t="s">
        <v>1214</v>
      </c>
      <c r="D246" t="s">
        <v>142</v>
      </c>
      <c r="E246" s="23">
        <v>44764</v>
      </c>
      <c r="F246" t="str">
        <f>LEFT(Таблица4[[#This Row],[номер телефона клиента]],LEN(Таблица4[[#This Row],[номер телефона клиента]])-13)</f>
        <v>+375</v>
      </c>
      <c r="G246" t="str">
        <f>_xlfn.XLOOKUP(Таблица4[[#This Row],[Коды телефона]],Таблица5[Код],Таблица5[Страна],"Не найдено",0)</f>
        <v>Беларусь</v>
      </c>
      <c r="H246" s="23">
        <f t="shared" ca="1" si="12"/>
        <v>46020</v>
      </c>
      <c r="I246" s="19">
        <f ca="1">(Таблица4[[#This Row],[Текущая дата]]-Таблица4[[#This Row],[Дата регистрации клиента]])/30</f>
        <v>41.866666666666667</v>
      </c>
      <c r="J246" t="str">
        <f t="shared" si="13"/>
        <v>Хохлова</v>
      </c>
      <c r="K246" t="str">
        <f t="shared" si="14"/>
        <v>Клавдия</v>
      </c>
      <c r="L246" t="str">
        <f t="shared" si="15"/>
        <v>Константиновна</v>
      </c>
    </row>
    <row r="247" spans="1:12" x14ac:dyDescent="0.25">
      <c r="A247">
        <v>144</v>
      </c>
      <c r="B247" t="s">
        <v>411</v>
      </c>
      <c r="C247" s="35" t="s">
        <v>1215</v>
      </c>
      <c r="D247" t="s">
        <v>142</v>
      </c>
      <c r="E247" s="23">
        <v>44705</v>
      </c>
      <c r="F247" t="str">
        <f>LEFT(Таблица4[[#This Row],[номер телефона клиента]],LEN(Таблица4[[#This Row],[номер телефона клиента]])-13)</f>
        <v>+380</v>
      </c>
      <c r="G247" t="str">
        <f>_xlfn.XLOOKUP(Таблица4[[#This Row],[Коды телефона]],Таблица5[Код],Таблица5[Страна],"Не найдено",0)</f>
        <v>Украина</v>
      </c>
      <c r="H247" s="23">
        <f t="shared" ca="1" si="12"/>
        <v>46020</v>
      </c>
      <c r="I247" s="19">
        <f ca="1">(Таблица4[[#This Row],[Текущая дата]]-Таблица4[[#This Row],[Дата регистрации клиента]])/30</f>
        <v>43.833333333333336</v>
      </c>
      <c r="J247" t="str">
        <f t="shared" si="13"/>
        <v>Фролова</v>
      </c>
      <c r="K247" t="str">
        <f t="shared" si="14"/>
        <v>Анастасия</v>
      </c>
      <c r="L247" t="str">
        <f t="shared" si="15"/>
        <v>Альбертовна</v>
      </c>
    </row>
    <row r="248" spans="1:12" x14ac:dyDescent="0.25">
      <c r="A248">
        <v>76</v>
      </c>
      <c r="B248" t="s">
        <v>410</v>
      </c>
      <c r="C248" s="35" t="s">
        <v>409</v>
      </c>
      <c r="D248" t="s">
        <v>142</v>
      </c>
      <c r="E248" s="23">
        <v>44575</v>
      </c>
      <c r="F248" t="str">
        <f>LEFT(Таблица4[[#This Row],[номер телефона клиента]],LEN(Таблица4[[#This Row],[номер телефона клиента]])-13)</f>
        <v>+375</v>
      </c>
      <c r="G248" t="str">
        <f>_xlfn.XLOOKUP(Таблица4[[#This Row],[Коды телефона]],Таблица5[Код],Таблица5[Страна],"Не найдено",0)</f>
        <v>Беларусь</v>
      </c>
      <c r="H248" s="23">
        <f t="shared" ca="1" si="12"/>
        <v>46020</v>
      </c>
      <c r="I248" s="19">
        <f ca="1">(Таблица4[[#This Row],[Текущая дата]]-Таблица4[[#This Row],[Дата регистрации клиента]])/30</f>
        <v>48.166666666666664</v>
      </c>
      <c r="J248" t="str">
        <f t="shared" si="13"/>
        <v>Федосеева</v>
      </c>
      <c r="K248" t="str">
        <f t="shared" si="14"/>
        <v>Василиса</v>
      </c>
      <c r="L248" t="str">
        <f t="shared" si="15"/>
        <v>Аскольдовна</v>
      </c>
    </row>
    <row r="249" spans="1:12" x14ac:dyDescent="0.25">
      <c r="A249">
        <v>84</v>
      </c>
      <c r="B249" t="s">
        <v>408</v>
      </c>
      <c r="C249" s="35" t="s">
        <v>1216</v>
      </c>
      <c r="D249" t="s">
        <v>140</v>
      </c>
      <c r="E249" s="23">
        <v>44805</v>
      </c>
      <c r="F249" t="str">
        <f>LEFT(Таблица4[[#This Row],[номер телефона клиента]],LEN(Таблица4[[#This Row],[номер телефона клиента]])-13)</f>
        <v>+992</v>
      </c>
      <c r="G249" t="str">
        <f>_xlfn.XLOOKUP(Таблица4[[#This Row],[Коды телефона]],Таблица5[Код],Таблица5[Страна],"Не найдено",0)</f>
        <v>Таджикистан</v>
      </c>
      <c r="H249" s="23">
        <f t="shared" ca="1" si="12"/>
        <v>46020</v>
      </c>
      <c r="I249" s="19">
        <f ca="1">(Таблица4[[#This Row],[Текущая дата]]-Таблица4[[#This Row],[Дата регистрации клиента]])/30</f>
        <v>40.5</v>
      </c>
      <c r="J249" t="str">
        <f t="shared" si="13"/>
        <v>Рожкова</v>
      </c>
      <c r="K249" t="str">
        <f t="shared" si="14"/>
        <v>Евгения</v>
      </c>
      <c r="L249" t="str">
        <f t="shared" si="15"/>
        <v>Георгиевна</v>
      </c>
    </row>
    <row r="250" spans="1:12" x14ac:dyDescent="0.25">
      <c r="A250">
        <v>81</v>
      </c>
      <c r="B250" t="s">
        <v>407</v>
      </c>
      <c r="C250" s="35" t="s">
        <v>1217</v>
      </c>
      <c r="D250" t="s">
        <v>142</v>
      </c>
      <c r="E250" s="23">
        <v>44825</v>
      </c>
      <c r="F250" t="str">
        <f>LEFT(Таблица4[[#This Row],[номер телефона клиента]],LEN(Таблица4[[#This Row],[номер телефона клиента]])-13)</f>
        <v>+7</v>
      </c>
      <c r="G250" t="str">
        <f>_xlfn.XLOOKUP(Таблица4[[#This Row],[Коды телефона]],Таблица5[Код],Таблица5[Страна],"Не найдено",0)</f>
        <v>Россия</v>
      </c>
      <c r="H250" s="23">
        <f t="shared" ca="1" si="12"/>
        <v>46020</v>
      </c>
      <c r="I250" s="19">
        <f ca="1">(Таблица4[[#This Row],[Текущая дата]]-Таблица4[[#This Row],[Дата регистрации клиента]])/30</f>
        <v>39.833333333333336</v>
      </c>
      <c r="J250" t="str">
        <f t="shared" si="13"/>
        <v>Авдеева</v>
      </c>
      <c r="K250" t="str">
        <f t="shared" si="14"/>
        <v>Ксения</v>
      </c>
      <c r="L250" t="str">
        <f t="shared" si="15"/>
        <v>Кузьминична</v>
      </c>
    </row>
    <row r="251" spans="1:12" x14ac:dyDescent="0.25">
      <c r="A251">
        <v>157</v>
      </c>
      <c r="B251" t="s">
        <v>406</v>
      </c>
      <c r="C251" s="35" t="s">
        <v>1218</v>
      </c>
      <c r="D251" t="s">
        <v>140</v>
      </c>
      <c r="E251" s="23">
        <v>44783</v>
      </c>
      <c r="F251" t="str">
        <f>LEFT(Таблица4[[#This Row],[номер телефона клиента]],LEN(Таблица4[[#This Row],[номер телефона клиента]])-13)</f>
        <v>+7</v>
      </c>
      <c r="G251" t="str">
        <f>_xlfn.XLOOKUP(Таблица4[[#This Row],[Коды телефона]],Таблица5[Код],Таблица5[Страна],"Не найдено",0)</f>
        <v>Россия</v>
      </c>
      <c r="H251" s="23">
        <f t="shared" ca="1" si="12"/>
        <v>46020</v>
      </c>
      <c r="I251" s="19">
        <f ca="1">(Таблица4[[#This Row],[Текущая дата]]-Таблица4[[#This Row],[Дата регистрации клиента]])/30</f>
        <v>41.233333333333334</v>
      </c>
      <c r="J251" t="str">
        <f t="shared" si="13"/>
        <v>Кудряшова</v>
      </c>
      <c r="K251" t="str">
        <f t="shared" si="14"/>
        <v>Елена</v>
      </c>
      <c r="L251" t="str">
        <f t="shared" si="15"/>
        <v>Эдуардовна</v>
      </c>
    </row>
    <row r="252" spans="1:12" x14ac:dyDescent="0.25">
      <c r="A252">
        <v>57</v>
      </c>
      <c r="B252" t="s">
        <v>405</v>
      </c>
      <c r="C252" s="35" t="s">
        <v>1219</v>
      </c>
      <c r="D252" t="s">
        <v>140</v>
      </c>
      <c r="E252" s="23">
        <v>44669</v>
      </c>
      <c r="F252" t="str">
        <f>LEFT(Таблица4[[#This Row],[номер телефона клиента]],LEN(Таблица4[[#This Row],[номер телефона клиента]])-13)</f>
        <v>+7</v>
      </c>
      <c r="G252" t="str">
        <f>_xlfn.XLOOKUP(Таблица4[[#This Row],[Коды телефона]],Таблица5[Код],Таблица5[Страна],"Не найдено",0)</f>
        <v>Россия</v>
      </c>
      <c r="H252" s="23">
        <f t="shared" ca="1" si="12"/>
        <v>46020</v>
      </c>
      <c r="I252" s="19">
        <f ca="1">(Таблица4[[#This Row],[Текущая дата]]-Таблица4[[#This Row],[Дата регистрации клиента]])/30</f>
        <v>45.033333333333331</v>
      </c>
      <c r="J252" t="str">
        <f t="shared" si="13"/>
        <v>Колесников</v>
      </c>
      <c r="K252" t="str">
        <f t="shared" si="14"/>
        <v>Константин</v>
      </c>
      <c r="L252" t="str">
        <f t="shared" si="15"/>
        <v>Ефимьевич</v>
      </c>
    </row>
    <row r="253" spans="1:12" x14ac:dyDescent="0.25">
      <c r="A253">
        <v>479</v>
      </c>
      <c r="B253" t="s">
        <v>404</v>
      </c>
      <c r="C253" s="35" t="s">
        <v>1220</v>
      </c>
      <c r="D253" t="s">
        <v>142</v>
      </c>
      <c r="E253" s="23">
        <v>44793</v>
      </c>
      <c r="F253" t="str">
        <f>LEFT(Таблица4[[#This Row],[номер телефона клиента]],LEN(Таблица4[[#This Row],[номер телефона клиента]])-13)</f>
        <v>+7</v>
      </c>
      <c r="G253" t="str">
        <f>_xlfn.XLOOKUP(Таблица4[[#This Row],[Коды телефона]],Таблица5[Код],Таблица5[Страна],"Не найдено",0)</f>
        <v>Россия</v>
      </c>
      <c r="H253" s="23">
        <f t="shared" ca="1" si="12"/>
        <v>46020</v>
      </c>
      <c r="I253" s="19">
        <f ca="1">(Таблица4[[#This Row],[Текущая дата]]-Таблица4[[#This Row],[Дата регистрации клиента]])/30</f>
        <v>40.9</v>
      </c>
      <c r="J253" t="str">
        <f t="shared" si="13"/>
        <v>Фомина</v>
      </c>
      <c r="K253" t="str">
        <f t="shared" si="14"/>
        <v>Евпраксия</v>
      </c>
      <c r="L253" t="str">
        <f t="shared" si="15"/>
        <v>Федоровна</v>
      </c>
    </row>
    <row r="254" spans="1:12" x14ac:dyDescent="0.25">
      <c r="A254">
        <v>406</v>
      </c>
      <c r="B254" t="s">
        <v>403</v>
      </c>
      <c r="C254" s="35" t="s">
        <v>1221</v>
      </c>
      <c r="D254" t="s">
        <v>142</v>
      </c>
      <c r="E254" s="23">
        <v>44895</v>
      </c>
      <c r="F254" t="str">
        <f>LEFT(Таблица4[[#This Row],[номер телефона клиента]],LEN(Таблица4[[#This Row],[номер телефона клиента]])-13)</f>
        <v>+380</v>
      </c>
      <c r="G254" t="str">
        <f>_xlfn.XLOOKUP(Таблица4[[#This Row],[Коды телефона]],Таблица5[Код],Таблица5[Страна],"Не найдено",0)</f>
        <v>Украина</v>
      </c>
      <c r="H254" s="23">
        <f t="shared" ca="1" si="12"/>
        <v>46020</v>
      </c>
      <c r="I254" s="19">
        <f ca="1">(Таблица4[[#This Row],[Текущая дата]]-Таблица4[[#This Row],[Дата регистрации клиента]])/30</f>
        <v>37.5</v>
      </c>
      <c r="J254" t="str">
        <f t="shared" si="13"/>
        <v>Денисов</v>
      </c>
      <c r="K254" t="str">
        <f t="shared" si="14"/>
        <v>Дмитрий</v>
      </c>
      <c r="L254" t="str">
        <f t="shared" si="15"/>
        <v>Трифонович</v>
      </c>
    </row>
    <row r="255" spans="1:12" x14ac:dyDescent="0.25">
      <c r="A255">
        <v>56</v>
      </c>
      <c r="B255" t="s">
        <v>402</v>
      </c>
      <c r="C255" s="35" t="s">
        <v>1222</v>
      </c>
      <c r="D255" t="s">
        <v>140</v>
      </c>
      <c r="E255" s="23">
        <v>44662</v>
      </c>
      <c r="F255" t="str">
        <f>LEFT(Таблица4[[#This Row],[номер телефона клиента]],LEN(Таблица4[[#This Row],[номер телефона клиента]])-13)</f>
        <v>+992</v>
      </c>
      <c r="G255" t="str">
        <f>_xlfn.XLOOKUP(Таблица4[[#This Row],[Коды телефона]],Таблица5[Код],Таблица5[Страна],"Не найдено",0)</f>
        <v>Таджикистан</v>
      </c>
      <c r="H255" s="23">
        <f t="shared" ca="1" si="12"/>
        <v>46020</v>
      </c>
      <c r="I255" s="19">
        <f ca="1">(Таблица4[[#This Row],[Текущая дата]]-Таблица4[[#This Row],[Дата регистрации клиента]])/30</f>
        <v>45.266666666666666</v>
      </c>
      <c r="J255" t="str">
        <f t="shared" si="13"/>
        <v>Цветкова</v>
      </c>
      <c r="K255" t="str">
        <f t="shared" si="14"/>
        <v>Пелагея</v>
      </c>
      <c r="L255" t="str">
        <f t="shared" si="15"/>
        <v>Антоновна</v>
      </c>
    </row>
    <row r="256" spans="1:12" x14ac:dyDescent="0.25">
      <c r="A256">
        <v>10</v>
      </c>
      <c r="B256" t="s">
        <v>401</v>
      </c>
      <c r="C256" s="35" t="s">
        <v>400</v>
      </c>
      <c r="D256" t="s">
        <v>140</v>
      </c>
      <c r="E256" s="23">
        <v>44881</v>
      </c>
      <c r="F256" t="str">
        <f>LEFT(Таблица4[[#This Row],[номер телефона клиента]],LEN(Таблица4[[#This Row],[номер телефона клиента]])-13)</f>
        <v>+380</v>
      </c>
      <c r="G256" t="str">
        <f>_xlfn.XLOOKUP(Таблица4[[#This Row],[Коды телефона]],Таблица5[Код],Таблица5[Страна],"Не найдено",0)</f>
        <v>Украина</v>
      </c>
      <c r="H256" s="23">
        <f t="shared" ca="1" si="12"/>
        <v>46020</v>
      </c>
      <c r="I256" s="19">
        <f ca="1">(Таблица4[[#This Row],[Текущая дата]]-Таблица4[[#This Row],[Дата регистрации клиента]])/30</f>
        <v>37.966666666666669</v>
      </c>
      <c r="J256" t="str">
        <f t="shared" si="13"/>
        <v>Давыдов</v>
      </c>
      <c r="K256" t="str">
        <f t="shared" si="14"/>
        <v>Амос</v>
      </c>
      <c r="L256" t="str">
        <f t="shared" si="15"/>
        <v>Владиславович</v>
      </c>
    </row>
    <row r="257" spans="1:12" x14ac:dyDescent="0.25">
      <c r="A257">
        <v>174</v>
      </c>
      <c r="B257" t="s">
        <v>399</v>
      </c>
      <c r="C257" s="35" t="s">
        <v>398</v>
      </c>
      <c r="D257" t="s">
        <v>142</v>
      </c>
      <c r="E257" s="23">
        <v>44779</v>
      </c>
      <c r="F257" t="str">
        <f>LEFT(Таблица4[[#This Row],[номер телефона клиента]],LEN(Таблица4[[#This Row],[номер телефона клиента]])-13)</f>
        <v>+992</v>
      </c>
      <c r="G257" t="str">
        <f>_xlfn.XLOOKUP(Таблица4[[#This Row],[Коды телефона]],Таблица5[Код],Таблица5[Страна],"Не найдено",0)</f>
        <v>Таджикистан</v>
      </c>
      <c r="H257" s="23">
        <f t="shared" ca="1" si="12"/>
        <v>46020</v>
      </c>
      <c r="I257" s="19">
        <f ca="1">(Таблица4[[#This Row],[Текущая дата]]-Таблица4[[#This Row],[Дата регистрации клиента]])/30</f>
        <v>41.366666666666667</v>
      </c>
      <c r="J257" t="str">
        <f t="shared" si="13"/>
        <v>Лазарев</v>
      </c>
      <c r="K257" t="str">
        <f t="shared" si="14"/>
        <v>Аникей</v>
      </c>
      <c r="L257" t="str">
        <f t="shared" si="15"/>
        <v>Венедиктович</v>
      </c>
    </row>
    <row r="258" spans="1:12" x14ac:dyDescent="0.25">
      <c r="A258">
        <v>72</v>
      </c>
      <c r="B258" t="s">
        <v>397</v>
      </c>
      <c r="C258" s="35" t="s">
        <v>396</v>
      </c>
      <c r="D258" t="s">
        <v>142</v>
      </c>
      <c r="E258" s="23">
        <v>44906</v>
      </c>
      <c r="F258" t="str">
        <f>LEFT(Таблица4[[#This Row],[номер телефона клиента]],LEN(Таблица4[[#This Row],[номер телефона клиента]])-13)</f>
        <v>+992</v>
      </c>
      <c r="G258" t="str">
        <f>_xlfn.XLOOKUP(Таблица4[[#This Row],[Коды телефона]],Таблица5[Код],Таблица5[Страна],"Не найдено",0)</f>
        <v>Таджикистан</v>
      </c>
      <c r="H258" s="23">
        <f t="shared" ref="H258:H321" ca="1" si="16">TODAY()</f>
        <v>46020</v>
      </c>
      <c r="I258" s="19">
        <f ca="1">(Таблица4[[#This Row],[Текущая дата]]-Таблица4[[#This Row],[Дата регистрации клиента]])/30</f>
        <v>37.133333333333333</v>
      </c>
      <c r="J258" t="str">
        <f t="shared" ref="J258:J321" si="17">LEFT(C258,FIND(" ",C258)-1)</f>
        <v>Фомина</v>
      </c>
      <c r="K258" t="str">
        <f t="shared" ref="K258:K321" si="18">MID(C258,FIND(" ",C258)+1,FIND(" ",C258,FIND(" ",C258)+1)-FIND(" ",C258)-1)</f>
        <v>Антонина</v>
      </c>
      <c r="L258" t="str">
        <f t="shared" ref="L258:L321" si="19">RIGHT(C258,LEN(C258)-FIND("~",SUBSTITUTE(C258," ","~",2)))</f>
        <v>Павловна</v>
      </c>
    </row>
    <row r="259" spans="1:12" x14ac:dyDescent="0.25">
      <c r="A259">
        <v>38</v>
      </c>
      <c r="B259" t="s">
        <v>395</v>
      </c>
      <c r="C259" s="35" t="s">
        <v>1223</v>
      </c>
      <c r="D259" t="s">
        <v>140</v>
      </c>
      <c r="E259" s="23">
        <v>44819</v>
      </c>
      <c r="F259" t="str">
        <f>LEFT(Таблица4[[#This Row],[номер телефона клиента]],LEN(Таблица4[[#This Row],[номер телефона клиента]])-13)</f>
        <v>+992</v>
      </c>
      <c r="G259" t="str">
        <f>_xlfn.XLOOKUP(Таблица4[[#This Row],[Коды телефона]],Таблица5[Код],Таблица5[Страна],"Не найдено",0)</f>
        <v>Таджикистан</v>
      </c>
      <c r="H259" s="23">
        <f t="shared" ca="1" si="16"/>
        <v>46020</v>
      </c>
      <c r="I259" s="19">
        <f ca="1">(Таблица4[[#This Row],[Текущая дата]]-Таблица4[[#This Row],[Дата регистрации клиента]])/30</f>
        <v>40.033333333333331</v>
      </c>
      <c r="J259" t="str">
        <f t="shared" si="17"/>
        <v>Белоусова</v>
      </c>
      <c r="K259" t="str">
        <f t="shared" si="18"/>
        <v>Ираида</v>
      </c>
      <c r="L259" t="str">
        <f t="shared" si="19"/>
        <v>Феликсовна</v>
      </c>
    </row>
    <row r="260" spans="1:12" x14ac:dyDescent="0.25">
      <c r="A260">
        <v>18</v>
      </c>
      <c r="B260" t="s">
        <v>394</v>
      </c>
      <c r="C260" s="35" t="s">
        <v>1224</v>
      </c>
      <c r="D260" t="s">
        <v>140</v>
      </c>
      <c r="E260" s="23">
        <v>44578</v>
      </c>
      <c r="F260" t="str">
        <f>LEFT(Таблица4[[#This Row],[номер телефона клиента]],LEN(Таблица4[[#This Row],[номер телефона клиента]])-13)</f>
        <v>+380</v>
      </c>
      <c r="G260" t="str">
        <f>_xlfn.XLOOKUP(Таблица4[[#This Row],[Коды телефона]],Таблица5[Код],Таблица5[Страна],"Не найдено",0)</f>
        <v>Украина</v>
      </c>
      <c r="H260" s="23">
        <f t="shared" ca="1" si="16"/>
        <v>46020</v>
      </c>
      <c r="I260" s="19">
        <f ca="1">(Таблица4[[#This Row],[Текущая дата]]-Таблица4[[#This Row],[Дата регистрации клиента]])/30</f>
        <v>48.06666666666667</v>
      </c>
      <c r="J260" t="str">
        <f t="shared" si="17"/>
        <v>Рогова</v>
      </c>
      <c r="K260" t="str">
        <f t="shared" si="18"/>
        <v>Кира</v>
      </c>
      <c r="L260" t="str">
        <f t="shared" si="19"/>
        <v>Степановна</v>
      </c>
    </row>
    <row r="261" spans="1:12" x14ac:dyDescent="0.25">
      <c r="A261">
        <v>88</v>
      </c>
      <c r="B261" t="s">
        <v>393</v>
      </c>
      <c r="C261" s="35" t="s">
        <v>392</v>
      </c>
      <c r="D261" t="s">
        <v>142</v>
      </c>
      <c r="E261" s="23">
        <v>44630</v>
      </c>
      <c r="F261" t="str">
        <f>LEFT(Таблица4[[#This Row],[номер телефона клиента]],LEN(Таблица4[[#This Row],[номер телефона клиента]])-13)</f>
        <v>+380</v>
      </c>
      <c r="G261" t="str">
        <f>_xlfn.XLOOKUP(Таблица4[[#This Row],[Коды телефона]],Таблица5[Код],Таблица5[Страна],"Не найдено",0)</f>
        <v>Украина</v>
      </c>
      <c r="H261" s="23">
        <f t="shared" ca="1" si="16"/>
        <v>46020</v>
      </c>
      <c r="I261" s="19">
        <f ca="1">(Таблица4[[#This Row],[Текущая дата]]-Таблица4[[#This Row],[Дата регистрации клиента]])/30</f>
        <v>46.333333333333336</v>
      </c>
      <c r="J261" t="str">
        <f t="shared" si="17"/>
        <v>Кузнецов</v>
      </c>
      <c r="K261" t="str">
        <f t="shared" si="18"/>
        <v>Севастьян</v>
      </c>
      <c r="L261" t="str">
        <f t="shared" si="19"/>
        <v>Валерьевич</v>
      </c>
    </row>
    <row r="262" spans="1:12" x14ac:dyDescent="0.25">
      <c r="A262">
        <v>129</v>
      </c>
      <c r="B262" t="s">
        <v>391</v>
      </c>
      <c r="C262" s="35" t="s">
        <v>1225</v>
      </c>
      <c r="D262" t="s">
        <v>140</v>
      </c>
      <c r="E262" s="23">
        <v>44868</v>
      </c>
      <c r="F262" t="str">
        <f>LEFT(Таблица4[[#This Row],[номер телефона клиента]],LEN(Таблица4[[#This Row],[номер телефона клиента]])-13)</f>
        <v>+375</v>
      </c>
      <c r="G262" t="str">
        <f>_xlfn.XLOOKUP(Таблица4[[#This Row],[Коды телефона]],Таблица5[Код],Таблица5[Страна],"Не найдено",0)</f>
        <v>Беларусь</v>
      </c>
      <c r="H262" s="23">
        <f t="shared" ca="1" si="16"/>
        <v>46020</v>
      </c>
      <c r="I262" s="19">
        <f ca="1">(Таблица4[[#This Row],[Текущая дата]]-Таблица4[[#This Row],[Дата регистрации клиента]])/30</f>
        <v>38.4</v>
      </c>
      <c r="J262" t="str">
        <f t="shared" si="17"/>
        <v>Родионова</v>
      </c>
      <c r="K262" t="str">
        <f t="shared" si="18"/>
        <v>Ираида</v>
      </c>
      <c r="L262" t="str">
        <f t="shared" si="19"/>
        <v>Егоровна</v>
      </c>
    </row>
    <row r="263" spans="1:12" x14ac:dyDescent="0.25">
      <c r="A263">
        <v>19</v>
      </c>
      <c r="B263" t="s">
        <v>390</v>
      </c>
      <c r="C263" s="35" t="s">
        <v>389</v>
      </c>
      <c r="D263" t="s">
        <v>142</v>
      </c>
      <c r="E263" s="23">
        <v>44902</v>
      </c>
      <c r="F263" t="str">
        <f>LEFT(Таблица4[[#This Row],[номер телефона клиента]],LEN(Таблица4[[#This Row],[номер телефона клиента]])-13)</f>
        <v>+7</v>
      </c>
      <c r="G263" t="str">
        <f>_xlfn.XLOOKUP(Таблица4[[#This Row],[Коды телефона]],Таблица5[Код],Таблица5[Страна],"Не найдено",0)</f>
        <v>Россия</v>
      </c>
      <c r="H263" s="23">
        <f t="shared" ca="1" si="16"/>
        <v>46020</v>
      </c>
      <c r="I263" s="19">
        <f ca="1">(Таблица4[[#This Row],[Текущая дата]]-Таблица4[[#This Row],[Дата регистрации клиента]])/30</f>
        <v>37.266666666666666</v>
      </c>
      <c r="J263" t="str">
        <f t="shared" si="17"/>
        <v>Шубин</v>
      </c>
      <c r="K263" t="str">
        <f t="shared" si="18"/>
        <v>Орест</v>
      </c>
      <c r="L263" t="str">
        <f t="shared" si="19"/>
        <v>Августович</v>
      </c>
    </row>
    <row r="264" spans="1:12" x14ac:dyDescent="0.25">
      <c r="A264">
        <v>304</v>
      </c>
      <c r="B264" t="s">
        <v>388</v>
      </c>
      <c r="C264" s="35" t="s">
        <v>387</v>
      </c>
      <c r="D264" t="s">
        <v>140</v>
      </c>
      <c r="E264" s="23">
        <v>44886</v>
      </c>
      <c r="F264" t="str">
        <f>LEFT(Таблица4[[#This Row],[номер телефона клиента]],LEN(Таблица4[[#This Row],[номер телефона клиента]])-13)</f>
        <v>+7</v>
      </c>
      <c r="G264" t="str">
        <f>_xlfn.XLOOKUP(Таблица4[[#This Row],[Коды телефона]],Таблица5[Код],Таблица5[Страна],"Не найдено",0)</f>
        <v>Россия</v>
      </c>
      <c r="H264" s="23">
        <f t="shared" ca="1" si="16"/>
        <v>46020</v>
      </c>
      <c r="I264" s="19">
        <f ca="1">(Таблица4[[#This Row],[Текущая дата]]-Таблица4[[#This Row],[Дата регистрации клиента]])/30</f>
        <v>37.799999999999997</v>
      </c>
      <c r="J264" t="str">
        <f t="shared" si="17"/>
        <v>Сорокина</v>
      </c>
      <c r="K264" t="str">
        <f t="shared" si="18"/>
        <v>Марфа</v>
      </c>
      <c r="L264" t="str">
        <f t="shared" si="19"/>
        <v>Викторовна</v>
      </c>
    </row>
    <row r="265" spans="1:12" x14ac:dyDescent="0.25">
      <c r="A265">
        <v>285</v>
      </c>
      <c r="B265" t="s">
        <v>386</v>
      </c>
      <c r="C265" s="35" t="s">
        <v>1226</v>
      </c>
      <c r="D265" t="s">
        <v>140</v>
      </c>
      <c r="E265" s="23">
        <v>44922</v>
      </c>
      <c r="F265" t="str">
        <f>LEFT(Таблица4[[#This Row],[номер телефона клиента]],LEN(Таблица4[[#This Row],[номер телефона клиента]])-13)</f>
        <v>+992</v>
      </c>
      <c r="G265" t="str">
        <f>_xlfn.XLOOKUP(Таблица4[[#This Row],[Коды телефона]],Таблица5[Код],Таблица5[Страна],"Не найдено",0)</f>
        <v>Таджикистан</v>
      </c>
      <c r="H265" s="23">
        <f t="shared" ca="1" si="16"/>
        <v>46020</v>
      </c>
      <c r="I265" s="19">
        <f ca="1">(Таблица4[[#This Row],[Текущая дата]]-Таблица4[[#This Row],[Дата регистрации клиента]])/30</f>
        <v>36.6</v>
      </c>
      <c r="J265" t="str">
        <f t="shared" si="17"/>
        <v>Гурьева</v>
      </c>
      <c r="K265" t="str">
        <f t="shared" si="18"/>
        <v>Лариса</v>
      </c>
      <c r="L265" t="str">
        <f t="shared" si="19"/>
        <v>Степановна</v>
      </c>
    </row>
    <row r="266" spans="1:12" x14ac:dyDescent="0.25">
      <c r="A266">
        <v>461</v>
      </c>
      <c r="B266" t="s">
        <v>385</v>
      </c>
      <c r="C266" s="35" t="s">
        <v>1227</v>
      </c>
      <c r="D266" t="s">
        <v>142</v>
      </c>
      <c r="E266" s="23">
        <v>44667</v>
      </c>
      <c r="F266" t="str">
        <f>LEFT(Таблица4[[#This Row],[номер телефона клиента]],LEN(Таблица4[[#This Row],[номер телефона клиента]])-13)</f>
        <v>+998</v>
      </c>
      <c r="G266" t="str">
        <f>_xlfn.XLOOKUP(Таблица4[[#This Row],[Коды телефона]],Таблица5[Код],Таблица5[Страна],"Не найдено",0)</f>
        <v>Узбекистан</v>
      </c>
      <c r="H266" s="23">
        <f t="shared" ca="1" si="16"/>
        <v>46020</v>
      </c>
      <c r="I266" s="19">
        <f ca="1">(Таблица4[[#This Row],[Текущая дата]]-Таблица4[[#This Row],[Дата регистрации клиента]])/30</f>
        <v>45.1</v>
      </c>
      <c r="J266" t="str">
        <f t="shared" si="17"/>
        <v>Михайлова</v>
      </c>
      <c r="K266" t="str">
        <f t="shared" si="18"/>
        <v>Олимпиада</v>
      </c>
      <c r="L266" t="str">
        <f t="shared" si="19"/>
        <v>Львовна</v>
      </c>
    </row>
    <row r="267" spans="1:12" x14ac:dyDescent="0.25">
      <c r="A267">
        <v>278</v>
      </c>
      <c r="B267" t="s">
        <v>384</v>
      </c>
      <c r="C267" s="35" t="s">
        <v>1228</v>
      </c>
      <c r="D267" t="s">
        <v>140</v>
      </c>
      <c r="E267" s="23">
        <v>44920</v>
      </c>
      <c r="F267" t="str">
        <f>LEFT(Таблица4[[#This Row],[номер телефона клиента]],LEN(Таблица4[[#This Row],[номер телефона клиента]])-13)</f>
        <v>+998</v>
      </c>
      <c r="G267" t="str">
        <f>_xlfn.XLOOKUP(Таблица4[[#This Row],[Коды телефона]],Таблица5[Код],Таблица5[Страна],"Не найдено",0)</f>
        <v>Узбекистан</v>
      </c>
      <c r="H267" s="23">
        <f t="shared" ca="1" si="16"/>
        <v>46020</v>
      </c>
      <c r="I267" s="19">
        <f ca="1">(Таблица4[[#This Row],[Текущая дата]]-Таблица4[[#This Row],[Дата регистрации клиента]])/30</f>
        <v>36.666666666666664</v>
      </c>
      <c r="J267" t="str">
        <f t="shared" si="17"/>
        <v>Фролов</v>
      </c>
      <c r="K267" t="str">
        <f t="shared" si="18"/>
        <v>Савватий</v>
      </c>
      <c r="L267" t="str">
        <f t="shared" si="19"/>
        <v>Богданович</v>
      </c>
    </row>
    <row r="268" spans="1:12" x14ac:dyDescent="0.25">
      <c r="A268">
        <v>246</v>
      </c>
      <c r="B268" t="s">
        <v>383</v>
      </c>
      <c r="C268" s="35" t="s">
        <v>1229</v>
      </c>
      <c r="D268" t="s">
        <v>140</v>
      </c>
      <c r="E268" s="23">
        <v>44805</v>
      </c>
      <c r="F268" t="str">
        <f>LEFT(Таблица4[[#This Row],[номер телефона клиента]],LEN(Таблица4[[#This Row],[номер телефона клиента]])-13)</f>
        <v>+998</v>
      </c>
      <c r="G268" t="str">
        <f>_xlfn.XLOOKUP(Таблица4[[#This Row],[Коды телефона]],Таблица5[Код],Таблица5[Страна],"Не найдено",0)</f>
        <v>Узбекистан</v>
      </c>
      <c r="H268" s="23">
        <f t="shared" ca="1" si="16"/>
        <v>46020</v>
      </c>
      <c r="I268" s="19">
        <f ca="1">(Таблица4[[#This Row],[Текущая дата]]-Таблица4[[#This Row],[Дата регистрации клиента]])/30</f>
        <v>40.5</v>
      </c>
      <c r="J268" t="str">
        <f t="shared" si="17"/>
        <v>Миронова</v>
      </c>
      <c r="K268" t="str">
        <f t="shared" si="18"/>
        <v>Евфросиния</v>
      </c>
      <c r="L268" t="str">
        <f t="shared" si="19"/>
        <v>Тимофеевна</v>
      </c>
    </row>
    <row r="269" spans="1:12" x14ac:dyDescent="0.25">
      <c r="A269">
        <v>205</v>
      </c>
      <c r="B269" t="s">
        <v>382</v>
      </c>
      <c r="C269" s="35" t="s">
        <v>381</v>
      </c>
      <c r="D269" t="s">
        <v>142</v>
      </c>
      <c r="E269" s="23">
        <v>44918</v>
      </c>
      <c r="F269" t="str">
        <f>LEFT(Таблица4[[#This Row],[номер телефона клиента]],LEN(Таблица4[[#This Row],[номер телефона клиента]])-13)</f>
        <v>+7</v>
      </c>
      <c r="G269" t="str">
        <f>_xlfn.XLOOKUP(Таблица4[[#This Row],[Коды телефона]],Таблица5[Код],Таблица5[Страна],"Не найдено",0)</f>
        <v>Россия</v>
      </c>
      <c r="H269" s="23">
        <f t="shared" ca="1" si="16"/>
        <v>46020</v>
      </c>
      <c r="I269" s="19">
        <f ca="1">(Таблица4[[#This Row],[Текущая дата]]-Таблица4[[#This Row],[Дата регистрации клиента]])/30</f>
        <v>36.733333333333334</v>
      </c>
      <c r="J269" t="str">
        <f t="shared" si="17"/>
        <v>Назаров</v>
      </c>
      <c r="K269" t="str">
        <f t="shared" si="18"/>
        <v>Пантелеймон</v>
      </c>
      <c r="L269" t="str">
        <f t="shared" si="19"/>
        <v>Трофимович</v>
      </c>
    </row>
    <row r="270" spans="1:12" x14ac:dyDescent="0.25">
      <c r="A270">
        <v>357</v>
      </c>
      <c r="B270" t="s">
        <v>380</v>
      </c>
      <c r="C270" s="35" t="s">
        <v>1230</v>
      </c>
      <c r="D270" t="s">
        <v>142</v>
      </c>
      <c r="E270" s="23">
        <v>44913</v>
      </c>
      <c r="F270" t="str">
        <f>LEFT(Таблица4[[#This Row],[номер телефона клиента]],LEN(Таблица4[[#This Row],[номер телефона клиента]])-13)</f>
        <v>+998</v>
      </c>
      <c r="G270" t="str">
        <f>_xlfn.XLOOKUP(Таблица4[[#This Row],[Коды телефона]],Таблица5[Код],Таблица5[Страна],"Не найдено",0)</f>
        <v>Узбекистан</v>
      </c>
      <c r="H270" s="23">
        <f t="shared" ca="1" si="16"/>
        <v>46020</v>
      </c>
      <c r="I270" s="19">
        <f ca="1">(Таблица4[[#This Row],[Текущая дата]]-Таблица4[[#This Row],[Дата регистрации клиента]])/30</f>
        <v>36.9</v>
      </c>
      <c r="J270" t="str">
        <f t="shared" si="17"/>
        <v>Брагин</v>
      </c>
      <c r="K270" t="str">
        <f t="shared" si="18"/>
        <v>Любим</v>
      </c>
      <c r="L270" t="str">
        <f t="shared" si="19"/>
        <v>Зиновьевич</v>
      </c>
    </row>
    <row r="271" spans="1:12" x14ac:dyDescent="0.25">
      <c r="A271">
        <v>152</v>
      </c>
      <c r="B271" t="s">
        <v>379</v>
      </c>
      <c r="C271" s="35" t="s">
        <v>1231</v>
      </c>
      <c r="D271" t="s">
        <v>140</v>
      </c>
      <c r="E271" s="23">
        <v>44791</v>
      </c>
      <c r="F271" t="str">
        <f>LEFT(Таблица4[[#This Row],[номер телефона клиента]],LEN(Таблица4[[#This Row],[номер телефона клиента]])-13)</f>
        <v>+375</v>
      </c>
      <c r="G271" t="str">
        <f>_xlfn.XLOOKUP(Таблица4[[#This Row],[Коды телефона]],Таблица5[Код],Таблица5[Страна],"Не найдено",0)</f>
        <v>Беларусь</v>
      </c>
      <c r="H271" s="23">
        <f t="shared" ca="1" si="16"/>
        <v>46020</v>
      </c>
      <c r="I271" s="19">
        <f ca="1">(Таблица4[[#This Row],[Текущая дата]]-Таблица4[[#This Row],[Дата регистрации клиента]])/30</f>
        <v>40.966666666666669</v>
      </c>
      <c r="J271" t="str">
        <f t="shared" si="17"/>
        <v>Блинова</v>
      </c>
      <c r="K271" t="str">
        <f t="shared" si="18"/>
        <v>Вероника</v>
      </c>
      <c r="L271" t="str">
        <f t="shared" si="19"/>
        <v>Сергеевна</v>
      </c>
    </row>
    <row r="272" spans="1:12" x14ac:dyDescent="0.25">
      <c r="A272">
        <v>323</v>
      </c>
      <c r="B272" t="s">
        <v>378</v>
      </c>
      <c r="C272" s="35" t="s">
        <v>1232</v>
      </c>
      <c r="D272" t="s">
        <v>142</v>
      </c>
      <c r="E272" s="23">
        <v>44821</v>
      </c>
      <c r="F272" t="str">
        <f>LEFT(Таблица4[[#This Row],[номер телефона клиента]],LEN(Таблица4[[#This Row],[номер телефона клиента]])-13)</f>
        <v>+992</v>
      </c>
      <c r="G272" t="str">
        <f>_xlfn.XLOOKUP(Таблица4[[#This Row],[Коды телефона]],Таблица5[Код],Таблица5[Страна],"Не найдено",0)</f>
        <v>Таджикистан</v>
      </c>
      <c r="H272" s="23">
        <f t="shared" ca="1" si="16"/>
        <v>46020</v>
      </c>
      <c r="I272" s="19">
        <f ca="1">(Таблица4[[#This Row],[Текущая дата]]-Таблица4[[#This Row],[Дата регистрации клиента]])/30</f>
        <v>39.966666666666669</v>
      </c>
      <c r="J272" t="str">
        <f t="shared" si="17"/>
        <v>Белоусова</v>
      </c>
      <c r="K272" t="str">
        <f t="shared" si="18"/>
        <v>Прасковья</v>
      </c>
      <c r="L272" t="str">
        <f t="shared" si="19"/>
        <v>Яковлевна</v>
      </c>
    </row>
    <row r="273" spans="1:12" x14ac:dyDescent="0.25">
      <c r="A273">
        <v>185</v>
      </c>
      <c r="B273" t="s">
        <v>377</v>
      </c>
      <c r="C273" s="35" t="s">
        <v>1233</v>
      </c>
      <c r="D273" t="s">
        <v>140</v>
      </c>
      <c r="E273" s="23">
        <v>44683</v>
      </c>
      <c r="F273" t="str">
        <f>LEFT(Таблица4[[#This Row],[номер телефона клиента]],LEN(Таблица4[[#This Row],[номер телефона клиента]])-13)</f>
        <v>+998</v>
      </c>
      <c r="G273" t="str">
        <f>_xlfn.XLOOKUP(Таблица4[[#This Row],[Коды телефона]],Таблица5[Код],Таблица5[Страна],"Не найдено",0)</f>
        <v>Узбекистан</v>
      </c>
      <c r="H273" s="23">
        <f t="shared" ca="1" si="16"/>
        <v>46020</v>
      </c>
      <c r="I273" s="19">
        <f ca="1">(Таблица4[[#This Row],[Текущая дата]]-Таблица4[[#This Row],[Дата регистрации клиента]])/30</f>
        <v>44.56666666666667</v>
      </c>
      <c r="J273" t="str">
        <f t="shared" si="17"/>
        <v>Коновалов</v>
      </c>
      <c r="K273" t="str">
        <f t="shared" si="18"/>
        <v>Родион</v>
      </c>
      <c r="L273" t="str">
        <f t="shared" si="19"/>
        <v>Яковлевич</v>
      </c>
    </row>
    <row r="274" spans="1:12" x14ac:dyDescent="0.25">
      <c r="A274">
        <v>314</v>
      </c>
      <c r="B274" t="s">
        <v>376</v>
      </c>
      <c r="C274" s="35" t="s">
        <v>375</v>
      </c>
      <c r="D274" t="s">
        <v>140</v>
      </c>
      <c r="E274" s="23">
        <v>44899</v>
      </c>
      <c r="F274" t="str">
        <f>LEFT(Таблица4[[#This Row],[номер телефона клиента]],LEN(Таблица4[[#This Row],[номер телефона клиента]])-13)</f>
        <v>+7</v>
      </c>
      <c r="G274" t="str">
        <f>_xlfn.XLOOKUP(Таблица4[[#This Row],[Коды телефона]],Таблица5[Код],Таблица5[Страна],"Не найдено",0)</f>
        <v>Россия</v>
      </c>
      <c r="H274" s="23">
        <f t="shared" ca="1" si="16"/>
        <v>46020</v>
      </c>
      <c r="I274" s="19">
        <f ca="1">(Таблица4[[#This Row],[Текущая дата]]-Таблица4[[#This Row],[Дата регистрации клиента]])/30</f>
        <v>37.366666666666667</v>
      </c>
      <c r="J274" t="str">
        <f t="shared" si="17"/>
        <v>Артемьева</v>
      </c>
      <c r="K274" t="str">
        <f t="shared" si="18"/>
        <v>София</v>
      </c>
      <c r="L274" t="str">
        <f t="shared" si="19"/>
        <v>Ильинична</v>
      </c>
    </row>
    <row r="275" spans="1:12" x14ac:dyDescent="0.25">
      <c r="A275">
        <v>476</v>
      </c>
      <c r="B275" t="s">
        <v>374</v>
      </c>
      <c r="C275" s="35" t="s">
        <v>373</v>
      </c>
      <c r="D275" t="s">
        <v>142</v>
      </c>
      <c r="E275" s="23">
        <v>44703</v>
      </c>
      <c r="F275" t="str">
        <f>LEFT(Таблица4[[#This Row],[номер телефона клиента]],LEN(Таблица4[[#This Row],[номер телефона клиента]])-13)</f>
        <v>+380</v>
      </c>
      <c r="G275" t="str">
        <f>_xlfn.XLOOKUP(Таблица4[[#This Row],[Коды телефона]],Таблица5[Код],Таблица5[Страна],"Не найдено",0)</f>
        <v>Украина</v>
      </c>
      <c r="H275" s="23">
        <f t="shared" ca="1" si="16"/>
        <v>46020</v>
      </c>
      <c r="I275" s="19">
        <f ca="1">(Таблица4[[#This Row],[Текущая дата]]-Таблица4[[#This Row],[Дата регистрации клиента]])/30</f>
        <v>43.9</v>
      </c>
      <c r="J275" t="str">
        <f t="shared" si="17"/>
        <v>Дьячков</v>
      </c>
      <c r="K275" t="str">
        <f t="shared" si="18"/>
        <v>Серафим</v>
      </c>
      <c r="L275" t="str">
        <f t="shared" si="19"/>
        <v>Дорофеевич</v>
      </c>
    </row>
    <row r="276" spans="1:12" x14ac:dyDescent="0.25">
      <c r="A276">
        <v>375</v>
      </c>
      <c r="B276" t="s">
        <v>372</v>
      </c>
      <c r="C276" s="35" t="s">
        <v>1234</v>
      </c>
      <c r="D276" t="s">
        <v>142</v>
      </c>
      <c r="E276" s="23">
        <v>44674</v>
      </c>
      <c r="F276" t="str">
        <f>LEFT(Таблица4[[#This Row],[номер телефона клиента]],LEN(Таблица4[[#This Row],[номер телефона клиента]])-13)</f>
        <v>+7</v>
      </c>
      <c r="G276" t="str">
        <f>_xlfn.XLOOKUP(Таблица4[[#This Row],[Коды телефона]],Таблица5[Код],Таблица5[Страна],"Не найдено",0)</f>
        <v>Россия</v>
      </c>
      <c r="H276" s="23">
        <f t="shared" ca="1" si="16"/>
        <v>46020</v>
      </c>
      <c r="I276" s="19">
        <f ca="1">(Таблица4[[#This Row],[Текущая дата]]-Таблица4[[#This Row],[Дата регистрации клиента]])/30</f>
        <v>44.866666666666667</v>
      </c>
      <c r="J276" t="str">
        <f t="shared" si="17"/>
        <v>Калашников</v>
      </c>
      <c r="K276" t="str">
        <f t="shared" si="18"/>
        <v>Боян</v>
      </c>
      <c r="L276" t="str">
        <f t="shared" si="19"/>
        <v>Дорофеевич</v>
      </c>
    </row>
    <row r="277" spans="1:12" x14ac:dyDescent="0.25">
      <c r="A277">
        <v>233</v>
      </c>
      <c r="B277" t="s">
        <v>371</v>
      </c>
      <c r="C277" s="35" t="s">
        <v>1235</v>
      </c>
      <c r="D277" t="s">
        <v>142</v>
      </c>
      <c r="E277" s="23">
        <v>44616</v>
      </c>
      <c r="F277" t="str">
        <f>LEFT(Таблица4[[#This Row],[номер телефона клиента]],LEN(Таблица4[[#This Row],[номер телефона клиента]])-13)</f>
        <v>+992</v>
      </c>
      <c r="G277" t="str">
        <f>_xlfn.XLOOKUP(Таблица4[[#This Row],[Коды телефона]],Таблица5[Код],Таблица5[Страна],"Не найдено",0)</f>
        <v>Таджикистан</v>
      </c>
      <c r="H277" s="23">
        <f t="shared" ca="1" si="16"/>
        <v>46020</v>
      </c>
      <c r="I277" s="19">
        <f ca="1">(Таблица4[[#This Row],[Текущая дата]]-Таблица4[[#This Row],[Дата регистрации клиента]])/30</f>
        <v>46.8</v>
      </c>
      <c r="J277" t="str">
        <f t="shared" si="17"/>
        <v>Овчинникова</v>
      </c>
      <c r="K277" t="str">
        <f t="shared" si="18"/>
        <v>Синклитикия</v>
      </c>
      <c r="L277" t="str">
        <f t="shared" si="19"/>
        <v>Никифоровна</v>
      </c>
    </row>
    <row r="278" spans="1:12" x14ac:dyDescent="0.25">
      <c r="A278">
        <v>69</v>
      </c>
      <c r="B278" t="s">
        <v>370</v>
      </c>
      <c r="C278" s="35" t="s">
        <v>1236</v>
      </c>
      <c r="D278" t="s">
        <v>140</v>
      </c>
      <c r="E278" s="23">
        <v>44587</v>
      </c>
      <c r="F278" t="str">
        <f>LEFT(Таблица4[[#This Row],[номер телефона клиента]],LEN(Таблица4[[#This Row],[номер телефона клиента]])-13)</f>
        <v>+992</v>
      </c>
      <c r="G278" t="str">
        <f>_xlfn.XLOOKUP(Таблица4[[#This Row],[Коды телефона]],Таблица5[Код],Таблица5[Страна],"Не найдено",0)</f>
        <v>Таджикистан</v>
      </c>
      <c r="H278" s="23">
        <f t="shared" ca="1" si="16"/>
        <v>46020</v>
      </c>
      <c r="I278" s="19">
        <f ca="1">(Таблица4[[#This Row],[Текущая дата]]-Таблица4[[#This Row],[Дата регистрации клиента]])/30</f>
        <v>47.766666666666666</v>
      </c>
      <c r="J278" t="str">
        <f t="shared" si="17"/>
        <v>Щербаков</v>
      </c>
      <c r="K278" t="str">
        <f t="shared" si="18"/>
        <v>Елизар</v>
      </c>
      <c r="L278" t="str">
        <f t="shared" si="19"/>
        <v>Архипович</v>
      </c>
    </row>
    <row r="279" spans="1:12" x14ac:dyDescent="0.25">
      <c r="A279">
        <v>254</v>
      </c>
      <c r="B279" t="s">
        <v>369</v>
      </c>
      <c r="C279" s="35" t="s">
        <v>1237</v>
      </c>
      <c r="D279" t="s">
        <v>142</v>
      </c>
      <c r="E279" s="23">
        <v>44862</v>
      </c>
      <c r="F279" t="str">
        <f>LEFT(Таблица4[[#This Row],[номер телефона клиента]],LEN(Таблица4[[#This Row],[номер телефона клиента]])-13)</f>
        <v>+375</v>
      </c>
      <c r="G279" t="str">
        <f>_xlfn.XLOOKUP(Таблица4[[#This Row],[Коды телефона]],Таблица5[Код],Таблица5[Страна],"Не найдено",0)</f>
        <v>Беларусь</v>
      </c>
      <c r="H279" s="23">
        <f t="shared" ca="1" si="16"/>
        <v>46020</v>
      </c>
      <c r="I279" s="19">
        <f ca="1">(Таблица4[[#This Row],[Текущая дата]]-Таблица4[[#This Row],[Дата регистрации клиента]])/30</f>
        <v>38.6</v>
      </c>
      <c r="J279" t="str">
        <f t="shared" si="17"/>
        <v>Капустина</v>
      </c>
      <c r="K279" t="str">
        <f t="shared" si="18"/>
        <v>Любовь</v>
      </c>
      <c r="L279" t="str">
        <f t="shared" si="19"/>
        <v>Павловна</v>
      </c>
    </row>
    <row r="280" spans="1:12" x14ac:dyDescent="0.25">
      <c r="A280">
        <v>219</v>
      </c>
      <c r="B280" t="s">
        <v>368</v>
      </c>
      <c r="C280" s="35" t="s">
        <v>1238</v>
      </c>
      <c r="D280" t="s">
        <v>142</v>
      </c>
      <c r="E280" s="23">
        <v>44585</v>
      </c>
      <c r="F280" t="str">
        <f>LEFT(Таблица4[[#This Row],[номер телефона клиента]],LEN(Таблица4[[#This Row],[номер телефона клиента]])-13)</f>
        <v>+992</v>
      </c>
      <c r="G280" t="str">
        <f>_xlfn.XLOOKUP(Таблица4[[#This Row],[Коды телефона]],Таблица5[Код],Таблица5[Страна],"Не найдено",0)</f>
        <v>Таджикистан</v>
      </c>
      <c r="H280" s="23">
        <f t="shared" ca="1" si="16"/>
        <v>46020</v>
      </c>
      <c r="I280" s="19">
        <f ca="1">(Таблица4[[#This Row],[Текущая дата]]-Таблица4[[#This Row],[Дата регистрации клиента]])/30</f>
        <v>47.833333333333336</v>
      </c>
      <c r="J280" t="str">
        <f t="shared" si="17"/>
        <v>Емельянов</v>
      </c>
      <c r="K280" t="str">
        <f t="shared" si="18"/>
        <v>Арсений</v>
      </c>
      <c r="L280" t="str">
        <f t="shared" si="19"/>
        <v>Ермолаевич</v>
      </c>
    </row>
    <row r="281" spans="1:12" x14ac:dyDescent="0.25">
      <c r="A281">
        <v>232</v>
      </c>
      <c r="B281" t="s">
        <v>367</v>
      </c>
      <c r="C281" s="35" t="s">
        <v>1239</v>
      </c>
      <c r="D281" t="s">
        <v>142</v>
      </c>
      <c r="E281" s="23">
        <v>44923</v>
      </c>
      <c r="F281" t="str">
        <f>LEFT(Таблица4[[#This Row],[номер телефона клиента]],LEN(Таблица4[[#This Row],[номер телефона клиента]])-13)</f>
        <v>+992</v>
      </c>
      <c r="G281" t="str">
        <f>_xlfn.XLOOKUP(Таблица4[[#This Row],[Коды телефона]],Таблица5[Код],Таблица5[Страна],"Не найдено",0)</f>
        <v>Таджикистан</v>
      </c>
      <c r="H281" s="23">
        <f t="shared" ca="1" si="16"/>
        <v>46020</v>
      </c>
      <c r="I281" s="19">
        <f ca="1">(Таблица4[[#This Row],[Текущая дата]]-Таблица4[[#This Row],[Дата регистрации клиента]])/30</f>
        <v>36.56666666666667</v>
      </c>
      <c r="J281" t="str">
        <f t="shared" si="17"/>
        <v>Смирнова</v>
      </c>
      <c r="K281" t="str">
        <f t="shared" si="18"/>
        <v>Мария</v>
      </c>
      <c r="L281" t="str">
        <f t="shared" si="19"/>
        <v>Анатольевна</v>
      </c>
    </row>
    <row r="282" spans="1:12" x14ac:dyDescent="0.25">
      <c r="A282">
        <v>372</v>
      </c>
      <c r="B282" t="s">
        <v>366</v>
      </c>
      <c r="C282" s="35" t="s">
        <v>1240</v>
      </c>
      <c r="D282" t="s">
        <v>140</v>
      </c>
      <c r="E282" s="23">
        <v>44772</v>
      </c>
      <c r="F282" t="str">
        <f>LEFT(Таблица4[[#This Row],[номер телефона клиента]],LEN(Таблица4[[#This Row],[номер телефона клиента]])-13)</f>
        <v>+992</v>
      </c>
      <c r="G282" t="str">
        <f>_xlfn.XLOOKUP(Таблица4[[#This Row],[Коды телефона]],Таблица5[Код],Таблица5[Страна],"Не найдено",0)</f>
        <v>Таджикистан</v>
      </c>
      <c r="H282" s="23">
        <f t="shared" ca="1" si="16"/>
        <v>46020</v>
      </c>
      <c r="I282" s="19">
        <f ca="1">(Таблица4[[#This Row],[Текущая дата]]-Таблица4[[#This Row],[Дата регистрации клиента]])/30</f>
        <v>41.6</v>
      </c>
      <c r="J282" t="str">
        <f t="shared" si="17"/>
        <v>Сергеев</v>
      </c>
      <c r="K282" t="str">
        <f t="shared" si="18"/>
        <v>Эдуард</v>
      </c>
      <c r="L282" t="str">
        <f t="shared" si="19"/>
        <v>Фадеевич</v>
      </c>
    </row>
    <row r="283" spans="1:12" x14ac:dyDescent="0.25">
      <c r="A283">
        <v>432</v>
      </c>
      <c r="B283" t="s">
        <v>365</v>
      </c>
      <c r="C283" s="35" t="s">
        <v>1241</v>
      </c>
      <c r="D283" t="s">
        <v>140</v>
      </c>
      <c r="E283" s="23">
        <v>44718</v>
      </c>
      <c r="F283" t="str">
        <f>LEFT(Таблица4[[#This Row],[номер телефона клиента]],LEN(Таблица4[[#This Row],[номер телефона клиента]])-13)</f>
        <v>+992</v>
      </c>
      <c r="G283" t="str">
        <f>_xlfn.XLOOKUP(Таблица4[[#This Row],[Коды телефона]],Таблица5[Код],Таблица5[Страна],"Не найдено",0)</f>
        <v>Таджикистан</v>
      </c>
      <c r="H283" s="23">
        <f t="shared" ca="1" si="16"/>
        <v>46020</v>
      </c>
      <c r="I283" s="19">
        <f ca="1">(Таблица4[[#This Row],[Текущая дата]]-Таблица4[[#This Row],[Дата регистрации клиента]])/30</f>
        <v>43.4</v>
      </c>
      <c r="J283" t="str">
        <f t="shared" si="17"/>
        <v>Белова</v>
      </c>
      <c r="K283" t="str">
        <f t="shared" si="18"/>
        <v>Анастасия</v>
      </c>
      <c r="L283" t="str">
        <f t="shared" si="19"/>
        <v>Игоревна</v>
      </c>
    </row>
    <row r="284" spans="1:12" x14ac:dyDescent="0.25">
      <c r="A284">
        <v>221</v>
      </c>
      <c r="B284" t="s">
        <v>364</v>
      </c>
      <c r="C284" s="35" t="s">
        <v>1242</v>
      </c>
      <c r="D284" t="s">
        <v>142</v>
      </c>
      <c r="E284" s="23">
        <v>44820</v>
      </c>
      <c r="F284" t="str">
        <f>LEFT(Таблица4[[#This Row],[номер телефона клиента]],LEN(Таблица4[[#This Row],[номер телефона клиента]])-13)</f>
        <v>+992</v>
      </c>
      <c r="G284" t="str">
        <f>_xlfn.XLOOKUP(Таблица4[[#This Row],[Коды телефона]],Таблица5[Код],Таблица5[Страна],"Не найдено",0)</f>
        <v>Таджикистан</v>
      </c>
      <c r="H284" s="23">
        <f t="shared" ca="1" si="16"/>
        <v>46020</v>
      </c>
      <c r="I284" s="19">
        <f ca="1">(Таблица4[[#This Row],[Текущая дата]]-Таблица4[[#This Row],[Дата регистрации клиента]])/30</f>
        <v>40</v>
      </c>
      <c r="J284" t="str">
        <f t="shared" si="17"/>
        <v>Мясников</v>
      </c>
      <c r="K284" t="str">
        <f t="shared" si="18"/>
        <v>Демид</v>
      </c>
      <c r="L284" t="str">
        <f t="shared" si="19"/>
        <v>Антонович</v>
      </c>
    </row>
    <row r="285" spans="1:12" x14ac:dyDescent="0.25">
      <c r="A285">
        <v>148</v>
      </c>
      <c r="B285" t="s">
        <v>363</v>
      </c>
      <c r="C285" s="35" t="s">
        <v>1243</v>
      </c>
      <c r="D285" t="s">
        <v>142</v>
      </c>
      <c r="E285" s="23">
        <v>44700</v>
      </c>
      <c r="F285" t="str">
        <f>LEFT(Таблица4[[#This Row],[номер телефона клиента]],LEN(Таблица4[[#This Row],[номер телефона клиента]])-13)</f>
        <v>+7</v>
      </c>
      <c r="G285" t="str">
        <f>_xlfn.XLOOKUP(Таблица4[[#This Row],[Коды телефона]],Таблица5[Код],Таблица5[Страна],"Не найдено",0)</f>
        <v>Россия</v>
      </c>
      <c r="H285" s="23">
        <f t="shared" ca="1" si="16"/>
        <v>46020</v>
      </c>
      <c r="I285" s="19">
        <f ca="1">(Таблица4[[#This Row],[Текущая дата]]-Таблица4[[#This Row],[Дата регистрации клиента]])/30</f>
        <v>44</v>
      </c>
      <c r="J285" t="str">
        <f t="shared" si="17"/>
        <v>Кулагина</v>
      </c>
      <c r="K285" t="str">
        <f t="shared" si="18"/>
        <v>Феврония</v>
      </c>
      <c r="L285" t="str">
        <f t="shared" si="19"/>
        <v>Антоновна</v>
      </c>
    </row>
    <row r="286" spans="1:12" x14ac:dyDescent="0.25">
      <c r="A286">
        <v>209</v>
      </c>
      <c r="B286" t="s">
        <v>362</v>
      </c>
      <c r="C286" s="35" t="s">
        <v>361</v>
      </c>
      <c r="D286" t="s">
        <v>140</v>
      </c>
      <c r="E286" s="23">
        <v>44628</v>
      </c>
      <c r="F286" t="str">
        <f>LEFT(Таблица4[[#This Row],[номер телефона клиента]],LEN(Таблица4[[#This Row],[номер телефона клиента]])-13)</f>
        <v>+7</v>
      </c>
      <c r="G286" t="str">
        <f>_xlfn.XLOOKUP(Таблица4[[#This Row],[Коды телефона]],Таблица5[Код],Таблица5[Страна],"Не найдено",0)</f>
        <v>Россия</v>
      </c>
      <c r="H286" s="23">
        <f t="shared" ca="1" si="16"/>
        <v>46020</v>
      </c>
      <c r="I286" s="19">
        <f ca="1">(Таблица4[[#This Row],[Текущая дата]]-Таблица4[[#This Row],[Дата регистрации клиента]])/30</f>
        <v>46.4</v>
      </c>
      <c r="J286" t="str">
        <f t="shared" si="17"/>
        <v>Ермакова</v>
      </c>
      <c r="K286" t="str">
        <f t="shared" si="18"/>
        <v>Дарья</v>
      </c>
      <c r="L286" t="str">
        <f t="shared" si="19"/>
        <v>Алексеевна</v>
      </c>
    </row>
    <row r="287" spans="1:12" x14ac:dyDescent="0.25">
      <c r="A287">
        <v>263</v>
      </c>
      <c r="B287" t="s">
        <v>360</v>
      </c>
      <c r="C287" s="35" t="s">
        <v>359</v>
      </c>
      <c r="D287" t="s">
        <v>142</v>
      </c>
      <c r="E287" s="23">
        <v>44612</v>
      </c>
      <c r="F287" t="str">
        <f>LEFT(Таблица4[[#This Row],[номер телефона клиента]],LEN(Таблица4[[#This Row],[номер телефона клиента]])-13)</f>
        <v>+992</v>
      </c>
      <c r="G287" t="str">
        <f>_xlfn.XLOOKUP(Таблица4[[#This Row],[Коды телефона]],Таблица5[Код],Таблица5[Страна],"Не найдено",0)</f>
        <v>Таджикистан</v>
      </c>
      <c r="H287" s="23">
        <f t="shared" ca="1" si="16"/>
        <v>46020</v>
      </c>
      <c r="I287" s="19">
        <f ca="1">(Таблица4[[#This Row],[Текущая дата]]-Таблица4[[#This Row],[Дата регистрации клиента]])/30</f>
        <v>46.93333333333333</v>
      </c>
      <c r="J287" t="str">
        <f t="shared" si="17"/>
        <v>Шестакова</v>
      </c>
      <c r="K287" t="str">
        <f t="shared" si="18"/>
        <v>Элеонора</v>
      </c>
      <c r="L287" t="str">
        <f t="shared" si="19"/>
        <v>Дмитриевна</v>
      </c>
    </row>
    <row r="288" spans="1:12" x14ac:dyDescent="0.25">
      <c r="A288">
        <v>101</v>
      </c>
      <c r="B288" t="s">
        <v>358</v>
      </c>
      <c r="C288" s="35" t="s">
        <v>1244</v>
      </c>
      <c r="D288" t="s">
        <v>140</v>
      </c>
      <c r="E288" s="23">
        <v>44727</v>
      </c>
      <c r="F288" t="str">
        <f>LEFT(Таблица4[[#This Row],[номер телефона клиента]],LEN(Таблица4[[#This Row],[номер телефона клиента]])-13)</f>
        <v>+7</v>
      </c>
      <c r="G288" t="str">
        <f>_xlfn.XLOOKUP(Таблица4[[#This Row],[Коды телефона]],Таблица5[Код],Таблица5[Страна],"Не найдено",0)</f>
        <v>Россия</v>
      </c>
      <c r="H288" s="23">
        <f t="shared" ca="1" si="16"/>
        <v>46020</v>
      </c>
      <c r="I288" s="19">
        <f ca="1">(Таблица4[[#This Row],[Текущая дата]]-Таблица4[[#This Row],[Дата регистрации клиента]])/30</f>
        <v>43.1</v>
      </c>
      <c r="J288" t="str">
        <f t="shared" si="17"/>
        <v>Лихачев</v>
      </c>
      <c r="K288" t="str">
        <f t="shared" si="18"/>
        <v>Михей</v>
      </c>
      <c r="L288" t="str">
        <f t="shared" si="19"/>
        <v>Феликсович</v>
      </c>
    </row>
    <row r="289" spans="1:12" x14ac:dyDescent="0.25">
      <c r="A289">
        <v>124</v>
      </c>
      <c r="B289" t="s">
        <v>357</v>
      </c>
      <c r="C289" s="35" t="s">
        <v>1245</v>
      </c>
      <c r="D289" t="s">
        <v>142</v>
      </c>
      <c r="E289" s="23">
        <v>44795</v>
      </c>
      <c r="F289" t="str">
        <f>LEFT(Таблица4[[#This Row],[номер телефона клиента]],LEN(Таблица4[[#This Row],[номер телефона клиента]])-13)</f>
        <v>+7</v>
      </c>
      <c r="G289" t="str">
        <f>_xlfn.XLOOKUP(Таблица4[[#This Row],[Коды телефона]],Таблица5[Код],Таблица5[Страна],"Не найдено",0)</f>
        <v>Россия</v>
      </c>
      <c r="H289" s="23">
        <f t="shared" ca="1" si="16"/>
        <v>46020</v>
      </c>
      <c r="I289" s="19">
        <f ca="1">(Таблица4[[#This Row],[Текущая дата]]-Таблица4[[#This Row],[Дата регистрации клиента]])/30</f>
        <v>40.833333333333336</v>
      </c>
      <c r="J289" t="str">
        <f t="shared" si="17"/>
        <v>Авдеев</v>
      </c>
      <c r="K289" t="str">
        <f t="shared" si="18"/>
        <v>Ираклий</v>
      </c>
      <c r="L289" t="str">
        <f t="shared" si="19"/>
        <v>Изотович</v>
      </c>
    </row>
    <row r="290" spans="1:12" x14ac:dyDescent="0.25">
      <c r="A290">
        <v>257</v>
      </c>
      <c r="B290" t="s">
        <v>356</v>
      </c>
      <c r="C290" s="35" t="s">
        <v>355</v>
      </c>
      <c r="D290" t="s">
        <v>140</v>
      </c>
      <c r="E290" s="23">
        <v>44701</v>
      </c>
      <c r="F290" t="str">
        <f>LEFT(Таблица4[[#This Row],[номер телефона клиента]],LEN(Таблица4[[#This Row],[номер телефона клиента]])-13)</f>
        <v>+7</v>
      </c>
      <c r="G290" t="str">
        <f>_xlfn.XLOOKUP(Таблица4[[#This Row],[Коды телефона]],Таблица5[Код],Таблица5[Страна],"Не найдено",0)</f>
        <v>Россия</v>
      </c>
      <c r="H290" s="23">
        <f t="shared" ca="1" si="16"/>
        <v>46020</v>
      </c>
      <c r="I290" s="19">
        <f ca="1">(Таблица4[[#This Row],[Текущая дата]]-Таблица4[[#This Row],[Дата регистрации клиента]])/30</f>
        <v>43.966666666666669</v>
      </c>
      <c r="J290" t="str">
        <f t="shared" si="17"/>
        <v>Кононова</v>
      </c>
      <c r="K290" t="str">
        <f t="shared" si="18"/>
        <v>Прасковья</v>
      </c>
      <c r="L290" t="str">
        <f t="shared" si="19"/>
        <v>Павловна</v>
      </c>
    </row>
    <row r="291" spans="1:12" x14ac:dyDescent="0.25">
      <c r="A291">
        <v>309</v>
      </c>
      <c r="B291" t="s">
        <v>354</v>
      </c>
      <c r="C291" s="35" t="s">
        <v>1246</v>
      </c>
      <c r="D291" t="s">
        <v>140</v>
      </c>
      <c r="E291" s="23">
        <v>44711</v>
      </c>
      <c r="F291" t="str">
        <f>LEFT(Таблица4[[#This Row],[номер телефона клиента]],LEN(Таблица4[[#This Row],[номер телефона клиента]])-13)</f>
        <v>+7</v>
      </c>
      <c r="G291" t="str">
        <f>_xlfn.XLOOKUP(Таблица4[[#This Row],[Коды телефона]],Таблица5[Код],Таблица5[Страна],"Не найдено",0)</f>
        <v>Россия</v>
      </c>
      <c r="H291" s="23">
        <f t="shared" ca="1" si="16"/>
        <v>46020</v>
      </c>
      <c r="I291" s="19">
        <f ca="1">(Таблица4[[#This Row],[Текущая дата]]-Таблица4[[#This Row],[Дата регистрации клиента]])/30</f>
        <v>43.633333333333333</v>
      </c>
      <c r="J291" t="str">
        <f t="shared" si="17"/>
        <v>Туров</v>
      </c>
      <c r="K291" t="str">
        <f t="shared" si="18"/>
        <v>Любомир</v>
      </c>
      <c r="L291" t="str">
        <f t="shared" si="19"/>
        <v>Валерианович</v>
      </c>
    </row>
    <row r="292" spans="1:12" x14ac:dyDescent="0.25">
      <c r="A292">
        <v>103</v>
      </c>
      <c r="B292" t="s">
        <v>353</v>
      </c>
      <c r="C292" s="35" t="s">
        <v>352</v>
      </c>
      <c r="D292" t="s">
        <v>142</v>
      </c>
      <c r="E292" s="23">
        <v>44787</v>
      </c>
      <c r="F292" t="str">
        <f>LEFT(Таблица4[[#This Row],[номер телефона клиента]],LEN(Таблица4[[#This Row],[номер телефона клиента]])-13)</f>
        <v>+998</v>
      </c>
      <c r="G292" t="str">
        <f>_xlfn.XLOOKUP(Таблица4[[#This Row],[Коды телефона]],Таблица5[Код],Таблица5[Страна],"Не найдено",0)</f>
        <v>Узбекистан</v>
      </c>
      <c r="H292" s="23">
        <f t="shared" ca="1" si="16"/>
        <v>46020</v>
      </c>
      <c r="I292" s="19">
        <f ca="1">(Таблица4[[#This Row],[Текущая дата]]-Таблица4[[#This Row],[Дата регистрации клиента]])/30</f>
        <v>41.1</v>
      </c>
      <c r="J292" t="str">
        <f t="shared" si="17"/>
        <v>Сергеев</v>
      </c>
      <c r="K292" t="str">
        <f t="shared" si="18"/>
        <v>Панкратий</v>
      </c>
      <c r="L292" t="str">
        <f t="shared" si="19"/>
        <v>Теймуразович</v>
      </c>
    </row>
    <row r="293" spans="1:12" x14ac:dyDescent="0.25">
      <c r="A293">
        <v>31</v>
      </c>
      <c r="B293" t="s">
        <v>351</v>
      </c>
      <c r="C293" s="35" t="s">
        <v>1247</v>
      </c>
      <c r="D293" t="s">
        <v>140</v>
      </c>
      <c r="E293" s="23">
        <v>44580</v>
      </c>
      <c r="F293" t="str">
        <f>LEFT(Таблица4[[#This Row],[номер телефона клиента]],LEN(Таблица4[[#This Row],[номер телефона клиента]])-13)</f>
        <v>+380</v>
      </c>
      <c r="G293" t="str">
        <f>_xlfn.XLOOKUP(Таблица4[[#This Row],[Коды телефона]],Таблица5[Код],Таблица5[Страна],"Не найдено",0)</f>
        <v>Украина</v>
      </c>
      <c r="H293" s="23">
        <f t="shared" ca="1" si="16"/>
        <v>46020</v>
      </c>
      <c r="I293" s="19">
        <f ca="1">(Таблица4[[#This Row],[Текущая дата]]-Таблица4[[#This Row],[Дата регистрации клиента]])/30</f>
        <v>48</v>
      </c>
      <c r="J293" t="str">
        <f t="shared" si="17"/>
        <v>Павлова</v>
      </c>
      <c r="K293" t="str">
        <f t="shared" si="18"/>
        <v>Татьяна</v>
      </c>
      <c r="L293" t="str">
        <f t="shared" si="19"/>
        <v>Павловна</v>
      </c>
    </row>
    <row r="294" spans="1:12" x14ac:dyDescent="0.25">
      <c r="A294">
        <v>306</v>
      </c>
      <c r="B294" t="s">
        <v>350</v>
      </c>
      <c r="C294" s="35" t="s">
        <v>349</v>
      </c>
      <c r="D294" t="s">
        <v>142</v>
      </c>
      <c r="E294" s="23">
        <v>44872</v>
      </c>
      <c r="F294" t="str">
        <f>LEFT(Таблица4[[#This Row],[номер телефона клиента]],LEN(Таблица4[[#This Row],[номер телефона клиента]])-13)</f>
        <v>+380</v>
      </c>
      <c r="G294" t="str">
        <f>_xlfn.XLOOKUP(Таблица4[[#This Row],[Коды телефона]],Таблица5[Код],Таблица5[Страна],"Не найдено",0)</f>
        <v>Украина</v>
      </c>
      <c r="H294" s="23">
        <f t="shared" ca="1" si="16"/>
        <v>46020</v>
      </c>
      <c r="I294" s="19">
        <f ca="1">(Таблица4[[#This Row],[Текущая дата]]-Таблица4[[#This Row],[Дата регистрации клиента]])/30</f>
        <v>38.266666666666666</v>
      </c>
      <c r="J294" t="str">
        <f t="shared" si="17"/>
        <v>Поляков</v>
      </c>
      <c r="K294" t="str">
        <f t="shared" si="18"/>
        <v>Силантий</v>
      </c>
      <c r="L294" t="str">
        <f t="shared" si="19"/>
        <v>Адамович</v>
      </c>
    </row>
    <row r="295" spans="1:12" x14ac:dyDescent="0.25">
      <c r="A295">
        <v>383</v>
      </c>
      <c r="B295" t="s">
        <v>348</v>
      </c>
      <c r="C295" s="35" t="s">
        <v>347</v>
      </c>
      <c r="D295" t="s">
        <v>140</v>
      </c>
      <c r="E295" s="23">
        <v>44876</v>
      </c>
      <c r="F295" t="str">
        <f>LEFT(Таблица4[[#This Row],[номер телефона клиента]],LEN(Таблица4[[#This Row],[номер телефона клиента]])-13)</f>
        <v>+380</v>
      </c>
      <c r="G295" t="str">
        <f>_xlfn.XLOOKUP(Таблица4[[#This Row],[Коды телефона]],Таблица5[Код],Таблица5[Страна],"Не найдено",0)</f>
        <v>Украина</v>
      </c>
      <c r="H295" s="23">
        <f t="shared" ca="1" si="16"/>
        <v>46020</v>
      </c>
      <c r="I295" s="19">
        <f ca="1">(Таблица4[[#This Row],[Текущая дата]]-Таблица4[[#This Row],[Дата регистрации клиента]])/30</f>
        <v>38.133333333333333</v>
      </c>
      <c r="J295" t="str">
        <f t="shared" si="17"/>
        <v>Герасимов</v>
      </c>
      <c r="K295" t="str">
        <f t="shared" si="18"/>
        <v>Родион</v>
      </c>
      <c r="L295" t="str">
        <f t="shared" si="19"/>
        <v>Харитонович</v>
      </c>
    </row>
    <row r="296" spans="1:12" x14ac:dyDescent="0.25">
      <c r="A296">
        <v>367</v>
      </c>
      <c r="B296" t="s">
        <v>346</v>
      </c>
      <c r="C296" s="35" t="s">
        <v>1248</v>
      </c>
      <c r="D296" t="s">
        <v>140</v>
      </c>
      <c r="E296" s="23">
        <v>44867</v>
      </c>
      <c r="F296" t="str">
        <f>LEFT(Таблица4[[#This Row],[номер телефона клиента]],LEN(Таблица4[[#This Row],[номер телефона клиента]])-13)</f>
        <v>+992</v>
      </c>
      <c r="G296" t="str">
        <f>_xlfn.XLOOKUP(Таблица4[[#This Row],[Коды телефона]],Таблица5[Код],Таблица5[Страна],"Не найдено",0)</f>
        <v>Таджикистан</v>
      </c>
      <c r="H296" s="23">
        <f t="shared" ca="1" si="16"/>
        <v>46020</v>
      </c>
      <c r="I296" s="19">
        <f ca="1">(Таблица4[[#This Row],[Текущая дата]]-Таблица4[[#This Row],[Дата регистрации клиента]])/30</f>
        <v>38.43333333333333</v>
      </c>
      <c r="J296" t="str">
        <f t="shared" si="17"/>
        <v>Александрова</v>
      </c>
      <c r="K296" t="str">
        <f t="shared" si="18"/>
        <v>Эмилия</v>
      </c>
      <c r="L296" t="str">
        <f t="shared" si="19"/>
        <v>Вадимовна</v>
      </c>
    </row>
    <row r="297" spans="1:12" x14ac:dyDescent="0.25">
      <c r="A297">
        <v>138</v>
      </c>
      <c r="B297" t="s">
        <v>345</v>
      </c>
      <c r="C297" s="35" t="s">
        <v>1249</v>
      </c>
      <c r="D297" t="s">
        <v>142</v>
      </c>
      <c r="E297" s="23">
        <v>44723</v>
      </c>
      <c r="F297" t="str">
        <f>LEFT(Таблица4[[#This Row],[номер телефона клиента]],LEN(Таблица4[[#This Row],[номер телефона клиента]])-13)</f>
        <v>+380</v>
      </c>
      <c r="G297" t="str">
        <f>_xlfn.XLOOKUP(Таблица4[[#This Row],[Коды телефона]],Таблица5[Код],Таблица5[Страна],"Не найдено",0)</f>
        <v>Украина</v>
      </c>
      <c r="H297" s="23">
        <f t="shared" ca="1" si="16"/>
        <v>46020</v>
      </c>
      <c r="I297" s="19">
        <f ca="1">(Таблица4[[#This Row],[Текущая дата]]-Таблица4[[#This Row],[Дата регистрации клиента]])/30</f>
        <v>43.233333333333334</v>
      </c>
      <c r="J297" t="str">
        <f t="shared" si="17"/>
        <v>Журавлева</v>
      </c>
      <c r="K297" t="str">
        <f t="shared" si="18"/>
        <v>Нинель</v>
      </c>
      <c r="L297" t="str">
        <f t="shared" si="19"/>
        <v>Кузьминична</v>
      </c>
    </row>
    <row r="298" spans="1:12" x14ac:dyDescent="0.25">
      <c r="A298">
        <v>158</v>
      </c>
      <c r="B298" t="s">
        <v>344</v>
      </c>
      <c r="C298" s="35" t="s">
        <v>343</v>
      </c>
      <c r="D298" t="s">
        <v>140</v>
      </c>
      <c r="E298" s="23">
        <v>44752</v>
      </c>
      <c r="F298" t="str">
        <f>LEFT(Таблица4[[#This Row],[номер телефона клиента]],LEN(Таблица4[[#This Row],[номер телефона клиента]])-13)</f>
        <v>+998</v>
      </c>
      <c r="G298" t="str">
        <f>_xlfn.XLOOKUP(Таблица4[[#This Row],[Коды телефона]],Таблица5[Код],Таблица5[Страна],"Не найдено",0)</f>
        <v>Узбекистан</v>
      </c>
      <c r="H298" s="23">
        <f t="shared" ca="1" si="16"/>
        <v>46020</v>
      </c>
      <c r="I298" s="19">
        <f ca="1">(Таблица4[[#This Row],[Текущая дата]]-Таблица4[[#This Row],[Дата регистрации клиента]])/30</f>
        <v>42.266666666666666</v>
      </c>
      <c r="J298" t="str">
        <f t="shared" si="17"/>
        <v>Маркова</v>
      </c>
      <c r="K298" t="str">
        <f t="shared" si="18"/>
        <v>Ксения</v>
      </c>
      <c r="L298" t="str">
        <f t="shared" si="19"/>
        <v>Максимовна</v>
      </c>
    </row>
    <row r="299" spans="1:12" x14ac:dyDescent="0.25">
      <c r="A299">
        <v>217</v>
      </c>
      <c r="B299" t="s">
        <v>342</v>
      </c>
      <c r="C299" s="35" t="s">
        <v>341</v>
      </c>
      <c r="D299" t="s">
        <v>140</v>
      </c>
      <c r="E299" s="23">
        <v>44826</v>
      </c>
      <c r="F299" t="str">
        <f>LEFT(Таблица4[[#This Row],[номер телефона клиента]],LEN(Таблица4[[#This Row],[номер телефона клиента]])-13)</f>
        <v>+7</v>
      </c>
      <c r="G299" t="str">
        <f>_xlfn.XLOOKUP(Таблица4[[#This Row],[Коды телефона]],Таблица5[Код],Таблица5[Страна],"Не найдено",0)</f>
        <v>Россия</v>
      </c>
      <c r="H299" s="23">
        <f t="shared" ca="1" si="16"/>
        <v>46020</v>
      </c>
      <c r="I299" s="19">
        <f ca="1">(Таблица4[[#This Row],[Текущая дата]]-Таблица4[[#This Row],[Дата регистрации клиента]])/30</f>
        <v>39.799999999999997</v>
      </c>
      <c r="J299" t="str">
        <f t="shared" si="17"/>
        <v>Фомичев</v>
      </c>
      <c r="K299" t="str">
        <f t="shared" si="18"/>
        <v>Ипполит</v>
      </c>
      <c r="L299" t="str">
        <f t="shared" si="19"/>
        <v>Артурович</v>
      </c>
    </row>
    <row r="300" spans="1:12" x14ac:dyDescent="0.25">
      <c r="A300">
        <v>102</v>
      </c>
      <c r="B300" t="s">
        <v>340</v>
      </c>
      <c r="C300" s="35" t="s">
        <v>1250</v>
      </c>
      <c r="D300" t="s">
        <v>140</v>
      </c>
      <c r="E300" s="23">
        <v>44723</v>
      </c>
      <c r="F300" t="str">
        <f>LEFT(Таблица4[[#This Row],[номер телефона клиента]],LEN(Таблица4[[#This Row],[номер телефона клиента]])-13)</f>
        <v>+998</v>
      </c>
      <c r="G300" t="str">
        <f>_xlfn.XLOOKUP(Таблица4[[#This Row],[Коды телефона]],Таблица5[Код],Таблица5[Страна],"Не найдено",0)</f>
        <v>Узбекистан</v>
      </c>
      <c r="H300" s="23">
        <f t="shared" ca="1" si="16"/>
        <v>46020</v>
      </c>
      <c r="I300" s="19">
        <f ca="1">(Таблица4[[#This Row],[Текущая дата]]-Таблица4[[#This Row],[Дата регистрации клиента]])/30</f>
        <v>43.233333333333334</v>
      </c>
      <c r="J300" t="str">
        <f t="shared" si="17"/>
        <v>Новиков</v>
      </c>
      <c r="K300" t="str">
        <f t="shared" si="18"/>
        <v>Галактион</v>
      </c>
      <c r="L300" t="str">
        <f t="shared" si="19"/>
        <v>Жанович</v>
      </c>
    </row>
    <row r="301" spans="1:12" x14ac:dyDescent="0.25">
      <c r="A301">
        <v>425</v>
      </c>
      <c r="B301" t="s">
        <v>339</v>
      </c>
      <c r="C301" s="35" t="s">
        <v>1251</v>
      </c>
      <c r="D301" t="s">
        <v>140</v>
      </c>
      <c r="E301" s="23">
        <v>44782</v>
      </c>
      <c r="F301" t="str">
        <f>LEFT(Таблица4[[#This Row],[номер телефона клиента]],LEN(Таблица4[[#This Row],[номер телефона клиента]])-13)</f>
        <v>+998</v>
      </c>
      <c r="G301" t="str">
        <f>_xlfn.XLOOKUP(Таблица4[[#This Row],[Коды телефона]],Таблица5[Код],Таблица5[Страна],"Не найдено",0)</f>
        <v>Узбекистан</v>
      </c>
      <c r="H301" s="23">
        <f t="shared" ca="1" si="16"/>
        <v>46020</v>
      </c>
      <c r="I301" s="19">
        <f ca="1">(Таблица4[[#This Row],[Текущая дата]]-Таблица4[[#This Row],[Дата регистрации клиента]])/30</f>
        <v>41.266666666666666</v>
      </c>
      <c r="J301" t="str">
        <f t="shared" si="17"/>
        <v>Белякова</v>
      </c>
      <c r="K301" t="str">
        <f t="shared" si="18"/>
        <v>Алевтина</v>
      </c>
      <c r="L301" t="str">
        <f t="shared" si="19"/>
        <v>Ефимовна</v>
      </c>
    </row>
    <row r="302" spans="1:12" x14ac:dyDescent="0.25">
      <c r="A302">
        <v>43</v>
      </c>
      <c r="B302" t="s">
        <v>338</v>
      </c>
      <c r="C302" s="35" t="s">
        <v>337</v>
      </c>
      <c r="D302" t="s">
        <v>142</v>
      </c>
      <c r="E302" s="23">
        <v>44912</v>
      </c>
      <c r="F302" t="str">
        <f>LEFT(Таблица4[[#This Row],[номер телефона клиента]],LEN(Таблица4[[#This Row],[номер телефона клиента]])-13)</f>
        <v>+7</v>
      </c>
      <c r="G302" t="str">
        <f>_xlfn.XLOOKUP(Таблица4[[#This Row],[Коды телефона]],Таблица5[Код],Таблица5[Страна],"Не найдено",0)</f>
        <v>Россия</v>
      </c>
      <c r="H302" s="23">
        <f t="shared" ca="1" si="16"/>
        <v>46020</v>
      </c>
      <c r="I302" s="19">
        <f ca="1">(Таблица4[[#This Row],[Текущая дата]]-Таблица4[[#This Row],[Дата регистрации клиента]])/30</f>
        <v>36.93333333333333</v>
      </c>
      <c r="J302" t="str">
        <f t="shared" si="17"/>
        <v>Куликова</v>
      </c>
      <c r="K302" t="str">
        <f t="shared" si="18"/>
        <v>Евгения</v>
      </c>
      <c r="L302" t="str">
        <f t="shared" si="19"/>
        <v>Григорьевна</v>
      </c>
    </row>
    <row r="303" spans="1:12" x14ac:dyDescent="0.25">
      <c r="A303">
        <v>326</v>
      </c>
      <c r="B303" t="s">
        <v>336</v>
      </c>
      <c r="C303" s="35" t="s">
        <v>335</v>
      </c>
      <c r="D303" t="s">
        <v>140</v>
      </c>
      <c r="E303" s="23">
        <v>44655</v>
      </c>
      <c r="F303" t="str">
        <f>LEFT(Таблица4[[#This Row],[номер телефона клиента]],LEN(Таблица4[[#This Row],[номер телефона клиента]])-13)</f>
        <v>+7</v>
      </c>
      <c r="G303" t="str">
        <f>_xlfn.XLOOKUP(Таблица4[[#This Row],[Коды телефона]],Таблица5[Код],Таблица5[Страна],"Не найдено",0)</f>
        <v>Россия</v>
      </c>
      <c r="H303" s="23">
        <f t="shared" ca="1" si="16"/>
        <v>46020</v>
      </c>
      <c r="I303" s="19">
        <f ca="1">(Таблица4[[#This Row],[Текущая дата]]-Таблица4[[#This Row],[Дата регистрации клиента]])/30</f>
        <v>45.5</v>
      </c>
      <c r="J303" t="str">
        <f t="shared" si="17"/>
        <v>Кошелева</v>
      </c>
      <c r="K303" t="str">
        <f t="shared" si="18"/>
        <v>Марина</v>
      </c>
      <c r="L303" t="str">
        <f t="shared" si="19"/>
        <v>Рудольфовна</v>
      </c>
    </row>
    <row r="304" spans="1:12" x14ac:dyDescent="0.25">
      <c r="A304">
        <v>402</v>
      </c>
      <c r="B304" t="s">
        <v>334</v>
      </c>
      <c r="C304" s="35" t="s">
        <v>1252</v>
      </c>
      <c r="D304" t="s">
        <v>142</v>
      </c>
      <c r="E304" s="23">
        <v>44742</v>
      </c>
      <c r="F304" t="str">
        <f>LEFT(Таблица4[[#This Row],[номер телефона клиента]],LEN(Таблица4[[#This Row],[номер телефона клиента]])-13)</f>
        <v>+998</v>
      </c>
      <c r="G304" t="str">
        <f>_xlfn.XLOOKUP(Таблица4[[#This Row],[Коды телефона]],Таблица5[Код],Таблица5[Страна],"Не найдено",0)</f>
        <v>Узбекистан</v>
      </c>
      <c r="H304" s="23">
        <f t="shared" ca="1" si="16"/>
        <v>46020</v>
      </c>
      <c r="I304" s="19">
        <f ca="1">(Таблица4[[#This Row],[Текущая дата]]-Таблица4[[#This Row],[Дата регистрации клиента]])/30</f>
        <v>42.6</v>
      </c>
      <c r="J304" t="str">
        <f t="shared" si="17"/>
        <v>Кузьмин</v>
      </c>
      <c r="K304" t="str">
        <f t="shared" si="18"/>
        <v>Пахом</v>
      </c>
      <c r="L304" t="str">
        <f t="shared" si="19"/>
        <v>Даниилович</v>
      </c>
    </row>
    <row r="305" spans="1:12" x14ac:dyDescent="0.25">
      <c r="A305">
        <v>23</v>
      </c>
      <c r="B305" t="s">
        <v>333</v>
      </c>
      <c r="C305" s="35" t="s">
        <v>332</v>
      </c>
      <c r="D305" t="s">
        <v>140</v>
      </c>
      <c r="E305" s="23">
        <v>44706</v>
      </c>
      <c r="F305" t="str">
        <f>LEFT(Таблица4[[#This Row],[номер телефона клиента]],LEN(Таблица4[[#This Row],[номер телефона клиента]])-13)</f>
        <v>+7</v>
      </c>
      <c r="G305" t="str">
        <f>_xlfn.XLOOKUP(Таблица4[[#This Row],[Коды телефона]],Таблица5[Код],Таблица5[Страна],"Не найдено",0)</f>
        <v>Россия</v>
      </c>
      <c r="H305" s="23">
        <f t="shared" ca="1" si="16"/>
        <v>46020</v>
      </c>
      <c r="I305" s="19">
        <f ca="1">(Таблица4[[#This Row],[Текущая дата]]-Таблица4[[#This Row],[Дата регистрации клиента]])/30</f>
        <v>43.8</v>
      </c>
      <c r="J305" t="str">
        <f t="shared" si="17"/>
        <v>Морозова</v>
      </c>
      <c r="K305" t="str">
        <f t="shared" si="18"/>
        <v>Феврония</v>
      </c>
      <c r="L305" t="str">
        <f t="shared" si="19"/>
        <v>Николаевна</v>
      </c>
    </row>
    <row r="306" spans="1:12" x14ac:dyDescent="0.25">
      <c r="A306">
        <v>468</v>
      </c>
      <c r="B306" t="s">
        <v>331</v>
      </c>
      <c r="C306" s="35" t="s">
        <v>1253</v>
      </c>
      <c r="D306" t="s">
        <v>142</v>
      </c>
      <c r="E306" s="23">
        <v>44619</v>
      </c>
      <c r="F306" t="str">
        <f>LEFT(Таблица4[[#This Row],[номер телефона клиента]],LEN(Таблица4[[#This Row],[номер телефона клиента]])-13)</f>
        <v>+998</v>
      </c>
      <c r="G306" t="str">
        <f>_xlfn.XLOOKUP(Таблица4[[#This Row],[Коды телефона]],Таблица5[Код],Таблица5[Страна],"Не найдено",0)</f>
        <v>Узбекистан</v>
      </c>
      <c r="H306" s="23">
        <f t="shared" ca="1" si="16"/>
        <v>46020</v>
      </c>
      <c r="I306" s="19">
        <f ca="1">(Таблица4[[#This Row],[Текущая дата]]-Таблица4[[#This Row],[Дата регистрации клиента]])/30</f>
        <v>46.7</v>
      </c>
      <c r="J306" t="str">
        <f t="shared" si="17"/>
        <v>Потапова</v>
      </c>
      <c r="K306" t="str">
        <f t="shared" si="18"/>
        <v>Дарья</v>
      </c>
      <c r="L306" t="str">
        <f t="shared" si="19"/>
        <v>Степановна</v>
      </c>
    </row>
    <row r="307" spans="1:12" x14ac:dyDescent="0.25">
      <c r="A307">
        <v>141</v>
      </c>
      <c r="B307" t="s">
        <v>330</v>
      </c>
      <c r="C307" s="35" t="s">
        <v>329</v>
      </c>
      <c r="D307" t="s">
        <v>142</v>
      </c>
      <c r="E307" s="23">
        <v>44743</v>
      </c>
      <c r="F307" t="str">
        <f>LEFT(Таблица4[[#This Row],[номер телефона клиента]],LEN(Таблица4[[#This Row],[номер телефона клиента]])-13)</f>
        <v>+7</v>
      </c>
      <c r="G307" t="str">
        <f>_xlfn.XLOOKUP(Таблица4[[#This Row],[Коды телефона]],Таблица5[Код],Таблица5[Страна],"Не найдено",0)</f>
        <v>Россия</v>
      </c>
      <c r="H307" s="23">
        <f t="shared" ca="1" si="16"/>
        <v>46020</v>
      </c>
      <c r="I307" s="19">
        <f ca="1">(Таблица4[[#This Row],[Текущая дата]]-Таблица4[[#This Row],[Дата регистрации клиента]])/30</f>
        <v>42.56666666666667</v>
      </c>
      <c r="J307" t="str">
        <f t="shared" si="17"/>
        <v>Владимиров</v>
      </c>
      <c r="K307" t="str">
        <f t="shared" si="18"/>
        <v>Орест</v>
      </c>
      <c r="L307" t="str">
        <f t="shared" si="19"/>
        <v>Артемьевич</v>
      </c>
    </row>
    <row r="308" spans="1:12" x14ac:dyDescent="0.25">
      <c r="A308">
        <v>182</v>
      </c>
      <c r="B308" t="s">
        <v>328</v>
      </c>
      <c r="C308" s="35" t="s">
        <v>327</v>
      </c>
      <c r="D308" t="s">
        <v>142</v>
      </c>
      <c r="E308" s="23">
        <v>44856</v>
      </c>
      <c r="F308" t="str">
        <f>LEFT(Таблица4[[#This Row],[номер телефона клиента]],LEN(Таблица4[[#This Row],[номер телефона клиента]])-13)</f>
        <v>+998</v>
      </c>
      <c r="G308" t="str">
        <f>_xlfn.XLOOKUP(Таблица4[[#This Row],[Коды телефона]],Таблица5[Код],Таблица5[Страна],"Не найдено",0)</f>
        <v>Узбекистан</v>
      </c>
      <c r="H308" s="23">
        <f t="shared" ca="1" si="16"/>
        <v>46020</v>
      </c>
      <c r="I308" s="19">
        <f ca="1">(Таблица4[[#This Row],[Текущая дата]]-Таблица4[[#This Row],[Дата регистрации клиента]])/30</f>
        <v>38.799999999999997</v>
      </c>
      <c r="J308" t="str">
        <f t="shared" si="17"/>
        <v>Калинин</v>
      </c>
      <c r="K308" t="str">
        <f t="shared" si="18"/>
        <v>Никита</v>
      </c>
      <c r="L308" t="str">
        <f t="shared" si="19"/>
        <v>Артурович</v>
      </c>
    </row>
    <row r="309" spans="1:12" x14ac:dyDescent="0.25">
      <c r="A309">
        <v>225</v>
      </c>
      <c r="B309" t="s">
        <v>326</v>
      </c>
      <c r="C309" s="35" t="s">
        <v>1254</v>
      </c>
      <c r="D309" t="s">
        <v>142</v>
      </c>
      <c r="E309" s="23">
        <v>44827</v>
      </c>
      <c r="F309" t="str">
        <f>LEFT(Таблица4[[#This Row],[номер телефона клиента]],LEN(Таблица4[[#This Row],[номер телефона клиента]])-13)</f>
        <v>+375</v>
      </c>
      <c r="G309" t="str">
        <f>_xlfn.XLOOKUP(Таблица4[[#This Row],[Коды телефона]],Таблица5[Код],Таблица5[Страна],"Не найдено",0)</f>
        <v>Беларусь</v>
      </c>
      <c r="H309" s="23">
        <f t="shared" ca="1" si="16"/>
        <v>46020</v>
      </c>
      <c r="I309" s="19">
        <f ca="1">(Таблица4[[#This Row],[Текущая дата]]-Таблица4[[#This Row],[Дата регистрации клиента]])/30</f>
        <v>39.766666666666666</v>
      </c>
      <c r="J309" t="str">
        <f t="shared" si="17"/>
        <v>Панова</v>
      </c>
      <c r="K309" t="str">
        <f t="shared" si="18"/>
        <v>Зоя</v>
      </c>
      <c r="L309" t="str">
        <f t="shared" si="19"/>
        <v>Вячеславовна</v>
      </c>
    </row>
    <row r="310" spans="1:12" x14ac:dyDescent="0.25">
      <c r="A310">
        <v>151</v>
      </c>
      <c r="B310" t="s">
        <v>325</v>
      </c>
      <c r="C310" s="35" t="s">
        <v>1255</v>
      </c>
      <c r="D310" t="s">
        <v>140</v>
      </c>
      <c r="E310" s="23">
        <v>44923</v>
      </c>
      <c r="F310" t="str">
        <f>LEFT(Таблица4[[#This Row],[номер телефона клиента]],LEN(Таблица4[[#This Row],[номер телефона клиента]])-13)</f>
        <v>+375</v>
      </c>
      <c r="G310" t="str">
        <f>_xlfn.XLOOKUP(Таблица4[[#This Row],[Коды телефона]],Таблица5[Код],Таблица5[Страна],"Не найдено",0)</f>
        <v>Беларусь</v>
      </c>
      <c r="H310" s="23">
        <f t="shared" ca="1" si="16"/>
        <v>46020</v>
      </c>
      <c r="I310" s="19">
        <f ca="1">(Таблица4[[#This Row],[Текущая дата]]-Таблица4[[#This Row],[Дата регистрации клиента]])/30</f>
        <v>36.56666666666667</v>
      </c>
      <c r="J310" t="str">
        <f t="shared" si="17"/>
        <v>Власов</v>
      </c>
      <c r="K310" t="str">
        <f t="shared" si="18"/>
        <v>Лука</v>
      </c>
      <c r="L310" t="str">
        <f t="shared" si="19"/>
        <v>Игнатьевич</v>
      </c>
    </row>
    <row r="311" spans="1:12" x14ac:dyDescent="0.25">
      <c r="A311">
        <v>428</v>
      </c>
      <c r="B311" t="s">
        <v>324</v>
      </c>
      <c r="C311" s="35" t="s">
        <v>1256</v>
      </c>
      <c r="D311" t="s">
        <v>140</v>
      </c>
      <c r="E311" s="23">
        <v>44848</v>
      </c>
      <c r="F311" t="str">
        <f>LEFT(Таблица4[[#This Row],[номер телефона клиента]],LEN(Таблица4[[#This Row],[номер телефона клиента]])-13)</f>
        <v>+375</v>
      </c>
      <c r="G311" t="str">
        <f>_xlfn.XLOOKUP(Таблица4[[#This Row],[Коды телефона]],Таблица5[Код],Таблица5[Страна],"Не найдено",0)</f>
        <v>Беларусь</v>
      </c>
      <c r="H311" s="23">
        <f t="shared" ca="1" si="16"/>
        <v>46020</v>
      </c>
      <c r="I311" s="19">
        <f ca="1">(Таблица4[[#This Row],[Текущая дата]]-Таблица4[[#This Row],[Дата регистрации клиента]])/30</f>
        <v>39.06666666666667</v>
      </c>
      <c r="J311" t="str">
        <f t="shared" si="17"/>
        <v>Беляков</v>
      </c>
      <c r="K311" t="str">
        <f t="shared" si="18"/>
        <v>Лавр</v>
      </c>
      <c r="L311" t="str">
        <f t="shared" si="19"/>
        <v>Харлампович</v>
      </c>
    </row>
    <row r="312" spans="1:12" x14ac:dyDescent="0.25">
      <c r="A312">
        <v>438</v>
      </c>
      <c r="B312" t="s">
        <v>323</v>
      </c>
      <c r="C312" s="35" t="s">
        <v>1257</v>
      </c>
      <c r="D312" t="s">
        <v>142</v>
      </c>
      <c r="E312" s="23">
        <v>44693</v>
      </c>
      <c r="F312" t="str">
        <f>LEFT(Таблица4[[#This Row],[номер телефона клиента]],LEN(Таблица4[[#This Row],[номер телефона клиента]])-13)</f>
        <v>+998</v>
      </c>
      <c r="G312" t="str">
        <f>_xlfn.XLOOKUP(Таблица4[[#This Row],[Коды телефона]],Таблица5[Код],Таблица5[Страна],"Не найдено",0)</f>
        <v>Узбекистан</v>
      </c>
      <c r="H312" s="23">
        <f t="shared" ca="1" si="16"/>
        <v>46020</v>
      </c>
      <c r="I312" s="19">
        <f ca="1">(Таблица4[[#This Row],[Текущая дата]]-Таблица4[[#This Row],[Дата регистрации клиента]])/30</f>
        <v>44.233333333333334</v>
      </c>
      <c r="J312" t="str">
        <f t="shared" si="17"/>
        <v>Дементьева</v>
      </c>
      <c r="K312" t="str">
        <f t="shared" si="18"/>
        <v>Прасковья</v>
      </c>
      <c r="L312" t="str">
        <f t="shared" si="19"/>
        <v>Петровна</v>
      </c>
    </row>
    <row r="313" spans="1:12" x14ac:dyDescent="0.25">
      <c r="A313">
        <v>465</v>
      </c>
      <c r="B313" t="s">
        <v>322</v>
      </c>
      <c r="C313" s="35" t="s">
        <v>1258</v>
      </c>
      <c r="D313" t="s">
        <v>140</v>
      </c>
      <c r="E313" s="23">
        <v>44671</v>
      </c>
      <c r="F313" t="str">
        <f>LEFT(Таблица4[[#This Row],[номер телефона клиента]],LEN(Таблица4[[#This Row],[номер телефона клиента]])-13)</f>
        <v>+998</v>
      </c>
      <c r="G313" t="str">
        <f>_xlfn.XLOOKUP(Таблица4[[#This Row],[Коды телефона]],Таблица5[Код],Таблица5[Страна],"Не найдено",0)</f>
        <v>Узбекистан</v>
      </c>
      <c r="H313" s="23">
        <f t="shared" ca="1" si="16"/>
        <v>46020</v>
      </c>
      <c r="I313" s="19">
        <f ca="1">(Таблица4[[#This Row],[Текущая дата]]-Таблица4[[#This Row],[Дата регистрации клиента]])/30</f>
        <v>44.966666666666669</v>
      </c>
      <c r="J313" t="str">
        <f t="shared" si="17"/>
        <v>Карпова</v>
      </c>
      <c r="K313" t="str">
        <f t="shared" si="18"/>
        <v>Евдокия</v>
      </c>
      <c r="L313" t="str">
        <f t="shared" si="19"/>
        <v>Ефимовна</v>
      </c>
    </row>
    <row r="314" spans="1:12" x14ac:dyDescent="0.25">
      <c r="A314">
        <v>215</v>
      </c>
      <c r="B314" t="s">
        <v>321</v>
      </c>
      <c r="C314" s="35" t="s">
        <v>1259</v>
      </c>
      <c r="D314" t="s">
        <v>140</v>
      </c>
      <c r="E314" s="23">
        <v>44799</v>
      </c>
      <c r="F314" t="str">
        <f>LEFT(Таблица4[[#This Row],[номер телефона клиента]],LEN(Таблица4[[#This Row],[номер телефона клиента]])-13)</f>
        <v>+7</v>
      </c>
      <c r="G314" t="str">
        <f>_xlfn.XLOOKUP(Таблица4[[#This Row],[Коды телефона]],Таблица5[Код],Таблица5[Страна],"Не найдено",0)</f>
        <v>Россия</v>
      </c>
      <c r="H314" s="23">
        <f t="shared" ca="1" si="16"/>
        <v>46020</v>
      </c>
      <c r="I314" s="19">
        <f ca="1">(Таблица4[[#This Row],[Текущая дата]]-Таблица4[[#This Row],[Дата регистрации клиента]])/30</f>
        <v>40.700000000000003</v>
      </c>
      <c r="J314" t="str">
        <f t="shared" si="17"/>
        <v>Комиссаров</v>
      </c>
      <c r="K314" t="str">
        <f t="shared" si="18"/>
        <v>Корнил</v>
      </c>
      <c r="L314" t="str">
        <f t="shared" si="19"/>
        <v>Адрианович</v>
      </c>
    </row>
    <row r="315" spans="1:12" x14ac:dyDescent="0.25">
      <c r="A315">
        <v>15</v>
      </c>
      <c r="B315" t="s">
        <v>320</v>
      </c>
      <c r="C315" s="35" t="s">
        <v>1260</v>
      </c>
      <c r="D315" t="s">
        <v>140</v>
      </c>
      <c r="E315" s="23">
        <v>44711</v>
      </c>
      <c r="F315" t="str">
        <f>LEFT(Таблица4[[#This Row],[номер телефона клиента]],LEN(Таблица4[[#This Row],[номер телефона клиента]])-13)</f>
        <v>+380</v>
      </c>
      <c r="G315" t="str">
        <f>_xlfn.XLOOKUP(Таблица4[[#This Row],[Коды телефона]],Таблица5[Код],Таблица5[Страна],"Не найдено",0)</f>
        <v>Украина</v>
      </c>
      <c r="H315" s="23">
        <f t="shared" ca="1" si="16"/>
        <v>46020</v>
      </c>
      <c r="I315" s="19">
        <f ca="1">(Таблица4[[#This Row],[Текущая дата]]-Таблица4[[#This Row],[Дата регистрации клиента]])/30</f>
        <v>43.633333333333333</v>
      </c>
      <c r="J315" t="str">
        <f t="shared" si="17"/>
        <v>Блинов</v>
      </c>
      <c r="K315" t="str">
        <f t="shared" si="18"/>
        <v>Алексей</v>
      </c>
      <c r="L315" t="str">
        <f t="shared" si="19"/>
        <v>Трифонович</v>
      </c>
    </row>
    <row r="316" spans="1:12" x14ac:dyDescent="0.25">
      <c r="A316">
        <v>370</v>
      </c>
      <c r="B316" t="s">
        <v>319</v>
      </c>
      <c r="C316" s="35" t="s">
        <v>318</v>
      </c>
      <c r="D316" t="s">
        <v>142</v>
      </c>
      <c r="E316" s="23">
        <v>44726</v>
      </c>
      <c r="F316" t="str">
        <f>LEFT(Таблица4[[#This Row],[номер телефона клиента]],LEN(Таблица4[[#This Row],[номер телефона клиента]])-13)</f>
        <v>+992</v>
      </c>
      <c r="G316" t="str">
        <f>_xlfn.XLOOKUP(Таблица4[[#This Row],[Коды телефона]],Таблица5[Код],Таблица5[Страна],"Не найдено",0)</f>
        <v>Таджикистан</v>
      </c>
      <c r="H316" s="23">
        <f t="shared" ca="1" si="16"/>
        <v>46020</v>
      </c>
      <c r="I316" s="19">
        <f ca="1">(Таблица4[[#This Row],[Текущая дата]]-Таблица4[[#This Row],[Дата регистрации клиента]])/30</f>
        <v>43.133333333333333</v>
      </c>
      <c r="J316" t="str">
        <f t="shared" si="17"/>
        <v>Орехова</v>
      </c>
      <c r="K316" t="str">
        <f t="shared" si="18"/>
        <v>Кира</v>
      </c>
      <c r="L316" t="str">
        <f t="shared" si="19"/>
        <v>Натановна</v>
      </c>
    </row>
    <row r="317" spans="1:12" x14ac:dyDescent="0.25">
      <c r="A317">
        <v>80</v>
      </c>
      <c r="B317" t="s">
        <v>317</v>
      </c>
      <c r="C317" s="35" t="s">
        <v>1261</v>
      </c>
      <c r="D317" t="s">
        <v>140</v>
      </c>
      <c r="E317" s="23">
        <v>44623</v>
      </c>
      <c r="F317" t="str">
        <f>LEFT(Таблица4[[#This Row],[номер телефона клиента]],LEN(Таблица4[[#This Row],[номер телефона клиента]])-13)</f>
        <v>+375</v>
      </c>
      <c r="G317" t="str">
        <f>_xlfn.XLOOKUP(Таблица4[[#This Row],[Коды телефона]],Таблица5[Код],Таблица5[Страна],"Не найдено",0)</f>
        <v>Беларусь</v>
      </c>
      <c r="H317" s="23">
        <f t="shared" ca="1" si="16"/>
        <v>46020</v>
      </c>
      <c r="I317" s="19">
        <f ca="1">(Таблица4[[#This Row],[Текущая дата]]-Таблица4[[#This Row],[Дата регистрации клиента]])/30</f>
        <v>46.56666666666667</v>
      </c>
      <c r="J317" t="str">
        <f t="shared" si="17"/>
        <v>Веселов</v>
      </c>
      <c r="K317" t="str">
        <f t="shared" si="18"/>
        <v>Рубен</v>
      </c>
      <c r="L317" t="str">
        <f t="shared" si="19"/>
        <v>Димитриевич</v>
      </c>
    </row>
    <row r="318" spans="1:12" x14ac:dyDescent="0.25">
      <c r="A318">
        <v>17</v>
      </c>
      <c r="B318" t="s">
        <v>316</v>
      </c>
      <c r="C318" s="35" t="s">
        <v>1262</v>
      </c>
      <c r="D318" t="s">
        <v>140</v>
      </c>
      <c r="E318" s="23">
        <v>44877</v>
      </c>
      <c r="F318" t="str">
        <f>LEFT(Таблица4[[#This Row],[номер телефона клиента]],LEN(Таблица4[[#This Row],[номер телефона клиента]])-13)</f>
        <v>+992</v>
      </c>
      <c r="G318" t="str">
        <f>_xlfn.XLOOKUP(Таблица4[[#This Row],[Коды телефона]],Таблица5[Код],Таблица5[Страна],"Не найдено",0)</f>
        <v>Таджикистан</v>
      </c>
      <c r="H318" s="23">
        <f t="shared" ca="1" si="16"/>
        <v>46020</v>
      </c>
      <c r="I318" s="19">
        <f ca="1">(Таблица4[[#This Row],[Текущая дата]]-Таблица4[[#This Row],[Дата регистрации клиента]])/30</f>
        <v>38.1</v>
      </c>
      <c r="J318" t="str">
        <f t="shared" si="17"/>
        <v>Семенова</v>
      </c>
      <c r="K318" t="str">
        <f t="shared" si="18"/>
        <v>Валентина</v>
      </c>
      <c r="L318" t="str">
        <f t="shared" si="19"/>
        <v>Кирилловна</v>
      </c>
    </row>
    <row r="319" spans="1:12" x14ac:dyDescent="0.25">
      <c r="A319">
        <v>127</v>
      </c>
      <c r="B319" t="s">
        <v>315</v>
      </c>
      <c r="C319" s="35" t="s">
        <v>314</v>
      </c>
      <c r="D319" t="s">
        <v>140</v>
      </c>
      <c r="E319" s="23">
        <v>44914</v>
      </c>
      <c r="F319" t="str">
        <f>LEFT(Таблица4[[#This Row],[номер телефона клиента]],LEN(Таблица4[[#This Row],[номер телефона клиента]])-13)</f>
        <v>+380</v>
      </c>
      <c r="G319" t="str">
        <f>_xlfn.XLOOKUP(Таблица4[[#This Row],[Коды телефона]],Таблица5[Код],Таблица5[Страна],"Не найдено",0)</f>
        <v>Украина</v>
      </c>
      <c r="H319" s="23">
        <f t="shared" ca="1" si="16"/>
        <v>46020</v>
      </c>
      <c r="I319" s="19">
        <f ca="1">(Таблица4[[#This Row],[Текущая дата]]-Таблица4[[#This Row],[Дата регистрации клиента]])/30</f>
        <v>36.866666666666667</v>
      </c>
      <c r="J319" t="str">
        <f t="shared" si="17"/>
        <v>Журавлев</v>
      </c>
      <c r="K319" t="str">
        <f t="shared" si="18"/>
        <v>Аристарх</v>
      </c>
      <c r="L319" t="str">
        <f t="shared" si="19"/>
        <v>Евсеевич</v>
      </c>
    </row>
    <row r="320" spans="1:12" x14ac:dyDescent="0.25">
      <c r="A320">
        <v>441</v>
      </c>
      <c r="B320" t="s">
        <v>313</v>
      </c>
      <c r="C320" s="35" t="s">
        <v>312</v>
      </c>
      <c r="D320" t="s">
        <v>140</v>
      </c>
      <c r="E320" s="23">
        <v>44867</v>
      </c>
      <c r="F320" t="str">
        <f>LEFT(Таблица4[[#This Row],[номер телефона клиента]],LEN(Таблица4[[#This Row],[номер телефона клиента]])-13)</f>
        <v>+998</v>
      </c>
      <c r="G320" t="str">
        <f>_xlfn.XLOOKUP(Таблица4[[#This Row],[Коды телефона]],Таблица5[Код],Таблица5[Страна],"Не найдено",0)</f>
        <v>Узбекистан</v>
      </c>
      <c r="H320" s="23">
        <f t="shared" ca="1" si="16"/>
        <v>46020</v>
      </c>
      <c r="I320" s="19">
        <f ca="1">(Таблица4[[#This Row],[Текущая дата]]-Таблица4[[#This Row],[Дата регистрации клиента]])/30</f>
        <v>38.43333333333333</v>
      </c>
      <c r="J320" t="str">
        <f t="shared" si="17"/>
        <v>Силина</v>
      </c>
      <c r="K320" t="str">
        <f t="shared" si="18"/>
        <v>Татьяна</v>
      </c>
      <c r="L320" t="str">
        <f t="shared" si="19"/>
        <v>Аркадьевна</v>
      </c>
    </row>
    <row r="321" spans="1:12" x14ac:dyDescent="0.25">
      <c r="A321">
        <v>220</v>
      </c>
      <c r="B321" t="s">
        <v>311</v>
      </c>
      <c r="C321" s="35" t="s">
        <v>1263</v>
      </c>
      <c r="D321" t="s">
        <v>140</v>
      </c>
      <c r="E321" s="23">
        <v>44570</v>
      </c>
      <c r="F321" t="str">
        <f>LEFT(Таблица4[[#This Row],[номер телефона клиента]],LEN(Таблица4[[#This Row],[номер телефона клиента]])-13)</f>
        <v>+380</v>
      </c>
      <c r="G321" t="str">
        <f>_xlfn.XLOOKUP(Таблица4[[#This Row],[Коды телефона]],Таблица5[Код],Таблица5[Страна],"Не найдено",0)</f>
        <v>Украина</v>
      </c>
      <c r="H321" s="23">
        <f t="shared" ca="1" si="16"/>
        <v>46020</v>
      </c>
      <c r="I321" s="19">
        <f ca="1">(Таблица4[[#This Row],[Текущая дата]]-Таблица4[[#This Row],[Дата регистрации клиента]])/30</f>
        <v>48.333333333333336</v>
      </c>
      <c r="J321" t="str">
        <f t="shared" si="17"/>
        <v>Дроздов</v>
      </c>
      <c r="K321" t="str">
        <f t="shared" si="18"/>
        <v>Николай</v>
      </c>
      <c r="L321" t="str">
        <f t="shared" si="19"/>
        <v>Феоктистович</v>
      </c>
    </row>
    <row r="322" spans="1:12" x14ac:dyDescent="0.25">
      <c r="A322">
        <v>206</v>
      </c>
      <c r="B322" t="s">
        <v>310</v>
      </c>
      <c r="C322" s="35" t="s">
        <v>1264</v>
      </c>
      <c r="D322" t="s">
        <v>140</v>
      </c>
      <c r="E322" s="23">
        <v>44568</v>
      </c>
      <c r="F322" t="str">
        <f>LEFT(Таблица4[[#This Row],[номер телефона клиента]],LEN(Таблица4[[#This Row],[номер телефона клиента]])-13)</f>
        <v>+7</v>
      </c>
      <c r="G322" t="str">
        <f>_xlfn.XLOOKUP(Таблица4[[#This Row],[Коды телефона]],Таблица5[Код],Таблица5[Страна],"Не найдено",0)</f>
        <v>Россия</v>
      </c>
      <c r="H322" s="23">
        <f t="shared" ref="H322:H385" ca="1" si="20">TODAY()</f>
        <v>46020</v>
      </c>
      <c r="I322" s="19">
        <f ca="1">(Таблица4[[#This Row],[Текущая дата]]-Таблица4[[#This Row],[Дата регистрации клиента]])/30</f>
        <v>48.4</v>
      </c>
      <c r="J322" t="str">
        <f t="shared" ref="J322:J385" si="21">LEFT(C322,FIND(" ",C322)-1)</f>
        <v>Колобов</v>
      </c>
      <c r="K322" t="str">
        <f t="shared" ref="K322:K385" si="22">MID(C322,FIND(" ",C322)+1,FIND(" ",C322,FIND(" ",C322)+1)-FIND(" ",C322)-1)</f>
        <v>Радислав</v>
      </c>
      <c r="L322" t="str">
        <f t="shared" ref="L322:L385" si="23">RIGHT(C322,LEN(C322)-FIND("~",SUBSTITUTE(C322," ","~",2)))</f>
        <v>Герасимович</v>
      </c>
    </row>
    <row r="323" spans="1:12" x14ac:dyDescent="0.25">
      <c r="A323">
        <v>210</v>
      </c>
      <c r="B323" t="s">
        <v>309</v>
      </c>
      <c r="C323" s="35" t="s">
        <v>1265</v>
      </c>
      <c r="D323" t="s">
        <v>140</v>
      </c>
      <c r="E323" s="23">
        <v>44602</v>
      </c>
      <c r="F323" t="str">
        <f>LEFT(Таблица4[[#This Row],[номер телефона клиента]],LEN(Таблица4[[#This Row],[номер телефона клиента]])-13)</f>
        <v>+998</v>
      </c>
      <c r="G323" t="str">
        <f>_xlfn.XLOOKUP(Таблица4[[#This Row],[Коды телефона]],Таблица5[Код],Таблица5[Страна],"Не найдено",0)</f>
        <v>Узбекистан</v>
      </c>
      <c r="H323" s="23">
        <f t="shared" ca="1" si="20"/>
        <v>46020</v>
      </c>
      <c r="I323" s="19">
        <f ca="1">(Таблица4[[#This Row],[Текущая дата]]-Таблица4[[#This Row],[Дата регистрации клиента]])/30</f>
        <v>47.266666666666666</v>
      </c>
      <c r="J323" t="str">
        <f t="shared" si="21"/>
        <v>Баранов</v>
      </c>
      <c r="K323" t="str">
        <f t="shared" si="22"/>
        <v>Мартын</v>
      </c>
      <c r="L323" t="str">
        <f t="shared" si="23"/>
        <v>Августович</v>
      </c>
    </row>
    <row r="324" spans="1:12" x14ac:dyDescent="0.25">
      <c r="A324">
        <v>67</v>
      </c>
      <c r="B324" t="s">
        <v>308</v>
      </c>
      <c r="C324" s="35" t="s">
        <v>1266</v>
      </c>
      <c r="D324" t="s">
        <v>142</v>
      </c>
      <c r="E324" s="23">
        <v>44731</v>
      </c>
      <c r="F324" t="str">
        <f>LEFT(Таблица4[[#This Row],[номер телефона клиента]],LEN(Таблица4[[#This Row],[номер телефона клиента]])-13)</f>
        <v>+998</v>
      </c>
      <c r="G324" t="str">
        <f>_xlfn.XLOOKUP(Таблица4[[#This Row],[Коды телефона]],Таблица5[Код],Таблица5[Страна],"Не найдено",0)</f>
        <v>Узбекистан</v>
      </c>
      <c r="H324" s="23">
        <f t="shared" ca="1" si="20"/>
        <v>46020</v>
      </c>
      <c r="I324" s="19">
        <f ca="1">(Таблица4[[#This Row],[Текущая дата]]-Таблица4[[#This Row],[Дата регистрации клиента]])/30</f>
        <v>42.966666666666669</v>
      </c>
      <c r="J324" t="str">
        <f t="shared" si="21"/>
        <v>Фомина</v>
      </c>
      <c r="K324" t="str">
        <f t="shared" si="22"/>
        <v>Алла</v>
      </c>
      <c r="L324" t="str">
        <f t="shared" si="23"/>
        <v>Геннадьевна</v>
      </c>
    </row>
    <row r="325" spans="1:12" x14ac:dyDescent="0.25">
      <c r="A325">
        <v>125</v>
      </c>
      <c r="B325" t="s">
        <v>307</v>
      </c>
      <c r="C325" s="35" t="s">
        <v>306</v>
      </c>
      <c r="D325" t="s">
        <v>140</v>
      </c>
      <c r="E325" s="23">
        <v>44701</v>
      </c>
      <c r="F325" t="str">
        <f>LEFT(Таблица4[[#This Row],[номер телефона клиента]],LEN(Таблица4[[#This Row],[номер телефона клиента]])-13)</f>
        <v>+7</v>
      </c>
      <c r="G325" t="str">
        <f>_xlfn.XLOOKUP(Таблица4[[#This Row],[Коды телефона]],Таблица5[Код],Таблица5[Страна],"Не найдено",0)</f>
        <v>Россия</v>
      </c>
      <c r="H325" s="23">
        <f t="shared" ca="1" si="20"/>
        <v>46020</v>
      </c>
      <c r="I325" s="19">
        <f ca="1">(Таблица4[[#This Row],[Текущая дата]]-Таблица4[[#This Row],[Дата регистрации клиента]])/30</f>
        <v>43.966666666666669</v>
      </c>
      <c r="J325" t="str">
        <f t="shared" si="21"/>
        <v>Копылова</v>
      </c>
      <c r="K325" t="str">
        <f t="shared" si="22"/>
        <v>Эмилия</v>
      </c>
      <c r="L325" t="str">
        <f t="shared" si="23"/>
        <v>Тарасовна</v>
      </c>
    </row>
    <row r="326" spans="1:12" x14ac:dyDescent="0.25">
      <c r="A326">
        <v>213</v>
      </c>
      <c r="B326" t="s">
        <v>305</v>
      </c>
      <c r="C326" s="35" t="s">
        <v>304</v>
      </c>
      <c r="D326" t="s">
        <v>140</v>
      </c>
      <c r="E326" s="23">
        <v>44733</v>
      </c>
      <c r="F326" t="str">
        <f>LEFT(Таблица4[[#This Row],[номер телефона клиента]],LEN(Таблица4[[#This Row],[номер телефона клиента]])-13)</f>
        <v>+998</v>
      </c>
      <c r="G326" t="str">
        <f>_xlfn.XLOOKUP(Таблица4[[#This Row],[Коды телефона]],Таблица5[Код],Таблица5[Страна],"Не найдено",0)</f>
        <v>Узбекистан</v>
      </c>
      <c r="H326" s="23">
        <f t="shared" ca="1" si="20"/>
        <v>46020</v>
      </c>
      <c r="I326" s="19">
        <f ca="1">(Таблица4[[#This Row],[Текущая дата]]-Таблица4[[#This Row],[Дата регистрации клиента]])/30</f>
        <v>42.9</v>
      </c>
      <c r="J326" t="str">
        <f t="shared" si="21"/>
        <v>Власов</v>
      </c>
      <c r="K326" t="str">
        <f t="shared" si="22"/>
        <v>Адриан</v>
      </c>
      <c r="L326" t="str">
        <f t="shared" si="23"/>
        <v>Чеславович</v>
      </c>
    </row>
    <row r="327" spans="1:12" x14ac:dyDescent="0.25">
      <c r="A327">
        <v>336</v>
      </c>
      <c r="B327" t="s">
        <v>303</v>
      </c>
      <c r="C327" s="35" t="s">
        <v>302</v>
      </c>
      <c r="D327" t="s">
        <v>140</v>
      </c>
      <c r="E327" s="23">
        <v>44856</v>
      </c>
      <c r="F327" t="str">
        <f>LEFT(Таблица4[[#This Row],[номер телефона клиента]],LEN(Таблица4[[#This Row],[номер телефона клиента]])-13)</f>
        <v>+998</v>
      </c>
      <c r="G327" t="str">
        <f>_xlfn.XLOOKUP(Таблица4[[#This Row],[Коды телефона]],Таблица5[Код],Таблица5[Страна],"Не найдено",0)</f>
        <v>Узбекистан</v>
      </c>
      <c r="H327" s="23">
        <f t="shared" ca="1" si="20"/>
        <v>46020</v>
      </c>
      <c r="I327" s="19">
        <f ca="1">(Таблица4[[#This Row],[Текущая дата]]-Таблица4[[#This Row],[Дата регистрации клиента]])/30</f>
        <v>38.799999999999997</v>
      </c>
      <c r="J327" t="str">
        <f t="shared" si="21"/>
        <v>Григорьева</v>
      </c>
      <c r="K327" t="str">
        <f t="shared" si="22"/>
        <v>Ульяна</v>
      </c>
      <c r="L327" t="str">
        <f t="shared" si="23"/>
        <v>Артемовна</v>
      </c>
    </row>
    <row r="328" spans="1:12" x14ac:dyDescent="0.25">
      <c r="A328">
        <v>294</v>
      </c>
      <c r="B328" t="s">
        <v>301</v>
      </c>
      <c r="C328" s="35" t="s">
        <v>1267</v>
      </c>
      <c r="D328" t="s">
        <v>142</v>
      </c>
      <c r="E328" s="23">
        <v>44879</v>
      </c>
      <c r="F328" t="str">
        <f>LEFT(Таблица4[[#This Row],[номер телефона клиента]],LEN(Таблица4[[#This Row],[номер телефона клиента]])-13)</f>
        <v>+380</v>
      </c>
      <c r="G328" t="str">
        <f>_xlfn.XLOOKUP(Таблица4[[#This Row],[Коды телефона]],Таблица5[Код],Таблица5[Страна],"Не найдено",0)</f>
        <v>Украина</v>
      </c>
      <c r="H328" s="23">
        <f t="shared" ca="1" si="20"/>
        <v>46020</v>
      </c>
      <c r="I328" s="19">
        <f ca="1">(Таблица4[[#This Row],[Текущая дата]]-Таблица4[[#This Row],[Дата регистрации клиента]])/30</f>
        <v>38.033333333333331</v>
      </c>
      <c r="J328" t="str">
        <f t="shared" si="21"/>
        <v>Мухин</v>
      </c>
      <c r="K328" t="str">
        <f t="shared" si="22"/>
        <v>Давыд</v>
      </c>
      <c r="L328" t="str">
        <f t="shared" si="23"/>
        <v>Филатович</v>
      </c>
    </row>
    <row r="329" spans="1:12" x14ac:dyDescent="0.25">
      <c r="A329">
        <v>27</v>
      </c>
      <c r="B329" t="s">
        <v>300</v>
      </c>
      <c r="C329" s="35" t="s">
        <v>1268</v>
      </c>
      <c r="D329" t="s">
        <v>140</v>
      </c>
      <c r="E329" s="23">
        <v>44586</v>
      </c>
      <c r="F329" t="str">
        <f>LEFT(Таблица4[[#This Row],[номер телефона клиента]],LEN(Таблица4[[#This Row],[номер телефона клиента]])-13)</f>
        <v>+380</v>
      </c>
      <c r="G329" t="str">
        <f>_xlfn.XLOOKUP(Таблица4[[#This Row],[Коды телефона]],Таблица5[Код],Таблица5[Страна],"Не найдено",0)</f>
        <v>Украина</v>
      </c>
      <c r="H329" s="23">
        <f t="shared" ca="1" si="20"/>
        <v>46020</v>
      </c>
      <c r="I329" s="19">
        <f ca="1">(Таблица4[[#This Row],[Текущая дата]]-Таблица4[[#This Row],[Дата регистрации клиента]])/30</f>
        <v>47.8</v>
      </c>
      <c r="J329" t="str">
        <f t="shared" si="21"/>
        <v>Артемьев</v>
      </c>
      <c r="K329" t="str">
        <f t="shared" si="22"/>
        <v>Аггей</v>
      </c>
      <c r="L329" t="str">
        <f t="shared" si="23"/>
        <v>Валентинович</v>
      </c>
    </row>
    <row r="330" spans="1:12" x14ac:dyDescent="0.25">
      <c r="A330">
        <v>53</v>
      </c>
      <c r="B330" t="s">
        <v>299</v>
      </c>
      <c r="C330" s="35" t="s">
        <v>1269</v>
      </c>
      <c r="D330" t="s">
        <v>140</v>
      </c>
      <c r="E330" s="23">
        <v>44593</v>
      </c>
      <c r="F330" t="str">
        <f>LEFT(Таблица4[[#This Row],[номер телефона клиента]],LEN(Таблица4[[#This Row],[номер телефона клиента]])-13)</f>
        <v>+7</v>
      </c>
      <c r="G330" t="str">
        <f>_xlfn.XLOOKUP(Таблица4[[#This Row],[Коды телефона]],Таблица5[Код],Таблица5[Страна],"Не найдено",0)</f>
        <v>Россия</v>
      </c>
      <c r="H330" s="23">
        <f t="shared" ca="1" si="20"/>
        <v>46020</v>
      </c>
      <c r="I330" s="19">
        <f ca="1">(Таблица4[[#This Row],[Текущая дата]]-Таблица4[[#This Row],[Дата регистрации клиента]])/30</f>
        <v>47.56666666666667</v>
      </c>
      <c r="J330" t="str">
        <f t="shared" si="21"/>
        <v>Жданова</v>
      </c>
      <c r="K330" t="str">
        <f t="shared" si="22"/>
        <v>Антонина</v>
      </c>
      <c r="L330" t="str">
        <f t="shared" si="23"/>
        <v>Борисовна</v>
      </c>
    </row>
    <row r="331" spans="1:12" x14ac:dyDescent="0.25">
      <c r="A331">
        <v>143</v>
      </c>
      <c r="B331" t="s">
        <v>298</v>
      </c>
      <c r="C331" s="35" t="s">
        <v>297</v>
      </c>
      <c r="D331" t="s">
        <v>140</v>
      </c>
      <c r="E331" s="23">
        <v>44601</v>
      </c>
      <c r="F331" t="str">
        <f>LEFT(Таблица4[[#This Row],[номер телефона клиента]],LEN(Таблица4[[#This Row],[номер телефона клиента]])-13)</f>
        <v>+7</v>
      </c>
      <c r="G331" t="str">
        <f>_xlfn.XLOOKUP(Таблица4[[#This Row],[Коды телефона]],Таблица5[Код],Таблица5[Страна],"Не найдено",0)</f>
        <v>Россия</v>
      </c>
      <c r="H331" s="23">
        <f t="shared" ca="1" si="20"/>
        <v>46020</v>
      </c>
      <c r="I331" s="19">
        <f ca="1">(Таблица4[[#This Row],[Текущая дата]]-Таблица4[[#This Row],[Дата регистрации клиента]])/30</f>
        <v>47.3</v>
      </c>
      <c r="J331" t="str">
        <f t="shared" si="21"/>
        <v>Маслов</v>
      </c>
      <c r="K331" t="str">
        <f t="shared" si="22"/>
        <v>Захар</v>
      </c>
      <c r="L331" t="str">
        <f t="shared" si="23"/>
        <v>Феофанович</v>
      </c>
    </row>
    <row r="332" spans="1:12" x14ac:dyDescent="0.25">
      <c r="A332">
        <v>135</v>
      </c>
      <c r="B332" t="s">
        <v>296</v>
      </c>
      <c r="C332" s="35" t="s">
        <v>1270</v>
      </c>
      <c r="D332" t="s">
        <v>142</v>
      </c>
      <c r="E332" s="23">
        <v>44602</v>
      </c>
      <c r="F332" t="str">
        <f>LEFT(Таблица4[[#This Row],[номер телефона клиента]],LEN(Таблица4[[#This Row],[номер телефона клиента]])-13)</f>
        <v>+7</v>
      </c>
      <c r="G332" t="str">
        <f>_xlfn.XLOOKUP(Таблица4[[#This Row],[Коды телефона]],Таблица5[Код],Таблица5[Страна],"Не найдено",0)</f>
        <v>Россия</v>
      </c>
      <c r="H332" s="23">
        <f t="shared" ca="1" si="20"/>
        <v>46020</v>
      </c>
      <c r="I332" s="19">
        <f ca="1">(Таблица4[[#This Row],[Текущая дата]]-Таблица4[[#This Row],[Дата регистрации клиента]])/30</f>
        <v>47.266666666666666</v>
      </c>
      <c r="J332" t="str">
        <f t="shared" si="21"/>
        <v>Ширяев</v>
      </c>
      <c r="K332" t="str">
        <f t="shared" si="22"/>
        <v>Станислав</v>
      </c>
      <c r="L332" t="str">
        <f t="shared" si="23"/>
        <v>Ильясович</v>
      </c>
    </row>
    <row r="333" spans="1:12" x14ac:dyDescent="0.25">
      <c r="A333">
        <v>279</v>
      </c>
      <c r="B333" t="s">
        <v>295</v>
      </c>
      <c r="C333" s="35" t="s">
        <v>1271</v>
      </c>
      <c r="D333" t="s">
        <v>142</v>
      </c>
      <c r="E333" s="23">
        <v>44786</v>
      </c>
      <c r="F333" t="str">
        <f>LEFT(Таблица4[[#This Row],[номер телефона клиента]],LEN(Таблица4[[#This Row],[номер телефона клиента]])-13)</f>
        <v>+998</v>
      </c>
      <c r="G333" t="str">
        <f>_xlfn.XLOOKUP(Таблица4[[#This Row],[Коды телефона]],Таблица5[Код],Таблица5[Страна],"Не найдено",0)</f>
        <v>Узбекистан</v>
      </c>
      <c r="H333" s="23">
        <f t="shared" ca="1" si="20"/>
        <v>46020</v>
      </c>
      <c r="I333" s="19">
        <f ca="1">(Таблица4[[#This Row],[Текущая дата]]-Таблица4[[#This Row],[Дата регистрации клиента]])/30</f>
        <v>41.133333333333333</v>
      </c>
      <c r="J333" t="str">
        <f t="shared" si="21"/>
        <v>Колесникова</v>
      </c>
      <c r="K333" t="str">
        <f t="shared" si="22"/>
        <v>Наталья</v>
      </c>
      <c r="L333" t="str">
        <f t="shared" si="23"/>
        <v>Геннадьевна</v>
      </c>
    </row>
    <row r="334" spans="1:12" x14ac:dyDescent="0.25">
      <c r="A334">
        <v>271</v>
      </c>
      <c r="B334" t="s">
        <v>294</v>
      </c>
      <c r="C334" s="35" t="s">
        <v>293</v>
      </c>
      <c r="D334" t="s">
        <v>140</v>
      </c>
      <c r="E334" s="23">
        <v>44892</v>
      </c>
      <c r="F334" t="str">
        <f>LEFT(Таблица4[[#This Row],[номер телефона клиента]],LEN(Таблица4[[#This Row],[номер телефона клиента]])-13)</f>
        <v>+375</v>
      </c>
      <c r="G334" t="str">
        <f>_xlfn.XLOOKUP(Таблица4[[#This Row],[Коды телефона]],Таблица5[Код],Таблица5[Страна],"Не найдено",0)</f>
        <v>Беларусь</v>
      </c>
      <c r="H334" s="23">
        <f t="shared" ca="1" si="20"/>
        <v>46020</v>
      </c>
      <c r="I334" s="19">
        <f ca="1">(Таблица4[[#This Row],[Текущая дата]]-Таблица4[[#This Row],[Дата регистрации клиента]])/30</f>
        <v>37.6</v>
      </c>
      <c r="J334" t="str">
        <f t="shared" si="21"/>
        <v>Ермаков</v>
      </c>
      <c r="K334" t="str">
        <f t="shared" si="22"/>
        <v>Степан</v>
      </c>
      <c r="L334" t="str">
        <f t="shared" si="23"/>
        <v>Егорович</v>
      </c>
    </row>
    <row r="335" spans="1:12" x14ac:dyDescent="0.25">
      <c r="A335">
        <v>444</v>
      </c>
      <c r="B335" t="s">
        <v>292</v>
      </c>
      <c r="C335" s="35" t="s">
        <v>291</v>
      </c>
      <c r="D335" t="s">
        <v>142</v>
      </c>
      <c r="E335" s="23">
        <v>44688</v>
      </c>
      <c r="F335" t="str">
        <f>LEFT(Таблица4[[#This Row],[номер телефона клиента]],LEN(Таблица4[[#This Row],[номер телефона клиента]])-13)</f>
        <v>+7</v>
      </c>
      <c r="G335" t="str">
        <f>_xlfn.XLOOKUP(Таблица4[[#This Row],[Коды телефона]],Таблица5[Код],Таблица5[Страна],"Не найдено",0)</f>
        <v>Россия</v>
      </c>
      <c r="H335" s="23">
        <f t="shared" ca="1" si="20"/>
        <v>46020</v>
      </c>
      <c r="I335" s="19">
        <f ca="1">(Таблица4[[#This Row],[Текущая дата]]-Таблица4[[#This Row],[Дата регистрации клиента]])/30</f>
        <v>44.4</v>
      </c>
      <c r="J335" t="str">
        <f t="shared" si="21"/>
        <v>Маслова</v>
      </c>
      <c r="K335" t="str">
        <f t="shared" si="22"/>
        <v>Анастасия</v>
      </c>
      <c r="L335" t="str">
        <f t="shared" si="23"/>
        <v>Станиславовна</v>
      </c>
    </row>
    <row r="336" spans="1:12" x14ac:dyDescent="0.25">
      <c r="A336">
        <v>133</v>
      </c>
      <c r="B336" t="s">
        <v>290</v>
      </c>
      <c r="C336" s="35" t="s">
        <v>1272</v>
      </c>
      <c r="D336" t="s">
        <v>140</v>
      </c>
      <c r="E336" s="23">
        <v>44588</v>
      </c>
      <c r="F336" t="str">
        <f>LEFT(Таблица4[[#This Row],[номер телефона клиента]],LEN(Таблица4[[#This Row],[номер телефона клиента]])-13)</f>
        <v>+998</v>
      </c>
      <c r="G336" t="str">
        <f>_xlfn.XLOOKUP(Таблица4[[#This Row],[Коды телефона]],Таблица5[Код],Таблица5[Страна],"Не найдено",0)</f>
        <v>Узбекистан</v>
      </c>
      <c r="H336" s="23">
        <f t="shared" ca="1" si="20"/>
        <v>46020</v>
      </c>
      <c r="I336" s="19">
        <f ca="1">(Таблица4[[#This Row],[Текущая дата]]-Таблица4[[#This Row],[Дата регистрации клиента]])/30</f>
        <v>47.733333333333334</v>
      </c>
      <c r="J336" t="str">
        <f t="shared" si="21"/>
        <v>Титова</v>
      </c>
      <c r="K336" t="str">
        <f t="shared" si="22"/>
        <v>Марфа</v>
      </c>
      <c r="L336" t="str">
        <f t="shared" si="23"/>
        <v>Георгиевна</v>
      </c>
    </row>
    <row r="337" spans="1:12" x14ac:dyDescent="0.25">
      <c r="A337">
        <v>300</v>
      </c>
      <c r="B337" t="s">
        <v>289</v>
      </c>
      <c r="C337" s="35" t="s">
        <v>288</v>
      </c>
      <c r="D337" t="s">
        <v>142</v>
      </c>
      <c r="E337" s="23">
        <v>44824</v>
      </c>
      <c r="F337" t="str">
        <f>LEFT(Таблица4[[#This Row],[номер телефона клиента]],LEN(Таблица4[[#This Row],[номер телефона клиента]])-13)</f>
        <v>+380</v>
      </c>
      <c r="G337" t="str">
        <f>_xlfn.XLOOKUP(Таблица4[[#This Row],[Коды телефона]],Таблица5[Код],Таблица5[Страна],"Не найдено",0)</f>
        <v>Украина</v>
      </c>
      <c r="H337" s="23">
        <f t="shared" ca="1" si="20"/>
        <v>46020</v>
      </c>
      <c r="I337" s="19">
        <f ca="1">(Таблица4[[#This Row],[Текущая дата]]-Таблица4[[#This Row],[Дата регистрации клиента]])/30</f>
        <v>39.866666666666667</v>
      </c>
      <c r="J337" t="str">
        <f t="shared" si="21"/>
        <v>Копылов</v>
      </c>
      <c r="K337" t="str">
        <f t="shared" si="22"/>
        <v>Мартьян</v>
      </c>
      <c r="L337" t="str">
        <f t="shared" si="23"/>
        <v>Августович</v>
      </c>
    </row>
    <row r="338" spans="1:12" x14ac:dyDescent="0.25">
      <c r="A338">
        <v>54</v>
      </c>
      <c r="B338" t="s">
        <v>287</v>
      </c>
      <c r="C338" s="35" t="s">
        <v>286</v>
      </c>
      <c r="D338" t="s">
        <v>140</v>
      </c>
      <c r="E338" s="23">
        <v>44847</v>
      </c>
      <c r="F338" t="str">
        <f>LEFT(Таблица4[[#This Row],[номер телефона клиента]],LEN(Таблица4[[#This Row],[номер телефона клиента]])-13)</f>
        <v>+375</v>
      </c>
      <c r="G338" t="str">
        <f>_xlfn.XLOOKUP(Таблица4[[#This Row],[Коды телефона]],Таблица5[Код],Таблица5[Страна],"Не найдено",0)</f>
        <v>Беларусь</v>
      </c>
      <c r="H338" s="23">
        <f t="shared" ca="1" si="20"/>
        <v>46020</v>
      </c>
      <c r="I338" s="19">
        <f ca="1">(Таблица4[[#This Row],[Текущая дата]]-Таблица4[[#This Row],[Дата регистрации клиента]])/30</f>
        <v>39.1</v>
      </c>
      <c r="J338" t="str">
        <f t="shared" si="21"/>
        <v>Рогов</v>
      </c>
      <c r="K338" t="str">
        <f t="shared" si="22"/>
        <v>Сила</v>
      </c>
      <c r="L338" t="str">
        <f t="shared" si="23"/>
        <v>Гордеевич</v>
      </c>
    </row>
    <row r="339" spans="1:12" x14ac:dyDescent="0.25">
      <c r="A339">
        <v>340</v>
      </c>
      <c r="B339" t="s">
        <v>285</v>
      </c>
      <c r="C339" s="35" t="s">
        <v>1273</v>
      </c>
      <c r="D339" t="s">
        <v>140</v>
      </c>
      <c r="E339" s="23">
        <v>44896</v>
      </c>
      <c r="F339" t="str">
        <f>LEFT(Таблица4[[#This Row],[номер телефона клиента]],LEN(Таблица4[[#This Row],[номер телефона клиента]])-13)</f>
        <v>+7</v>
      </c>
      <c r="G339" t="str">
        <f>_xlfn.XLOOKUP(Таблица4[[#This Row],[Коды телефона]],Таблица5[Код],Таблица5[Страна],"Не найдено",0)</f>
        <v>Россия</v>
      </c>
      <c r="H339" s="23">
        <f t="shared" ca="1" si="20"/>
        <v>46020</v>
      </c>
      <c r="I339" s="19">
        <f ca="1">(Таблица4[[#This Row],[Текущая дата]]-Таблица4[[#This Row],[Дата регистрации клиента]])/30</f>
        <v>37.466666666666669</v>
      </c>
      <c r="J339" t="str">
        <f t="shared" si="21"/>
        <v>Захаров</v>
      </c>
      <c r="K339" t="str">
        <f t="shared" si="22"/>
        <v>Леон</v>
      </c>
      <c r="L339" t="str">
        <f t="shared" si="23"/>
        <v>Аверьянович</v>
      </c>
    </row>
    <row r="340" spans="1:12" x14ac:dyDescent="0.25">
      <c r="A340">
        <v>272</v>
      </c>
      <c r="B340" t="s">
        <v>284</v>
      </c>
      <c r="C340" s="35" t="s">
        <v>1274</v>
      </c>
      <c r="D340" t="s">
        <v>140</v>
      </c>
      <c r="E340" s="23">
        <v>44668</v>
      </c>
      <c r="F340" t="str">
        <f>LEFT(Таблица4[[#This Row],[номер телефона клиента]],LEN(Таблица4[[#This Row],[номер телефона клиента]])-13)</f>
        <v>+992</v>
      </c>
      <c r="G340" t="str">
        <f>_xlfn.XLOOKUP(Таблица4[[#This Row],[Коды телефона]],Таблица5[Код],Таблица5[Страна],"Не найдено",0)</f>
        <v>Таджикистан</v>
      </c>
      <c r="H340" s="23">
        <f t="shared" ca="1" si="20"/>
        <v>46020</v>
      </c>
      <c r="I340" s="19">
        <f ca="1">(Таблица4[[#This Row],[Текущая дата]]-Таблица4[[#This Row],[Дата регистрации клиента]])/30</f>
        <v>45.06666666666667</v>
      </c>
      <c r="J340" t="str">
        <f t="shared" si="21"/>
        <v>Воробьев</v>
      </c>
      <c r="K340" t="str">
        <f t="shared" si="22"/>
        <v>Захар</v>
      </c>
      <c r="L340" t="str">
        <f t="shared" si="23"/>
        <v>Артемьевич</v>
      </c>
    </row>
    <row r="341" spans="1:12" x14ac:dyDescent="0.25">
      <c r="A341">
        <v>165</v>
      </c>
      <c r="B341" t="s">
        <v>283</v>
      </c>
      <c r="C341" s="35" t="s">
        <v>1275</v>
      </c>
      <c r="D341" t="s">
        <v>142</v>
      </c>
      <c r="E341" s="23">
        <v>44599</v>
      </c>
      <c r="F341" t="str">
        <f>LEFT(Таблица4[[#This Row],[номер телефона клиента]],LEN(Таблица4[[#This Row],[номер телефона клиента]])-13)</f>
        <v>+992</v>
      </c>
      <c r="G341" t="str">
        <f>_xlfn.XLOOKUP(Таблица4[[#This Row],[Коды телефона]],Таблица5[Код],Таблица5[Страна],"Не найдено",0)</f>
        <v>Таджикистан</v>
      </c>
      <c r="H341" s="23">
        <f t="shared" ca="1" si="20"/>
        <v>46020</v>
      </c>
      <c r="I341" s="19">
        <f ca="1">(Таблица4[[#This Row],[Текущая дата]]-Таблица4[[#This Row],[Дата регистрации клиента]])/30</f>
        <v>47.366666666666667</v>
      </c>
      <c r="J341" t="str">
        <f t="shared" si="21"/>
        <v>Анисимов</v>
      </c>
      <c r="K341" t="str">
        <f t="shared" si="22"/>
        <v>Вадим</v>
      </c>
      <c r="L341" t="str">
        <f t="shared" si="23"/>
        <v>Артёмович</v>
      </c>
    </row>
    <row r="342" spans="1:12" x14ac:dyDescent="0.25">
      <c r="A342">
        <v>214</v>
      </c>
      <c r="B342" t="s">
        <v>282</v>
      </c>
      <c r="C342" s="35" t="s">
        <v>281</v>
      </c>
      <c r="D342" t="s">
        <v>142</v>
      </c>
      <c r="E342" s="23">
        <v>44601</v>
      </c>
      <c r="F342" t="str">
        <f>LEFT(Таблица4[[#This Row],[номер телефона клиента]],LEN(Таблица4[[#This Row],[номер телефона клиента]])-13)</f>
        <v>+7</v>
      </c>
      <c r="G342" t="str">
        <f>_xlfn.XLOOKUP(Таблица4[[#This Row],[Коды телефона]],Таблица5[Код],Таблица5[Страна],"Не найдено",0)</f>
        <v>Россия</v>
      </c>
      <c r="H342" s="23">
        <f t="shared" ca="1" si="20"/>
        <v>46020</v>
      </c>
      <c r="I342" s="19">
        <f ca="1">(Таблица4[[#This Row],[Текущая дата]]-Таблица4[[#This Row],[Дата регистрации клиента]])/30</f>
        <v>47.3</v>
      </c>
      <c r="J342" t="str">
        <f t="shared" si="21"/>
        <v>Михеев</v>
      </c>
      <c r="K342" t="str">
        <f t="shared" si="22"/>
        <v>Андроник</v>
      </c>
      <c r="L342" t="str">
        <f t="shared" si="23"/>
        <v>Ефимьевич</v>
      </c>
    </row>
    <row r="343" spans="1:12" x14ac:dyDescent="0.25">
      <c r="A343">
        <v>409</v>
      </c>
      <c r="B343" t="s">
        <v>280</v>
      </c>
      <c r="C343" s="35" t="s">
        <v>279</v>
      </c>
      <c r="D343" t="s">
        <v>140</v>
      </c>
      <c r="E343" s="23">
        <v>44869</v>
      </c>
      <c r="F343" t="str">
        <f>LEFT(Таблица4[[#This Row],[номер телефона клиента]],LEN(Таблица4[[#This Row],[номер телефона клиента]])-13)</f>
        <v>+380</v>
      </c>
      <c r="G343" t="str">
        <f>_xlfn.XLOOKUP(Таблица4[[#This Row],[Коды телефона]],Таблица5[Код],Таблица5[Страна],"Не найдено",0)</f>
        <v>Украина</v>
      </c>
      <c r="H343" s="23">
        <f t="shared" ca="1" si="20"/>
        <v>46020</v>
      </c>
      <c r="I343" s="19">
        <f ca="1">(Таблица4[[#This Row],[Текущая дата]]-Таблица4[[#This Row],[Дата регистрации клиента]])/30</f>
        <v>38.366666666666667</v>
      </c>
      <c r="J343" t="str">
        <f t="shared" si="21"/>
        <v>Лаврентьева</v>
      </c>
      <c r="K343" t="str">
        <f t="shared" si="22"/>
        <v>Маргарита</v>
      </c>
      <c r="L343" t="str">
        <f t="shared" si="23"/>
        <v>Артемовна</v>
      </c>
    </row>
    <row r="344" spans="1:12" x14ac:dyDescent="0.25">
      <c r="A344">
        <v>348</v>
      </c>
      <c r="B344" t="s">
        <v>278</v>
      </c>
      <c r="C344" s="35" t="s">
        <v>1276</v>
      </c>
      <c r="D344" t="s">
        <v>142</v>
      </c>
      <c r="E344" s="23">
        <v>44569</v>
      </c>
      <c r="F344" t="str">
        <f>LEFT(Таблица4[[#This Row],[номер телефона клиента]],LEN(Таблица4[[#This Row],[номер телефона клиента]])-13)</f>
        <v>+380</v>
      </c>
      <c r="G344" t="str">
        <f>_xlfn.XLOOKUP(Таблица4[[#This Row],[Коды телефона]],Таблица5[Код],Таблица5[Страна],"Не найдено",0)</f>
        <v>Украина</v>
      </c>
      <c r="H344" s="23">
        <f t="shared" ca="1" si="20"/>
        <v>46020</v>
      </c>
      <c r="I344" s="19">
        <f ca="1">(Таблица4[[#This Row],[Текущая дата]]-Таблица4[[#This Row],[Дата регистрации клиента]])/30</f>
        <v>48.366666666666667</v>
      </c>
      <c r="J344" t="str">
        <f t="shared" si="21"/>
        <v>Зыков</v>
      </c>
      <c r="K344" t="str">
        <f t="shared" si="22"/>
        <v>Измаил</v>
      </c>
      <c r="L344" t="str">
        <f t="shared" si="23"/>
        <v>Глебович</v>
      </c>
    </row>
    <row r="345" spans="1:12" x14ac:dyDescent="0.25">
      <c r="A345">
        <v>351</v>
      </c>
      <c r="B345" t="s">
        <v>277</v>
      </c>
      <c r="C345" s="35" t="s">
        <v>276</v>
      </c>
      <c r="D345" t="s">
        <v>142</v>
      </c>
      <c r="E345" s="23">
        <v>44863</v>
      </c>
      <c r="F345" t="str">
        <f>LEFT(Таблица4[[#This Row],[номер телефона клиента]],LEN(Таблица4[[#This Row],[номер телефона клиента]])-13)</f>
        <v>+7</v>
      </c>
      <c r="G345" t="str">
        <f>_xlfn.XLOOKUP(Таблица4[[#This Row],[Коды телефона]],Таблица5[Код],Таблица5[Страна],"Не найдено",0)</f>
        <v>Россия</v>
      </c>
      <c r="H345" s="23">
        <f t="shared" ca="1" si="20"/>
        <v>46020</v>
      </c>
      <c r="I345" s="19">
        <f ca="1">(Таблица4[[#This Row],[Текущая дата]]-Таблица4[[#This Row],[Дата регистрации клиента]])/30</f>
        <v>38.56666666666667</v>
      </c>
      <c r="J345" t="str">
        <f t="shared" si="21"/>
        <v>Щукина</v>
      </c>
      <c r="K345" t="str">
        <f t="shared" si="22"/>
        <v>Элеонора</v>
      </c>
      <c r="L345" t="str">
        <f t="shared" si="23"/>
        <v>Робертовна</v>
      </c>
    </row>
    <row r="346" spans="1:12" x14ac:dyDescent="0.25">
      <c r="A346">
        <v>40</v>
      </c>
      <c r="B346" t="s">
        <v>275</v>
      </c>
      <c r="C346" s="35" t="s">
        <v>1277</v>
      </c>
      <c r="D346" t="s">
        <v>140</v>
      </c>
      <c r="E346" s="23">
        <v>44855</v>
      </c>
      <c r="F346" t="str">
        <f>LEFT(Таблица4[[#This Row],[номер телефона клиента]],LEN(Таблица4[[#This Row],[номер телефона клиента]])-13)</f>
        <v>+7</v>
      </c>
      <c r="G346" t="str">
        <f>_xlfn.XLOOKUP(Таблица4[[#This Row],[Коды телефона]],Таблица5[Код],Таблица5[Страна],"Не найдено",0)</f>
        <v>Россия</v>
      </c>
      <c r="H346" s="23">
        <f t="shared" ca="1" si="20"/>
        <v>46020</v>
      </c>
      <c r="I346" s="19">
        <f ca="1">(Таблица4[[#This Row],[Текущая дата]]-Таблица4[[#This Row],[Дата регистрации клиента]])/30</f>
        <v>38.833333333333336</v>
      </c>
      <c r="J346" t="str">
        <f t="shared" si="21"/>
        <v>Гаврилов</v>
      </c>
      <c r="K346" t="str">
        <f t="shared" si="22"/>
        <v>Амвросий</v>
      </c>
      <c r="L346" t="str">
        <f t="shared" si="23"/>
        <v>Артемьевич</v>
      </c>
    </row>
    <row r="347" spans="1:12" x14ac:dyDescent="0.25">
      <c r="A347">
        <v>245</v>
      </c>
      <c r="B347" t="s">
        <v>274</v>
      </c>
      <c r="C347" s="35" t="s">
        <v>1278</v>
      </c>
      <c r="D347" t="s">
        <v>140</v>
      </c>
      <c r="E347" s="23">
        <v>44695</v>
      </c>
      <c r="F347" t="str">
        <f>LEFT(Таблица4[[#This Row],[номер телефона клиента]],LEN(Таблица4[[#This Row],[номер телефона клиента]])-13)</f>
        <v>+998</v>
      </c>
      <c r="G347" t="str">
        <f>_xlfn.XLOOKUP(Таблица4[[#This Row],[Коды телефона]],Таблица5[Код],Таблица5[Страна],"Не найдено",0)</f>
        <v>Узбекистан</v>
      </c>
      <c r="H347" s="23">
        <f t="shared" ca="1" si="20"/>
        <v>46020</v>
      </c>
      <c r="I347" s="19">
        <f ca="1">(Таблица4[[#This Row],[Текущая дата]]-Таблица4[[#This Row],[Дата регистрации клиента]])/30</f>
        <v>44.166666666666664</v>
      </c>
      <c r="J347" t="str">
        <f t="shared" si="21"/>
        <v>Шубина</v>
      </c>
      <c r="K347" t="str">
        <f t="shared" si="22"/>
        <v>Феврония</v>
      </c>
      <c r="L347" t="str">
        <f t="shared" si="23"/>
        <v>Юрьевна</v>
      </c>
    </row>
    <row r="348" spans="1:12" x14ac:dyDescent="0.25">
      <c r="A348">
        <v>466</v>
      </c>
      <c r="B348" t="s">
        <v>273</v>
      </c>
      <c r="C348" s="35" t="s">
        <v>272</v>
      </c>
      <c r="D348" t="s">
        <v>142</v>
      </c>
      <c r="E348" s="23">
        <v>44772</v>
      </c>
      <c r="F348" t="str">
        <f>LEFT(Таблица4[[#This Row],[номер телефона клиента]],LEN(Таблица4[[#This Row],[номер телефона клиента]])-13)</f>
        <v>+375</v>
      </c>
      <c r="G348" t="str">
        <f>_xlfn.XLOOKUP(Таблица4[[#This Row],[Коды телефона]],Таблица5[Код],Таблица5[Страна],"Не найдено",0)</f>
        <v>Беларусь</v>
      </c>
      <c r="H348" s="23">
        <f t="shared" ca="1" si="20"/>
        <v>46020</v>
      </c>
      <c r="I348" s="19">
        <f ca="1">(Таблица4[[#This Row],[Текущая дата]]-Таблица4[[#This Row],[Дата регистрации клиента]])/30</f>
        <v>41.6</v>
      </c>
      <c r="J348" t="str">
        <f t="shared" si="21"/>
        <v>Никитина</v>
      </c>
      <c r="K348" t="str">
        <f t="shared" si="22"/>
        <v>Лора</v>
      </c>
      <c r="L348" t="str">
        <f t="shared" si="23"/>
        <v>Георгиевна</v>
      </c>
    </row>
    <row r="349" spans="1:12" x14ac:dyDescent="0.25">
      <c r="A349">
        <v>122</v>
      </c>
      <c r="B349" t="s">
        <v>271</v>
      </c>
      <c r="C349" s="35" t="s">
        <v>1279</v>
      </c>
      <c r="D349" t="s">
        <v>140</v>
      </c>
      <c r="E349" s="23">
        <v>44683</v>
      </c>
      <c r="F349" t="str">
        <f>LEFT(Таблица4[[#This Row],[номер телефона клиента]],LEN(Таблица4[[#This Row],[номер телефона клиента]])-13)</f>
        <v>+375</v>
      </c>
      <c r="G349" t="str">
        <f>_xlfn.XLOOKUP(Таблица4[[#This Row],[Коды телефона]],Таблица5[Код],Таблица5[Страна],"Не найдено",0)</f>
        <v>Беларусь</v>
      </c>
      <c r="H349" s="23">
        <f t="shared" ca="1" si="20"/>
        <v>46020</v>
      </c>
      <c r="I349" s="19">
        <f ca="1">(Таблица4[[#This Row],[Текущая дата]]-Таблица4[[#This Row],[Дата регистрации клиента]])/30</f>
        <v>44.56666666666667</v>
      </c>
      <c r="J349" t="str">
        <f t="shared" si="21"/>
        <v>Семенов</v>
      </c>
      <c r="K349" t="str">
        <f t="shared" si="22"/>
        <v>Максим</v>
      </c>
      <c r="L349" t="str">
        <f t="shared" si="23"/>
        <v>Анатольевич</v>
      </c>
    </row>
    <row r="350" spans="1:12" x14ac:dyDescent="0.25">
      <c r="A350">
        <v>199</v>
      </c>
      <c r="B350" t="s">
        <v>270</v>
      </c>
      <c r="C350" s="35" t="s">
        <v>269</v>
      </c>
      <c r="D350" t="s">
        <v>142</v>
      </c>
      <c r="E350" s="23">
        <v>44715</v>
      </c>
      <c r="F350" t="str">
        <f>LEFT(Таблица4[[#This Row],[номер телефона клиента]],LEN(Таблица4[[#This Row],[номер телефона клиента]])-13)</f>
        <v>+998</v>
      </c>
      <c r="G350" t="str">
        <f>_xlfn.XLOOKUP(Таблица4[[#This Row],[Коды телефона]],Таблица5[Код],Таблица5[Страна],"Не найдено",0)</f>
        <v>Узбекистан</v>
      </c>
      <c r="H350" s="23">
        <f t="shared" ca="1" si="20"/>
        <v>46020</v>
      </c>
      <c r="I350" s="19">
        <f ca="1">(Таблица4[[#This Row],[Текущая дата]]-Таблица4[[#This Row],[Дата регистрации клиента]])/30</f>
        <v>43.5</v>
      </c>
      <c r="J350" t="str">
        <f t="shared" si="21"/>
        <v>Горбунова</v>
      </c>
      <c r="K350" t="str">
        <f t="shared" si="22"/>
        <v>Алевтина</v>
      </c>
      <c r="L350" t="str">
        <f t="shared" si="23"/>
        <v>Максимовна</v>
      </c>
    </row>
    <row r="351" spans="1:12" x14ac:dyDescent="0.25">
      <c r="A351">
        <v>447</v>
      </c>
      <c r="B351" t="s">
        <v>268</v>
      </c>
      <c r="C351" s="35" t="s">
        <v>1280</v>
      </c>
      <c r="D351" t="s">
        <v>142</v>
      </c>
      <c r="E351" s="23">
        <v>44898</v>
      </c>
      <c r="F351" t="str">
        <f>LEFT(Таблица4[[#This Row],[номер телефона клиента]],LEN(Таблица4[[#This Row],[номер телефона клиента]])-13)</f>
        <v>+992</v>
      </c>
      <c r="G351" t="str">
        <f>_xlfn.XLOOKUP(Таблица4[[#This Row],[Коды телефона]],Таблица5[Код],Таблица5[Страна],"Не найдено",0)</f>
        <v>Таджикистан</v>
      </c>
      <c r="H351" s="23">
        <f t="shared" ca="1" si="20"/>
        <v>46020</v>
      </c>
      <c r="I351" s="19">
        <f ca="1">(Таблица4[[#This Row],[Текущая дата]]-Таблица4[[#This Row],[Дата регистрации клиента]])/30</f>
        <v>37.4</v>
      </c>
      <c r="J351" t="str">
        <f t="shared" si="21"/>
        <v>Семенова</v>
      </c>
      <c r="K351" t="str">
        <f t="shared" si="22"/>
        <v>Жанна</v>
      </c>
      <c r="L351" t="str">
        <f t="shared" si="23"/>
        <v>Станиславовна</v>
      </c>
    </row>
    <row r="352" spans="1:12" x14ac:dyDescent="0.25">
      <c r="A352">
        <v>163</v>
      </c>
      <c r="B352" t="s">
        <v>267</v>
      </c>
      <c r="C352" s="35" t="s">
        <v>1281</v>
      </c>
      <c r="D352" t="s">
        <v>142</v>
      </c>
      <c r="E352" s="23">
        <v>44571</v>
      </c>
      <c r="F352" t="str">
        <f>LEFT(Таблица4[[#This Row],[номер телефона клиента]],LEN(Таблица4[[#This Row],[номер телефона клиента]])-13)</f>
        <v>+998</v>
      </c>
      <c r="G352" t="str">
        <f>_xlfn.XLOOKUP(Таблица4[[#This Row],[Коды телефона]],Таблица5[Код],Таблица5[Страна],"Не найдено",0)</f>
        <v>Узбекистан</v>
      </c>
      <c r="H352" s="23">
        <f t="shared" ca="1" si="20"/>
        <v>46020</v>
      </c>
      <c r="I352" s="19">
        <f ca="1">(Таблица4[[#This Row],[Текущая дата]]-Таблица4[[#This Row],[Дата регистрации клиента]])/30</f>
        <v>48.3</v>
      </c>
      <c r="J352" t="str">
        <f t="shared" si="21"/>
        <v>Соколова</v>
      </c>
      <c r="K352" t="str">
        <f t="shared" si="22"/>
        <v>Виктория</v>
      </c>
      <c r="L352" t="str">
        <f t="shared" si="23"/>
        <v>Ильинична</v>
      </c>
    </row>
    <row r="353" spans="1:12" x14ac:dyDescent="0.25">
      <c r="A353">
        <v>320</v>
      </c>
      <c r="B353" t="s">
        <v>266</v>
      </c>
      <c r="C353" s="35" t="s">
        <v>265</v>
      </c>
      <c r="D353" t="s">
        <v>140</v>
      </c>
      <c r="E353" s="23">
        <v>44869</v>
      </c>
      <c r="F353" t="str">
        <f>LEFT(Таблица4[[#This Row],[номер телефона клиента]],LEN(Таблица4[[#This Row],[номер телефона клиента]])-13)</f>
        <v>+375</v>
      </c>
      <c r="G353" t="str">
        <f>_xlfn.XLOOKUP(Таблица4[[#This Row],[Коды телефона]],Таблица5[Код],Таблица5[Страна],"Не найдено",0)</f>
        <v>Беларусь</v>
      </c>
      <c r="H353" s="23">
        <f t="shared" ca="1" si="20"/>
        <v>46020</v>
      </c>
      <c r="I353" s="19">
        <f ca="1">(Таблица4[[#This Row],[Текущая дата]]-Таблица4[[#This Row],[Дата регистрации клиента]])/30</f>
        <v>38.366666666666667</v>
      </c>
      <c r="J353" t="str">
        <f t="shared" si="21"/>
        <v>Новикова</v>
      </c>
      <c r="K353" t="str">
        <f t="shared" si="22"/>
        <v>Ия</v>
      </c>
      <c r="L353" t="str">
        <f t="shared" si="23"/>
        <v>Рубеновна</v>
      </c>
    </row>
    <row r="354" spans="1:12" x14ac:dyDescent="0.25">
      <c r="A354">
        <v>173</v>
      </c>
      <c r="B354" t="s">
        <v>264</v>
      </c>
      <c r="C354" s="35" t="s">
        <v>263</v>
      </c>
      <c r="D354" t="s">
        <v>140</v>
      </c>
      <c r="E354" s="23">
        <v>44673</v>
      </c>
      <c r="F354" t="str">
        <f>LEFT(Таблица4[[#This Row],[номер телефона клиента]],LEN(Таблица4[[#This Row],[номер телефона клиента]])-13)</f>
        <v>+7</v>
      </c>
      <c r="G354" t="str">
        <f>_xlfn.XLOOKUP(Таблица4[[#This Row],[Коды телефона]],Таблица5[Код],Таблица5[Страна],"Не найдено",0)</f>
        <v>Россия</v>
      </c>
      <c r="H354" s="23">
        <f t="shared" ca="1" si="20"/>
        <v>46020</v>
      </c>
      <c r="I354" s="19">
        <f ca="1">(Таблица4[[#This Row],[Текущая дата]]-Таблица4[[#This Row],[Дата регистрации клиента]])/30</f>
        <v>44.9</v>
      </c>
      <c r="J354" t="str">
        <f t="shared" si="21"/>
        <v>Гаврилов</v>
      </c>
      <c r="K354" t="str">
        <f t="shared" si="22"/>
        <v>Матвей</v>
      </c>
      <c r="L354" t="str">
        <f t="shared" si="23"/>
        <v>Трифонович</v>
      </c>
    </row>
    <row r="355" spans="1:12" x14ac:dyDescent="0.25">
      <c r="A355">
        <v>485</v>
      </c>
      <c r="B355" t="s">
        <v>262</v>
      </c>
      <c r="C355" s="35" t="s">
        <v>261</v>
      </c>
      <c r="D355" t="s">
        <v>140</v>
      </c>
      <c r="E355" s="23">
        <v>44723</v>
      </c>
      <c r="F355" t="str">
        <f>LEFT(Таблица4[[#This Row],[номер телефона клиента]],LEN(Таблица4[[#This Row],[номер телефона клиента]])-13)</f>
        <v>+7</v>
      </c>
      <c r="G355" t="str">
        <f>_xlfn.XLOOKUP(Таблица4[[#This Row],[Коды телефона]],Таблица5[Код],Таблица5[Страна],"Не найдено",0)</f>
        <v>Россия</v>
      </c>
      <c r="H355" s="23">
        <f t="shared" ca="1" si="20"/>
        <v>46020</v>
      </c>
      <c r="I355" s="19">
        <f ca="1">(Таблица4[[#This Row],[Текущая дата]]-Таблица4[[#This Row],[Дата регистрации клиента]])/30</f>
        <v>43.233333333333334</v>
      </c>
      <c r="J355" t="str">
        <f t="shared" si="21"/>
        <v>Пономарев</v>
      </c>
      <c r="K355" t="str">
        <f t="shared" si="22"/>
        <v>Творимир</v>
      </c>
      <c r="L355" t="str">
        <f t="shared" si="23"/>
        <v>Демидович</v>
      </c>
    </row>
    <row r="356" spans="1:12" x14ac:dyDescent="0.25">
      <c r="A356">
        <v>401</v>
      </c>
      <c r="B356" t="s">
        <v>260</v>
      </c>
      <c r="C356" s="35" t="s">
        <v>1282</v>
      </c>
      <c r="D356" t="s">
        <v>140</v>
      </c>
      <c r="E356" s="23">
        <v>44856</v>
      </c>
      <c r="F356" t="str">
        <f>LEFT(Таблица4[[#This Row],[номер телефона клиента]],LEN(Таблица4[[#This Row],[номер телефона клиента]])-13)</f>
        <v>+7</v>
      </c>
      <c r="G356" t="str">
        <f>_xlfn.XLOOKUP(Таблица4[[#This Row],[Коды телефона]],Таблица5[Код],Таблица5[Страна],"Не найдено",0)</f>
        <v>Россия</v>
      </c>
      <c r="H356" s="23">
        <f t="shared" ca="1" si="20"/>
        <v>46020</v>
      </c>
      <c r="I356" s="19">
        <f ca="1">(Таблица4[[#This Row],[Текущая дата]]-Таблица4[[#This Row],[Дата регистрации клиента]])/30</f>
        <v>38.799999999999997</v>
      </c>
      <c r="J356" t="str">
        <f t="shared" si="21"/>
        <v>Кулакова</v>
      </c>
      <c r="K356" t="str">
        <f t="shared" si="22"/>
        <v>Екатерина</v>
      </c>
      <c r="L356" t="str">
        <f t="shared" si="23"/>
        <v>Рудольфовна</v>
      </c>
    </row>
    <row r="357" spans="1:12" x14ac:dyDescent="0.25">
      <c r="A357">
        <v>379</v>
      </c>
      <c r="B357" t="s">
        <v>259</v>
      </c>
      <c r="C357" s="35" t="s">
        <v>258</v>
      </c>
      <c r="D357" t="s">
        <v>140</v>
      </c>
      <c r="E357" s="23">
        <v>44581</v>
      </c>
      <c r="F357" t="str">
        <f>LEFT(Таблица4[[#This Row],[номер телефона клиента]],LEN(Таблица4[[#This Row],[номер телефона клиента]])-13)</f>
        <v>+992</v>
      </c>
      <c r="G357" t="str">
        <f>_xlfn.XLOOKUP(Таблица4[[#This Row],[Коды телефона]],Таблица5[Код],Таблица5[Страна],"Не найдено",0)</f>
        <v>Таджикистан</v>
      </c>
      <c r="H357" s="23">
        <f t="shared" ca="1" si="20"/>
        <v>46020</v>
      </c>
      <c r="I357" s="19">
        <f ca="1">(Таблица4[[#This Row],[Текущая дата]]-Таблица4[[#This Row],[Дата регистрации клиента]])/30</f>
        <v>47.966666666666669</v>
      </c>
      <c r="J357" t="str">
        <f t="shared" si="21"/>
        <v>Соколова</v>
      </c>
      <c r="K357" t="str">
        <f t="shared" si="22"/>
        <v>Кира</v>
      </c>
      <c r="L357" t="str">
        <f t="shared" si="23"/>
        <v>Дмитриевна</v>
      </c>
    </row>
    <row r="358" spans="1:12" x14ac:dyDescent="0.25">
      <c r="A358">
        <v>201</v>
      </c>
      <c r="B358" t="s">
        <v>257</v>
      </c>
      <c r="C358" s="35" t="s">
        <v>256</v>
      </c>
      <c r="D358" t="s">
        <v>142</v>
      </c>
      <c r="E358" s="23">
        <v>44843</v>
      </c>
      <c r="F358" t="str">
        <f>LEFT(Таблица4[[#This Row],[номер телефона клиента]],LEN(Таблица4[[#This Row],[номер телефона клиента]])-13)</f>
        <v>+992</v>
      </c>
      <c r="G358" t="str">
        <f>_xlfn.XLOOKUP(Таблица4[[#This Row],[Коды телефона]],Таблица5[Код],Таблица5[Страна],"Не найдено",0)</f>
        <v>Таджикистан</v>
      </c>
      <c r="H358" s="23">
        <f t="shared" ca="1" si="20"/>
        <v>46020</v>
      </c>
      <c r="I358" s="19">
        <f ca="1">(Таблица4[[#This Row],[Текущая дата]]-Таблица4[[#This Row],[Дата регистрации клиента]])/30</f>
        <v>39.233333333333334</v>
      </c>
      <c r="J358" t="str">
        <f t="shared" si="21"/>
        <v>Новиков</v>
      </c>
      <c r="K358" t="str">
        <f t="shared" si="22"/>
        <v>Ростислав</v>
      </c>
      <c r="L358" t="str">
        <f t="shared" si="23"/>
        <v>Августович</v>
      </c>
    </row>
    <row r="359" spans="1:12" x14ac:dyDescent="0.25">
      <c r="A359">
        <v>498</v>
      </c>
      <c r="B359" t="s">
        <v>255</v>
      </c>
      <c r="C359" s="35" t="s">
        <v>254</v>
      </c>
      <c r="D359" t="s">
        <v>142</v>
      </c>
      <c r="E359" s="23">
        <v>44721</v>
      </c>
      <c r="F359" t="str">
        <f>LEFT(Таблица4[[#This Row],[номер телефона клиента]],LEN(Таблица4[[#This Row],[номер телефона клиента]])-13)</f>
        <v>+380</v>
      </c>
      <c r="G359" t="str">
        <f>_xlfn.XLOOKUP(Таблица4[[#This Row],[Коды телефона]],Таблица5[Код],Таблица5[Страна],"Не найдено",0)</f>
        <v>Украина</v>
      </c>
      <c r="H359" s="23">
        <f t="shared" ca="1" si="20"/>
        <v>46020</v>
      </c>
      <c r="I359" s="19">
        <f ca="1">(Таблица4[[#This Row],[Текущая дата]]-Таблица4[[#This Row],[Дата регистрации клиента]])/30</f>
        <v>43.3</v>
      </c>
      <c r="J359" t="str">
        <f t="shared" si="21"/>
        <v>Моисеев</v>
      </c>
      <c r="K359" t="str">
        <f t="shared" si="22"/>
        <v>Евстафий</v>
      </c>
      <c r="L359" t="str">
        <f t="shared" si="23"/>
        <v>Чеславович</v>
      </c>
    </row>
    <row r="360" spans="1:12" x14ac:dyDescent="0.25">
      <c r="A360">
        <v>237</v>
      </c>
      <c r="B360" t="s">
        <v>253</v>
      </c>
      <c r="C360" s="35" t="s">
        <v>1283</v>
      </c>
      <c r="D360" t="s">
        <v>142</v>
      </c>
      <c r="E360" s="23">
        <v>44886</v>
      </c>
      <c r="F360" t="str">
        <f>LEFT(Таблица4[[#This Row],[номер телефона клиента]],LEN(Таблица4[[#This Row],[номер телефона клиента]])-13)</f>
        <v>+7</v>
      </c>
      <c r="G360" t="str">
        <f>_xlfn.XLOOKUP(Таблица4[[#This Row],[Коды телефона]],Таблица5[Код],Таблица5[Страна],"Не найдено",0)</f>
        <v>Россия</v>
      </c>
      <c r="H360" s="23">
        <f t="shared" ca="1" si="20"/>
        <v>46020</v>
      </c>
      <c r="I360" s="19">
        <f ca="1">(Таблица4[[#This Row],[Текущая дата]]-Таблица4[[#This Row],[Дата регистрации клиента]])/30</f>
        <v>37.799999999999997</v>
      </c>
      <c r="J360" t="str">
        <f t="shared" si="21"/>
        <v>Данилова</v>
      </c>
      <c r="K360" t="str">
        <f t="shared" si="22"/>
        <v>Елизавета</v>
      </c>
      <c r="L360" t="str">
        <f t="shared" si="23"/>
        <v>Артемовна</v>
      </c>
    </row>
    <row r="361" spans="1:12" x14ac:dyDescent="0.25">
      <c r="A361">
        <v>403</v>
      </c>
      <c r="B361" t="s">
        <v>252</v>
      </c>
      <c r="C361" s="35" t="s">
        <v>1284</v>
      </c>
      <c r="D361" t="s">
        <v>140</v>
      </c>
      <c r="E361" s="23">
        <v>44594</v>
      </c>
      <c r="F361" t="str">
        <f>LEFT(Таблица4[[#This Row],[номер телефона клиента]],LEN(Таблица4[[#This Row],[номер телефона клиента]])-13)</f>
        <v>+7</v>
      </c>
      <c r="G361" t="str">
        <f>_xlfn.XLOOKUP(Таблица4[[#This Row],[Коды телефона]],Таблица5[Код],Таблица5[Страна],"Не найдено",0)</f>
        <v>Россия</v>
      </c>
      <c r="H361" s="23">
        <f t="shared" ca="1" si="20"/>
        <v>46020</v>
      </c>
      <c r="I361" s="19">
        <f ca="1">(Таблица4[[#This Row],[Текущая дата]]-Таблица4[[#This Row],[Дата регистрации клиента]])/30</f>
        <v>47.533333333333331</v>
      </c>
      <c r="J361" t="str">
        <f t="shared" si="21"/>
        <v>Веселова</v>
      </c>
      <c r="K361" t="str">
        <f t="shared" si="22"/>
        <v>Фаина</v>
      </c>
      <c r="L361" t="str">
        <f t="shared" si="23"/>
        <v>Аркадьевна</v>
      </c>
    </row>
    <row r="362" spans="1:12" x14ac:dyDescent="0.25">
      <c r="A362">
        <v>460</v>
      </c>
      <c r="B362" t="s">
        <v>251</v>
      </c>
      <c r="C362" s="35" t="s">
        <v>1285</v>
      </c>
      <c r="D362" t="s">
        <v>140</v>
      </c>
      <c r="E362" s="23">
        <v>44821</v>
      </c>
      <c r="F362" t="str">
        <f>LEFT(Таблица4[[#This Row],[номер телефона клиента]],LEN(Таблица4[[#This Row],[номер телефона клиента]])-13)</f>
        <v>+7</v>
      </c>
      <c r="G362" t="str">
        <f>_xlfn.XLOOKUP(Таблица4[[#This Row],[Коды телефона]],Таблица5[Код],Таблица5[Страна],"Не найдено",0)</f>
        <v>Россия</v>
      </c>
      <c r="H362" s="23">
        <f t="shared" ca="1" si="20"/>
        <v>46020</v>
      </c>
      <c r="I362" s="19">
        <f ca="1">(Таблица4[[#This Row],[Текущая дата]]-Таблица4[[#This Row],[Дата регистрации клиента]])/30</f>
        <v>39.966666666666669</v>
      </c>
      <c r="J362" t="str">
        <f t="shared" si="21"/>
        <v>Кузнецова</v>
      </c>
      <c r="K362" t="str">
        <f t="shared" si="22"/>
        <v>Алевтина</v>
      </c>
      <c r="L362" t="str">
        <f t="shared" si="23"/>
        <v>Егоровна</v>
      </c>
    </row>
    <row r="363" spans="1:12" x14ac:dyDescent="0.25">
      <c r="A363">
        <v>50</v>
      </c>
      <c r="B363" t="s">
        <v>250</v>
      </c>
      <c r="C363" s="35" t="s">
        <v>1286</v>
      </c>
      <c r="D363" t="s">
        <v>142</v>
      </c>
      <c r="E363" s="23">
        <v>44576</v>
      </c>
      <c r="F363" t="str">
        <f>LEFT(Таблица4[[#This Row],[номер телефона клиента]],LEN(Таблица4[[#This Row],[номер телефона клиента]])-13)</f>
        <v>+998</v>
      </c>
      <c r="G363" t="str">
        <f>_xlfn.XLOOKUP(Таблица4[[#This Row],[Коды телефона]],Таблица5[Код],Таблица5[Страна],"Не найдено",0)</f>
        <v>Узбекистан</v>
      </c>
      <c r="H363" s="23">
        <f t="shared" ca="1" si="20"/>
        <v>46020</v>
      </c>
      <c r="I363" s="19">
        <f ca="1">(Таблица4[[#This Row],[Текущая дата]]-Таблица4[[#This Row],[Дата регистрации клиента]])/30</f>
        <v>48.133333333333333</v>
      </c>
      <c r="J363" t="str">
        <f t="shared" si="21"/>
        <v>Одинцов</v>
      </c>
      <c r="K363" t="str">
        <f t="shared" si="22"/>
        <v>Гостомысл</v>
      </c>
      <c r="L363" t="str">
        <f t="shared" si="23"/>
        <v>Фомич</v>
      </c>
    </row>
    <row r="364" spans="1:12" x14ac:dyDescent="0.25">
      <c r="A364">
        <v>197</v>
      </c>
      <c r="B364" t="s">
        <v>249</v>
      </c>
      <c r="C364" s="35" t="s">
        <v>1287</v>
      </c>
      <c r="D364" t="s">
        <v>140</v>
      </c>
      <c r="E364" s="23">
        <v>44785</v>
      </c>
      <c r="F364" t="str">
        <f>LEFT(Таблица4[[#This Row],[номер телефона клиента]],LEN(Таблица4[[#This Row],[номер телефона клиента]])-13)</f>
        <v>+380</v>
      </c>
      <c r="G364" t="str">
        <f>_xlfn.XLOOKUP(Таблица4[[#This Row],[Коды телефона]],Таблица5[Код],Таблица5[Страна],"Не найдено",0)</f>
        <v>Украина</v>
      </c>
      <c r="H364" s="23">
        <f t="shared" ca="1" si="20"/>
        <v>46020</v>
      </c>
      <c r="I364" s="19">
        <f ca="1">(Таблица4[[#This Row],[Текущая дата]]-Таблица4[[#This Row],[Дата регистрации клиента]])/30</f>
        <v>41.166666666666664</v>
      </c>
      <c r="J364" t="str">
        <f t="shared" si="21"/>
        <v>Миронова</v>
      </c>
      <c r="K364" t="str">
        <f t="shared" si="22"/>
        <v>Клавдия</v>
      </c>
      <c r="L364" t="str">
        <f t="shared" si="23"/>
        <v>Феликсовна</v>
      </c>
    </row>
    <row r="365" spans="1:12" x14ac:dyDescent="0.25">
      <c r="A365">
        <v>243</v>
      </c>
      <c r="B365" t="s">
        <v>248</v>
      </c>
      <c r="C365" s="35" t="s">
        <v>1288</v>
      </c>
      <c r="D365" t="s">
        <v>140</v>
      </c>
      <c r="E365" s="23">
        <v>44681</v>
      </c>
      <c r="F365" t="str">
        <f>LEFT(Таблица4[[#This Row],[номер телефона клиента]],LEN(Таблица4[[#This Row],[номер телефона клиента]])-13)</f>
        <v>+7</v>
      </c>
      <c r="G365" t="str">
        <f>_xlfn.XLOOKUP(Таблица4[[#This Row],[Коды телефона]],Таблица5[Код],Таблица5[Страна],"Не найдено",0)</f>
        <v>Россия</v>
      </c>
      <c r="H365" s="23">
        <f t="shared" ca="1" si="20"/>
        <v>46020</v>
      </c>
      <c r="I365" s="19">
        <f ca="1">(Таблица4[[#This Row],[Текущая дата]]-Таблица4[[#This Row],[Дата регистрации клиента]])/30</f>
        <v>44.633333333333333</v>
      </c>
      <c r="J365" t="str">
        <f t="shared" si="21"/>
        <v>Макарова</v>
      </c>
      <c r="K365" t="str">
        <f t="shared" si="22"/>
        <v>Марфа</v>
      </c>
      <c r="L365" t="str">
        <f t="shared" si="23"/>
        <v>Эдуардовна</v>
      </c>
    </row>
    <row r="366" spans="1:12" x14ac:dyDescent="0.25">
      <c r="A366">
        <v>45</v>
      </c>
      <c r="B366" t="s">
        <v>247</v>
      </c>
      <c r="C366" s="35" t="s">
        <v>1289</v>
      </c>
      <c r="D366" t="s">
        <v>142</v>
      </c>
      <c r="E366" s="23">
        <v>44662</v>
      </c>
      <c r="F366" t="str">
        <f>LEFT(Таблица4[[#This Row],[номер телефона клиента]],LEN(Таблица4[[#This Row],[номер телефона клиента]])-13)</f>
        <v>+998</v>
      </c>
      <c r="G366" t="str">
        <f>_xlfn.XLOOKUP(Таблица4[[#This Row],[Коды телефона]],Таблица5[Код],Таблица5[Страна],"Не найдено",0)</f>
        <v>Узбекистан</v>
      </c>
      <c r="H366" s="23">
        <f t="shared" ca="1" si="20"/>
        <v>46020</v>
      </c>
      <c r="I366" s="19">
        <f ca="1">(Таблица4[[#This Row],[Текущая дата]]-Таблица4[[#This Row],[Дата регистрации клиента]])/30</f>
        <v>45.266666666666666</v>
      </c>
      <c r="J366" t="str">
        <f t="shared" si="21"/>
        <v>Мамонтов</v>
      </c>
      <c r="K366" t="str">
        <f t="shared" si="22"/>
        <v>Елизар</v>
      </c>
      <c r="L366" t="str">
        <f t="shared" si="23"/>
        <v>Харлампьевич</v>
      </c>
    </row>
    <row r="367" spans="1:12" x14ac:dyDescent="0.25">
      <c r="A367">
        <v>242</v>
      </c>
      <c r="B367" t="s">
        <v>246</v>
      </c>
      <c r="C367" s="35" t="s">
        <v>1290</v>
      </c>
      <c r="D367" t="s">
        <v>140</v>
      </c>
      <c r="E367" s="23">
        <v>44747</v>
      </c>
      <c r="F367" t="str">
        <f>LEFT(Таблица4[[#This Row],[номер телефона клиента]],LEN(Таблица4[[#This Row],[номер телефона клиента]])-13)</f>
        <v>+7</v>
      </c>
      <c r="G367" t="str">
        <f>_xlfn.XLOOKUP(Таблица4[[#This Row],[Коды телефона]],Таблица5[Код],Таблица5[Страна],"Не найдено",0)</f>
        <v>Россия</v>
      </c>
      <c r="H367" s="23">
        <f t="shared" ca="1" si="20"/>
        <v>46020</v>
      </c>
      <c r="I367" s="19">
        <f ca="1">(Таблица4[[#This Row],[Текущая дата]]-Таблица4[[#This Row],[Дата регистрации клиента]])/30</f>
        <v>42.43333333333333</v>
      </c>
      <c r="J367" t="str">
        <f t="shared" si="21"/>
        <v>Зимина</v>
      </c>
      <c r="K367" t="str">
        <f t="shared" si="22"/>
        <v>Октябрина</v>
      </c>
      <c r="L367" t="str">
        <f t="shared" si="23"/>
        <v>Павловна</v>
      </c>
    </row>
    <row r="368" spans="1:12" x14ac:dyDescent="0.25">
      <c r="A368">
        <v>79</v>
      </c>
      <c r="B368" t="s">
        <v>245</v>
      </c>
      <c r="C368" s="35" t="s">
        <v>244</v>
      </c>
      <c r="D368" t="s">
        <v>140</v>
      </c>
      <c r="E368" s="23">
        <v>44716</v>
      </c>
      <c r="F368" t="str">
        <f>LEFT(Таблица4[[#This Row],[номер телефона клиента]],LEN(Таблица4[[#This Row],[номер телефона клиента]])-13)</f>
        <v>+992</v>
      </c>
      <c r="G368" t="str">
        <f>_xlfn.XLOOKUP(Таблица4[[#This Row],[Коды телефона]],Таблица5[Код],Таблица5[Страна],"Не найдено",0)</f>
        <v>Таджикистан</v>
      </c>
      <c r="H368" s="23">
        <f t="shared" ca="1" si="20"/>
        <v>46020</v>
      </c>
      <c r="I368" s="19">
        <f ca="1">(Таблица4[[#This Row],[Текущая дата]]-Таблица4[[#This Row],[Дата регистрации клиента]])/30</f>
        <v>43.466666666666669</v>
      </c>
      <c r="J368" t="str">
        <f t="shared" si="21"/>
        <v>Васильева</v>
      </c>
      <c r="K368" t="str">
        <f t="shared" si="22"/>
        <v>Анжелика</v>
      </c>
      <c r="L368" t="str">
        <f t="shared" si="23"/>
        <v>Наумовна</v>
      </c>
    </row>
    <row r="369" spans="1:12" x14ac:dyDescent="0.25">
      <c r="A369">
        <v>70</v>
      </c>
      <c r="B369" t="s">
        <v>243</v>
      </c>
      <c r="C369" s="35" t="s">
        <v>1291</v>
      </c>
      <c r="D369" t="s">
        <v>142</v>
      </c>
      <c r="E369" s="23">
        <v>44591</v>
      </c>
      <c r="F369" t="str">
        <f>LEFT(Таблица4[[#This Row],[номер телефона клиента]],LEN(Таблица4[[#This Row],[номер телефона клиента]])-13)</f>
        <v>+380</v>
      </c>
      <c r="G369" t="str">
        <f>_xlfn.XLOOKUP(Таблица4[[#This Row],[Коды телефона]],Таблица5[Код],Таблица5[Страна],"Не найдено",0)</f>
        <v>Украина</v>
      </c>
      <c r="H369" s="23">
        <f t="shared" ca="1" si="20"/>
        <v>46020</v>
      </c>
      <c r="I369" s="19">
        <f ca="1">(Таблица4[[#This Row],[Текущая дата]]-Таблица4[[#This Row],[Дата регистрации клиента]])/30</f>
        <v>47.633333333333333</v>
      </c>
      <c r="J369" t="str">
        <f t="shared" si="21"/>
        <v>Королев</v>
      </c>
      <c r="K369" t="str">
        <f t="shared" si="22"/>
        <v>Эммануил</v>
      </c>
      <c r="L369" t="str">
        <f t="shared" si="23"/>
        <v>Валерьевич</v>
      </c>
    </row>
    <row r="370" spans="1:12" x14ac:dyDescent="0.25">
      <c r="A370">
        <v>345</v>
      </c>
      <c r="B370" t="s">
        <v>242</v>
      </c>
      <c r="C370" s="35" t="s">
        <v>241</v>
      </c>
      <c r="D370" t="s">
        <v>142</v>
      </c>
      <c r="E370" s="23">
        <v>44705</v>
      </c>
      <c r="F370" t="str">
        <f>LEFT(Таблица4[[#This Row],[номер телефона клиента]],LEN(Таблица4[[#This Row],[номер телефона клиента]])-13)</f>
        <v>+375</v>
      </c>
      <c r="G370" t="str">
        <f>_xlfn.XLOOKUP(Таблица4[[#This Row],[Коды телефона]],Таблица5[Код],Таблица5[Страна],"Не найдено",0)</f>
        <v>Беларусь</v>
      </c>
      <c r="H370" s="23">
        <f t="shared" ca="1" si="20"/>
        <v>46020</v>
      </c>
      <c r="I370" s="19">
        <f ca="1">(Таблица4[[#This Row],[Текущая дата]]-Таблица4[[#This Row],[Дата регистрации клиента]])/30</f>
        <v>43.833333333333336</v>
      </c>
      <c r="J370" t="str">
        <f t="shared" si="21"/>
        <v>Лыткина</v>
      </c>
      <c r="K370" t="str">
        <f t="shared" si="22"/>
        <v>Ираида</v>
      </c>
      <c r="L370" t="str">
        <f t="shared" si="23"/>
        <v>Александровна</v>
      </c>
    </row>
    <row r="371" spans="1:12" x14ac:dyDescent="0.25">
      <c r="A371">
        <v>33</v>
      </c>
      <c r="B371" t="s">
        <v>240</v>
      </c>
      <c r="C371" s="35" t="s">
        <v>239</v>
      </c>
      <c r="D371" t="s">
        <v>140</v>
      </c>
      <c r="E371" s="23">
        <v>44730</v>
      </c>
      <c r="F371" t="str">
        <f>LEFT(Таблица4[[#This Row],[номер телефона клиента]],LEN(Таблица4[[#This Row],[номер телефона клиента]])-13)</f>
        <v>+7</v>
      </c>
      <c r="G371" t="str">
        <f>_xlfn.XLOOKUP(Таблица4[[#This Row],[Коды телефона]],Таблица5[Код],Таблица5[Страна],"Не найдено",0)</f>
        <v>Россия</v>
      </c>
      <c r="H371" s="23">
        <f t="shared" ca="1" si="20"/>
        <v>46020</v>
      </c>
      <c r="I371" s="19">
        <f ca="1">(Таблица4[[#This Row],[Текущая дата]]-Таблица4[[#This Row],[Дата регистрации клиента]])/30</f>
        <v>43</v>
      </c>
      <c r="J371" t="str">
        <f t="shared" si="21"/>
        <v>Фомичева</v>
      </c>
      <c r="K371" t="str">
        <f t="shared" si="22"/>
        <v>Феврония</v>
      </c>
      <c r="L371" t="str">
        <f t="shared" si="23"/>
        <v>Даниловна</v>
      </c>
    </row>
    <row r="372" spans="1:12" x14ac:dyDescent="0.25">
      <c r="A372">
        <v>7</v>
      </c>
      <c r="B372" t="s">
        <v>238</v>
      </c>
      <c r="C372" s="35" t="s">
        <v>237</v>
      </c>
      <c r="D372" t="s">
        <v>142</v>
      </c>
      <c r="E372" s="23">
        <v>44893</v>
      </c>
      <c r="F372" t="str">
        <f>LEFT(Таблица4[[#This Row],[номер телефона клиента]],LEN(Таблица4[[#This Row],[номер телефона клиента]])-13)</f>
        <v>+7</v>
      </c>
      <c r="G372" t="str">
        <f>_xlfn.XLOOKUP(Таблица4[[#This Row],[Коды телефона]],Таблица5[Код],Таблица5[Страна],"Не найдено",0)</f>
        <v>Россия</v>
      </c>
      <c r="H372" s="23">
        <f t="shared" ca="1" si="20"/>
        <v>46020</v>
      </c>
      <c r="I372" s="19">
        <f ca="1">(Таблица4[[#This Row],[Текущая дата]]-Таблица4[[#This Row],[Дата регистрации клиента]])/30</f>
        <v>37.56666666666667</v>
      </c>
      <c r="J372" t="str">
        <f t="shared" si="21"/>
        <v>Баранова</v>
      </c>
      <c r="K372" t="str">
        <f t="shared" si="22"/>
        <v>Раиса</v>
      </c>
      <c r="L372" t="str">
        <f t="shared" si="23"/>
        <v>Эльдаровна</v>
      </c>
    </row>
    <row r="373" spans="1:12" x14ac:dyDescent="0.25">
      <c r="A373">
        <v>494</v>
      </c>
      <c r="B373" t="s">
        <v>236</v>
      </c>
      <c r="C373" s="35" t="s">
        <v>1292</v>
      </c>
      <c r="D373" t="s">
        <v>140</v>
      </c>
      <c r="E373" s="23">
        <v>44738</v>
      </c>
      <c r="F373" t="str">
        <f>LEFT(Таблица4[[#This Row],[номер телефона клиента]],LEN(Таблица4[[#This Row],[номер телефона клиента]])-13)</f>
        <v>+375</v>
      </c>
      <c r="G373" t="str">
        <f>_xlfn.XLOOKUP(Таблица4[[#This Row],[Коды телефона]],Таблица5[Код],Таблица5[Страна],"Не найдено",0)</f>
        <v>Беларусь</v>
      </c>
      <c r="H373" s="23">
        <f t="shared" ca="1" si="20"/>
        <v>46020</v>
      </c>
      <c r="I373" s="19">
        <f ca="1">(Таблица4[[#This Row],[Текущая дата]]-Таблица4[[#This Row],[Дата регистрации клиента]])/30</f>
        <v>42.733333333333334</v>
      </c>
      <c r="J373" t="str">
        <f t="shared" si="21"/>
        <v>Ефимова</v>
      </c>
      <c r="K373" t="str">
        <f t="shared" si="22"/>
        <v>Анна</v>
      </c>
      <c r="L373" t="str">
        <f t="shared" si="23"/>
        <v>Филипповна</v>
      </c>
    </row>
    <row r="374" spans="1:12" x14ac:dyDescent="0.25">
      <c r="A374">
        <v>83</v>
      </c>
      <c r="B374" t="s">
        <v>235</v>
      </c>
      <c r="C374" s="35" t="s">
        <v>1293</v>
      </c>
      <c r="D374" t="s">
        <v>142</v>
      </c>
      <c r="E374" s="23">
        <v>44739</v>
      </c>
      <c r="F374" t="str">
        <f>LEFT(Таблица4[[#This Row],[номер телефона клиента]],LEN(Таблица4[[#This Row],[номер телефона клиента]])-13)</f>
        <v>+992</v>
      </c>
      <c r="G374" t="str">
        <f>_xlfn.XLOOKUP(Таблица4[[#This Row],[Коды телефона]],Таблица5[Код],Таблица5[Страна],"Не найдено",0)</f>
        <v>Таджикистан</v>
      </c>
      <c r="H374" s="23">
        <f t="shared" ca="1" si="20"/>
        <v>46020</v>
      </c>
      <c r="I374" s="19">
        <f ca="1">(Таблица4[[#This Row],[Текущая дата]]-Таблица4[[#This Row],[Дата регистрации клиента]])/30</f>
        <v>42.7</v>
      </c>
      <c r="J374" t="str">
        <f t="shared" si="21"/>
        <v>Зуев</v>
      </c>
      <c r="K374" t="str">
        <f t="shared" si="22"/>
        <v>Трифон</v>
      </c>
      <c r="L374" t="str">
        <f t="shared" si="23"/>
        <v>Зиновьевич</v>
      </c>
    </row>
    <row r="375" spans="1:12" x14ac:dyDescent="0.25">
      <c r="A375">
        <v>352</v>
      </c>
      <c r="B375" t="s">
        <v>234</v>
      </c>
      <c r="C375" s="35" t="s">
        <v>233</v>
      </c>
      <c r="D375" t="s">
        <v>140</v>
      </c>
      <c r="E375" s="23">
        <v>44573</v>
      </c>
      <c r="F375" t="str">
        <f>LEFT(Таблица4[[#This Row],[номер телефона клиента]],LEN(Таблица4[[#This Row],[номер телефона клиента]])-13)</f>
        <v>+7</v>
      </c>
      <c r="G375" t="str">
        <f>_xlfn.XLOOKUP(Таблица4[[#This Row],[Коды телефона]],Таблица5[Код],Таблица5[Страна],"Не найдено",0)</f>
        <v>Россия</v>
      </c>
      <c r="H375" s="23">
        <f t="shared" ca="1" si="20"/>
        <v>46020</v>
      </c>
      <c r="I375" s="19">
        <f ca="1">(Таблица4[[#This Row],[Текущая дата]]-Таблица4[[#This Row],[Дата регистрации клиента]])/30</f>
        <v>48.233333333333334</v>
      </c>
      <c r="J375" t="str">
        <f t="shared" si="21"/>
        <v>Нестерова</v>
      </c>
      <c r="K375" t="str">
        <f t="shared" si="22"/>
        <v>Таисия</v>
      </c>
      <c r="L375" t="str">
        <f t="shared" si="23"/>
        <v>Яковлевна</v>
      </c>
    </row>
    <row r="376" spans="1:12" x14ac:dyDescent="0.25">
      <c r="A376">
        <v>8</v>
      </c>
      <c r="B376" t="s">
        <v>232</v>
      </c>
      <c r="C376" s="35" t="s">
        <v>1294</v>
      </c>
      <c r="D376" t="s">
        <v>142</v>
      </c>
      <c r="E376" s="23">
        <v>44883</v>
      </c>
      <c r="F376" t="str">
        <f>LEFT(Таблица4[[#This Row],[номер телефона клиента]],LEN(Таблица4[[#This Row],[номер телефона клиента]])-13)</f>
        <v>+375</v>
      </c>
      <c r="G376" t="str">
        <f>_xlfn.XLOOKUP(Таблица4[[#This Row],[Коды телефона]],Таблица5[Код],Таблица5[Страна],"Не найдено",0)</f>
        <v>Беларусь</v>
      </c>
      <c r="H376" s="23">
        <f t="shared" ca="1" si="20"/>
        <v>46020</v>
      </c>
      <c r="I376" s="19">
        <f ca="1">(Таблица4[[#This Row],[Текущая дата]]-Таблица4[[#This Row],[Дата регистрации клиента]])/30</f>
        <v>37.9</v>
      </c>
      <c r="J376" t="str">
        <f t="shared" si="21"/>
        <v>Шарова</v>
      </c>
      <c r="K376" t="str">
        <f t="shared" si="22"/>
        <v>Ирина</v>
      </c>
      <c r="L376" t="str">
        <f t="shared" si="23"/>
        <v>Макаровна</v>
      </c>
    </row>
    <row r="377" spans="1:12" x14ac:dyDescent="0.25">
      <c r="A377">
        <v>291</v>
      </c>
      <c r="B377" t="s">
        <v>231</v>
      </c>
      <c r="C377" s="35" t="s">
        <v>230</v>
      </c>
      <c r="D377" t="s">
        <v>142</v>
      </c>
      <c r="E377" s="23">
        <v>44710</v>
      </c>
      <c r="F377" t="str">
        <f>LEFT(Таблица4[[#This Row],[номер телефона клиента]],LEN(Таблица4[[#This Row],[номер телефона клиента]])-13)</f>
        <v>+992</v>
      </c>
      <c r="G377" t="str">
        <f>_xlfn.XLOOKUP(Таблица4[[#This Row],[Коды телефона]],Таблица5[Код],Таблица5[Страна],"Не найдено",0)</f>
        <v>Таджикистан</v>
      </c>
      <c r="H377" s="23">
        <f t="shared" ca="1" si="20"/>
        <v>46020</v>
      </c>
      <c r="I377" s="19">
        <f ca="1">(Таблица4[[#This Row],[Текущая дата]]-Таблица4[[#This Row],[Дата регистрации клиента]])/30</f>
        <v>43.666666666666664</v>
      </c>
      <c r="J377" t="str">
        <f t="shared" si="21"/>
        <v>Кононова</v>
      </c>
      <c r="K377" t="str">
        <f t="shared" si="22"/>
        <v>Элеонора</v>
      </c>
      <c r="L377" t="str">
        <f t="shared" si="23"/>
        <v>Юрьевна</v>
      </c>
    </row>
    <row r="378" spans="1:12" x14ac:dyDescent="0.25">
      <c r="A378">
        <v>418</v>
      </c>
      <c r="B378" t="s">
        <v>229</v>
      </c>
      <c r="C378" s="35" t="s">
        <v>1295</v>
      </c>
      <c r="D378" t="s">
        <v>142</v>
      </c>
      <c r="E378" s="23">
        <v>44700</v>
      </c>
      <c r="F378" t="str">
        <f>LEFT(Таблица4[[#This Row],[номер телефона клиента]],LEN(Таблица4[[#This Row],[номер телефона клиента]])-13)</f>
        <v>+375</v>
      </c>
      <c r="G378" t="str">
        <f>_xlfn.XLOOKUP(Таблица4[[#This Row],[Коды телефона]],Таблица5[Код],Таблица5[Страна],"Не найдено",0)</f>
        <v>Беларусь</v>
      </c>
      <c r="H378" s="23">
        <f t="shared" ca="1" si="20"/>
        <v>46020</v>
      </c>
      <c r="I378" s="19">
        <f ca="1">(Таблица4[[#This Row],[Текущая дата]]-Таблица4[[#This Row],[Дата регистрации клиента]])/30</f>
        <v>44</v>
      </c>
      <c r="J378" t="str">
        <f t="shared" si="21"/>
        <v>Новикова</v>
      </c>
      <c r="K378" t="str">
        <f t="shared" si="22"/>
        <v>Любовь</v>
      </c>
      <c r="L378" t="str">
        <f t="shared" si="23"/>
        <v>Богдановна</v>
      </c>
    </row>
    <row r="379" spans="1:12" x14ac:dyDescent="0.25">
      <c r="A379">
        <v>470</v>
      </c>
      <c r="B379" t="s">
        <v>228</v>
      </c>
      <c r="C379" s="35" t="s">
        <v>227</v>
      </c>
      <c r="D379" t="s">
        <v>142</v>
      </c>
      <c r="E379" s="23">
        <v>44690</v>
      </c>
      <c r="F379" t="str">
        <f>LEFT(Таблица4[[#This Row],[номер телефона клиента]],LEN(Таблица4[[#This Row],[номер телефона клиента]])-13)</f>
        <v>+992</v>
      </c>
      <c r="G379" t="str">
        <f>_xlfn.XLOOKUP(Таблица4[[#This Row],[Коды телефона]],Таблица5[Код],Таблица5[Страна],"Не найдено",0)</f>
        <v>Таджикистан</v>
      </c>
      <c r="H379" s="23">
        <f t="shared" ca="1" si="20"/>
        <v>46020</v>
      </c>
      <c r="I379" s="19">
        <f ca="1">(Таблица4[[#This Row],[Текущая дата]]-Таблица4[[#This Row],[Дата регистрации клиента]])/30</f>
        <v>44.333333333333336</v>
      </c>
      <c r="J379" t="str">
        <f t="shared" si="21"/>
        <v>Русакова</v>
      </c>
      <c r="K379" t="str">
        <f t="shared" si="22"/>
        <v>Полина</v>
      </c>
      <c r="L379" t="str">
        <f t="shared" si="23"/>
        <v>Михайловна</v>
      </c>
    </row>
    <row r="380" spans="1:12" x14ac:dyDescent="0.25">
      <c r="A380">
        <v>123</v>
      </c>
      <c r="B380" t="s">
        <v>226</v>
      </c>
      <c r="C380" s="35" t="s">
        <v>225</v>
      </c>
      <c r="D380" t="s">
        <v>140</v>
      </c>
      <c r="E380" s="23">
        <v>44600</v>
      </c>
      <c r="F380" t="str">
        <f>LEFT(Таблица4[[#This Row],[номер телефона клиента]],LEN(Таблица4[[#This Row],[номер телефона клиента]])-13)</f>
        <v>+7</v>
      </c>
      <c r="G380" t="str">
        <f>_xlfn.XLOOKUP(Таблица4[[#This Row],[Коды телефона]],Таблица5[Код],Таблица5[Страна],"Не найдено",0)</f>
        <v>Россия</v>
      </c>
      <c r="H380" s="23">
        <f t="shared" ca="1" si="20"/>
        <v>46020</v>
      </c>
      <c r="I380" s="19">
        <f ca="1">(Таблица4[[#This Row],[Текущая дата]]-Таблица4[[#This Row],[Дата регистрации клиента]])/30</f>
        <v>47.333333333333336</v>
      </c>
      <c r="J380" t="str">
        <f t="shared" si="21"/>
        <v>Ермаков</v>
      </c>
      <c r="K380" t="str">
        <f t="shared" si="22"/>
        <v>Всеслав</v>
      </c>
      <c r="L380" t="str">
        <f t="shared" si="23"/>
        <v>Эдуардович</v>
      </c>
    </row>
    <row r="381" spans="1:12" x14ac:dyDescent="0.25">
      <c r="A381">
        <v>442</v>
      </c>
      <c r="B381" t="s">
        <v>224</v>
      </c>
      <c r="C381" s="35" t="s">
        <v>1296</v>
      </c>
      <c r="D381" t="s">
        <v>140</v>
      </c>
      <c r="E381" s="23">
        <v>44746</v>
      </c>
      <c r="F381" t="str">
        <f>LEFT(Таблица4[[#This Row],[номер телефона клиента]],LEN(Таблица4[[#This Row],[номер телефона клиента]])-13)</f>
        <v>+992</v>
      </c>
      <c r="G381" t="str">
        <f>_xlfn.XLOOKUP(Таблица4[[#This Row],[Коды телефона]],Таблица5[Код],Таблица5[Страна],"Не найдено",0)</f>
        <v>Таджикистан</v>
      </c>
      <c r="H381" s="23">
        <f t="shared" ca="1" si="20"/>
        <v>46020</v>
      </c>
      <c r="I381" s="19">
        <f ca="1">(Таблица4[[#This Row],[Текущая дата]]-Таблица4[[#This Row],[Дата регистрации клиента]])/30</f>
        <v>42.466666666666669</v>
      </c>
      <c r="J381" t="str">
        <f t="shared" si="21"/>
        <v>Медведев</v>
      </c>
      <c r="K381" t="str">
        <f t="shared" si="22"/>
        <v>Гордей</v>
      </c>
      <c r="L381" t="str">
        <f t="shared" si="23"/>
        <v>Матвеевич</v>
      </c>
    </row>
    <row r="382" spans="1:12" x14ac:dyDescent="0.25">
      <c r="A382">
        <v>218</v>
      </c>
      <c r="B382" t="s">
        <v>223</v>
      </c>
      <c r="C382" s="35" t="s">
        <v>1297</v>
      </c>
      <c r="D382" t="s">
        <v>140</v>
      </c>
      <c r="E382" s="23">
        <v>44721</v>
      </c>
      <c r="F382" t="str">
        <f>LEFT(Таблица4[[#This Row],[номер телефона клиента]],LEN(Таблица4[[#This Row],[номер телефона клиента]])-13)</f>
        <v>+998</v>
      </c>
      <c r="G382" t="str">
        <f>_xlfn.XLOOKUP(Таблица4[[#This Row],[Коды телефона]],Таблица5[Код],Таблица5[Страна],"Не найдено",0)</f>
        <v>Узбекистан</v>
      </c>
      <c r="H382" s="23">
        <f t="shared" ca="1" si="20"/>
        <v>46020</v>
      </c>
      <c r="I382" s="19">
        <f ca="1">(Таблица4[[#This Row],[Текущая дата]]-Таблица4[[#This Row],[Дата регистрации клиента]])/30</f>
        <v>43.3</v>
      </c>
      <c r="J382" t="str">
        <f t="shared" si="21"/>
        <v>Исакова</v>
      </c>
      <c r="K382" t="str">
        <f t="shared" si="22"/>
        <v>Алевтина</v>
      </c>
      <c r="L382" t="str">
        <f t="shared" si="23"/>
        <v>Алексеевна</v>
      </c>
    </row>
    <row r="383" spans="1:12" x14ac:dyDescent="0.25">
      <c r="A383">
        <v>331</v>
      </c>
      <c r="B383" t="s">
        <v>222</v>
      </c>
      <c r="C383" s="35" t="s">
        <v>221</v>
      </c>
      <c r="D383" t="s">
        <v>140</v>
      </c>
      <c r="E383" s="23">
        <v>44813</v>
      </c>
      <c r="F383" t="str">
        <f>LEFT(Таблица4[[#This Row],[номер телефона клиента]],LEN(Таблица4[[#This Row],[номер телефона клиента]])-13)</f>
        <v>+998</v>
      </c>
      <c r="G383" t="str">
        <f>_xlfn.XLOOKUP(Таблица4[[#This Row],[Коды телефона]],Таблица5[Код],Таблица5[Страна],"Не найдено",0)</f>
        <v>Узбекистан</v>
      </c>
      <c r="H383" s="23">
        <f t="shared" ca="1" si="20"/>
        <v>46020</v>
      </c>
      <c r="I383" s="19">
        <f ca="1">(Таблица4[[#This Row],[Текущая дата]]-Таблица4[[#This Row],[Дата регистрации клиента]])/30</f>
        <v>40.233333333333334</v>
      </c>
      <c r="J383" t="str">
        <f t="shared" si="21"/>
        <v>Мартынов</v>
      </c>
      <c r="K383" t="str">
        <f t="shared" si="22"/>
        <v>Фома</v>
      </c>
      <c r="L383" t="str">
        <f t="shared" si="23"/>
        <v>Гордеевич</v>
      </c>
    </row>
    <row r="384" spans="1:12" x14ac:dyDescent="0.25">
      <c r="A384">
        <v>196</v>
      </c>
      <c r="B384" t="s">
        <v>220</v>
      </c>
      <c r="C384" s="35" t="s">
        <v>219</v>
      </c>
      <c r="D384" t="s">
        <v>142</v>
      </c>
      <c r="E384" s="23">
        <v>44835</v>
      </c>
      <c r="F384" t="str">
        <f>LEFT(Таблица4[[#This Row],[номер телефона клиента]],LEN(Таблица4[[#This Row],[номер телефона клиента]])-13)</f>
        <v>+7</v>
      </c>
      <c r="G384" t="str">
        <f>_xlfn.XLOOKUP(Таблица4[[#This Row],[Коды телефона]],Таблица5[Код],Таблица5[Страна],"Не найдено",0)</f>
        <v>Россия</v>
      </c>
      <c r="H384" s="23">
        <f t="shared" ca="1" si="20"/>
        <v>46020</v>
      </c>
      <c r="I384" s="19">
        <f ca="1">(Таблица4[[#This Row],[Текущая дата]]-Таблица4[[#This Row],[Дата регистрации клиента]])/30</f>
        <v>39.5</v>
      </c>
      <c r="J384" t="str">
        <f t="shared" si="21"/>
        <v>Петрова</v>
      </c>
      <c r="K384" t="str">
        <f t="shared" si="22"/>
        <v>Майя</v>
      </c>
      <c r="L384" t="str">
        <f t="shared" si="23"/>
        <v>Богдановна</v>
      </c>
    </row>
    <row r="385" spans="1:12" x14ac:dyDescent="0.25">
      <c r="A385">
        <v>36</v>
      </c>
      <c r="B385" t="s">
        <v>218</v>
      </c>
      <c r="C385" s="35" t="s">
        <v>217</v>
      </c>
      <c r="D385" t="s">
        <v>140</v>
      </c>
      <c r="E385" s="23">
        <v>44700</v>
      </c>
      <c r="F385" t="str">
        <f>LEFT(Таблица4[[#This Row],[номер телефона клиента]],LEN(Таблица4[[#This Row],[номер телефона клиента]])-13)</f>
        <v>+7</v>
      </c>
      <c r="G385" t="str">
        <f>_xlfn.XLOOKUP(Таблица4[[#This Row],[Коды телефона]],Таблица5[Код],Таблица5[Страна],"Не найдено",0)</f>
        <v>Россия</v>
      </c>
      <c r="H385" s="23">
        <f t="shared" ca="1" si="20"/>
        <v>46020</v>
      </c>
      <c r="I385" s="19">
        <f ca="1">(Таблица4[[#This Row],[Текущая дата]]-Таблица4[[#This Row],[Дата регистрации клиента]])/30</f>
        <v>44</v>
      </c>
      <c r="J385" t="str">
        <f t="shared" si="21"/>
        <v>Бобылева</v>
      </c>
      <c r="K385" t="str">
        <f t="shared" si="22"/>
        <v>Анна</v>
      </c>
      <c r="L385" t="str">
        <f t="shared" si="23"/>
        <v>Мироновна</v>
      </c>
    </row>
    <row r="386" spans="1:12" x14ac:dyDescent="0.25">
      <c r="A386">
        <v>22</v>
      </c>
      <c r="B386" t="s">
        <v>216</v>
      </c>
      <c r="C386" s="35" t="s">
        <v>215</v>
      </c>
      <c r="D386" t="s">
        <v>142</v>
      </c>
      <c r="E386" s="23">
        <v>44870</v>
      </c>
      <c r="F386" t="str">
        <f>LEFT(Таблица4[[#This Row],[номер телефона клиента]],LEN(Таблица4[[#This Row],[номер телефона клиента]])-13)</f>
        <v>+375</v>
      </c>
      <c r="G386" t="str">
        <f>_xlfn.XLOOKUP(Таблица4[[#This Row],[Коды телефона]],Таблица5[Код],Таблица5[Страна],"Не найдено",0)</f>
        <v>Беларусь</v>
      </c>
      <c r="H386" s="23">
        <f t="shared" ref="H386:H435" ca="1" si="24">TODAY()</f>
        <v>46020</v>
      </c>
      <c r="I386" s="19">
        <f ca="1">(Таблица4[[#This Row],[Текущая дата]]-Таблица4[[#This Row],[Дата регистрации клиента]])/30</f>
        <v>38.333333333333336</v>
      </c>
      <c r="J386" t="str">
        <f t="shared" ref="J386:J435" si="25">LEFT(C386,FIND(" ",C386)-1)</f>
        <v>Кудряшов</v>
      </c>
      <c r="K386" t="str">
        <f t="shared" ref="K386:K435" si="26">MID(C386,FIND(" ",C386)+1,FIND(" ",C386,FIND(" ",C386)+1)-FIND(" ",C386)-1)</f>
        <v>Влас</v>
      </c>
      <c r="L386" t="str">
        <f t="shared" ref="L386:L435" si="27">RIGHT(C386,LEN(C386)-FIND("~",SUBSTITUTE(C386," ","~",2)))</f>
        <v>Алексеевич</v>
      </c>
    </row>
    <row r="387" spans="1:12" x14ac:dyDescent="0.25">
      <c r="A387">
        <v>360</v>
      </c>
      <c r="B387" t="s">
        <v>214</v>
      </c>
      <c r="C387" s="35" t="s">
        <v>213</v>
      </c>
      <c r="D387" t="s">
        <v>140</v>
      </c>
      <c r="E387" s="23">
        <v>44728</v>
      </c>
      <c r="F387" t="str">
        <f>LEFT(Таблица4[[#This Row],[номер телефона клиента]],LEN(Таблица4[[#This Row],[номер телефона клиента]])-13)</f>
        <v>+375</v>
      </c>
      <c r="G387" t="str">
        <f>_xlfn.XLOOKUP(Таблица4[[#This Row],[Коды телефона]],Таблица5[Код],Таблица5[Страна],"Не найдено",0)</f>
        <v>Беларусь</v>
      </c>
      <c r="H387" s="23">
        <f t="shared" ca="1" si="24"/>
        <v>46020</v>
      </c>
      <c r="I387" s="19">
        <f ca="1">(Таблица4[[#This Row],[Текущая дата]]-Таблица4[[#This Row],[Дата регистрации клиента]])/30</f>
        <v>43.06666666666667</v>
      </c>
      <c r="J387" t="str">
        <f t="shared" si="25"/>
        <v>Миронов</v>
      </c>
      <c r="K387" t="str">
        <f t="shared" si="26"/>
        <v>Фома</v>
      </c>
      <c r="L387" t="str">
        <f t="shared" si="27"/>
        <v>Вилорович</v>
      </c>
    </row>
    <row r="388" spans="1:12" x14ac:dyDescent="0.25">
      <c r="A388">
        <v>188</v>
      </c>
      <c r="B388" t="s">
        <v>212</v>
      </c>
      <c r="C388" s="35" t="s">
        <v>1298</v>
      </c>
      <c r="D388" t="s">
        <v>140</v>
      </c>
      <c r="E388" s="23">
        <v>44801</v>
      </c>
      <c r="F388" t="str">
        <f>LEFT(Таблица4[[#This Row],[номер телефона клиента]],LEN(Таблица4[[#This Row],[номер телефона клиента]])-13)</f>
        <v>+992</v>
      </c>
      <c r="G388" t="str">
        <f>_xlfn.XLOOKUP(Таблица4[[#This Row],[Коды телефона]],Таблица5[Код],Таблица5[Страна],"Не найдено",0)</f>
        <v>Таджикистан</v>
      </c>
      <c r="H388" s="23">
        <f t="shared" ca="1" si="24"/>
        <v>46020</v>
      </c>
      <c r="I388" s="19">
        <f ca="1">(Таблица4[[#This Row],[Текущая дата]]-Таблица4[[#This Row],[Дата регистрации клиента]])/30</f>
        <v>40.633333333333333</v>
      </c>
      <c r="J388" t="str">
        <f t="shared" si="25"/>
        <v>Алексеев</v>
      </c>
      <c r="K388" t="str">
        <f t="shared" si="26"/>
        <v>Харлампий</v>
      </c>
      <c r="L388" t="str">
        <f t="shared" si="27"/>
        <v>Демьянович</v>
      </c>
    </row>
    <row r="389" spans="1:12" x14ac:dyDescent="0.25">
      <c r="A389">
        <v>63</v>
      </c>
      <c r="B389" t="s">
        <v>211</v>
      </c>
      <c r="C389" s="35" t="s">
        <v>210</v>
      </c>
      <c r="D389" t="s">
        <v>142</v>
      </c>
      <c r="E389" s="23">
        <v>44684</v>
      </c>
      <c r="F389" t="str">
        <f>LEFT(Таблица4[[#This Row],[номер телефона клиента]],LEN(Таблица4[[#This Row],[номер телефона клиента]])-13)</f>
        <v>+380</v>
      </c>
      <c r="G389" t="str">
        <f>_xlfn.XLOOKUP(Таблица4[[#This Row],[Коды телефона]],Таблица5[Код],Таблица5[Страна],"Не найдено",0)</f>
        <v>Украина</v>
      </c>
      <c r="H389" s="23">
        <f t="shared" ca="1" si="24"/>
        <v>46020</v>
      </c>
      <c r="I389" s="19">
        <f ca="1">(Таблица4[[#This Row],[Текущая дата]]-Таблица4[[#This Row],[Дата регистрации клиента]])/30</f>
        <v>44.533333333333331</v>
      </c>
      <c r="J389" t="str">
        <f t="shared" si="25"/>
        <v>Горшкова</v>
      </c>
      <c r="K389" t="str">
        <f t="shared" si="26"/>
        <v>Клавдия</v>
      </c>
      <c r="L389" t="str">
        <f t="shared" si="27"/>
        <v>Борисовна</v>
      </c>
    </row>
    <row r="390" spans="1:12" x14ac:dyDescent="0.25">
      <c r="A390">
        <v>238</v>
      </c>
      <c r="B390" t="s">
        <v>209</v>
      </c>
      <c r="C390" s="35" t="s">
        <v>208</v>
      </c>
      <c r="D390" t="s">
        <v>142</v>
      </c>
      <c r="E390" s="23">
        <v>44909</v>
      </c>
      <c r="F390" t="str">
        <f>LEFT(Таблица4[[#This Row],[номер телефона клиента]],LEN(Таблица4[[#This Row],[номер телефона клиента]])-13)</f>
        <v>+380</v>
      </c>
      <c r="G390" t="str">
        <f>_xlfn.XLOOKUP(Таблица4[[#This Row],[Коды телефона]],Таблица5[Код],Таблица5[Страна],"Не найдено",0)</f>
        <v>Украина</v>
      </c>
      <c r="H390" s="23">
        <f t="shared" ca="1" si="24"/>
        <v>46020</v>
      </c>
      <c r="I390" s="19">
        <f ca="1">(Таблица4[[#This Row],[Текущая дата]]-Таблица4[[#This Row],[Дата регистрации клиента]])/30</f>
        <v>37.033333333333331</v>
      </c>
      <c r="J390" t="str">
        <f t="shared" si="25"/>
        <v>Григорьев</v>
      </c>
      <c r="K390" t="str">
        <f t="shared" si="26"/>
        <v>Сократ</v>
      </c>
      <c r="L390" t="str">
        <f t="shared" si="27"/>
        <v>Ануфриевич</v>
      </c>
    </row>
    <row r="391" spans="1:12" x14ac:dyDescent="0.25">
      <c r="A391">
        <v>105</v>
      </c>
      <c r="B391" t="s">
        <v>207</v>
      </c>
      <c r="C391" s="35" t="s">
        <v>206</v>
      </c>
      <c r="D391" t="s">
        <v>142</v>
      </c>
      <c r="E391" s="23">
        <v>44918</v>
      </c>
      <c r="F391" t="str">
        <f>LEFT(Таблица4[[#This Row],[номер телефона клиента]],LEN(Таблица4[[#This Row],[номер телефона клиента]])-13)</f>
        <v>+998</v>
      </c>
      <c r="G391" t="str">
        <f>_xlfn.XLOOKUP(Таблица4[[#This Row],[Коды телефона]],Таблица5[Код],Таблица5[Страна],"Не найдено",0)</f>
        <v>Узбекистан</v>
      </c>
      <c r="H391" s="23">
        <f t="shared" ca="1" si="24"/>
        <v>46020</v>
      </c>
      <c r="I391" s="19">
        <f ca="1">(Таблица4[[#This Row],[Текущая дата]]-Таблица4[[#This Row],[Дата регистрации клиента]])/30</f>
        <v>36.733333333333334</v>
      </c>
      <c r="J391" t="str">
        <f t="shared" si="25"/>
        <v>Овчинникова</v>
      </c>
      <c r="K391" t="str">
        <f t="shared" si="26"/>
        <v>Зоя</v>
      </c>
      <c r="L391" t="str">
        <f t="shared" si="27"/>
        <v>Вячеславовна</v>
      </c>
    </row>
    <row r="392" spans="1:12" x14ac:dyDescent="0.25">
      <c r="A392">
        <v>260</v>
      </c>
      <c r="B392" t="s">
        <v>205</v>
      </c>
      <c r="C392" s="35" t="s">
        <v>204</v>
      </c>
      <c r="D392" t="s">
        <v>142</v>
      </c>
      <c r="E392" s="23">
        <v>44729</v>
      </c>
      <c r="F392" t="str">
        <f>LEFT(Таблица4[[#This Row],[номер телефона клиента]],LEN(Таблица4[[#This Row],[номер телефона клиента]])-13)</f>
        <v>+380</v>
      </c>
      <c r="G392" t="str">
        <f>_xlfn.XLOOKUP(Таблица4[[#This Row],[Коды телефона]],Таблица5[Код],Таблица5[Страна],"Не найдено",0)</f>
        <v>Украина</v>
      </c>
      <c r="H392" s="23">
        <f t="shared" ca="1" si="24"/>
        <v>46020</v>
      </c>
      <c r="I392" s="19">
        <f ca="1">(Таблица4[[#This Row],[Текущая дата]]-Таблица4[[#This Row],[Дата регистрации клиента]])/30</f>
        <v>43.033333333333331</v>
      </c>
      <c r="J392" t="str">
        <f t="shared" si="25"/>
        <v>Титова</v>
      </c>
      <c r="K392" t="str">
        <f t="shared" si="26"/>
        <v>Ксения</v>
      </c>
      <c r="L392" t="str">
        <f t="shared" si="27"/>
        <v>Дмитриевна</v>
      </c>
    </row>
    <row r="393" spans="1:12" x14ac:dyDescent="0.25">
      <c r="A393">
        <v>394</v>
      </c>
      <c r="B393" t="s">
        <v>203</v>
      </c>
      <c r="C393" s="35" t="s">
        <v>202</v>
      </c>
      <c r="D393" t="s">
        <v>142</v>
      </c>
      <c r="E393" s="23">
        <v>44708</v>
      </c>
      <c r="F393" t="str">
        <f>LEFT(Таблица4[[#This Row],[номер телефона клиента]],LEN(Таблица4[[#This Row],[номер телефона клиента]])-13)</f>
        <v>+7</v>
      </c>
      <c r="G393" t="str">
        <f>_xlfn.XLOOKUP(Таблица4[[#This Row],[Коды телефона]],Таблица5[Код],Таблица5[Страна],"Не найдено",0)</f>
        <v>Россия</v>
      </c>
      <c r="H393" s="23">
        <f t="shared" ca="1" si="24"/>
        <v>46020</v>
      </c>
      <c r="I393" s="19">
        <f ca="1">(Таблица4[[#This Row],[Текущая дата]]-Таблица4[[#This Row],[Дата регистрации клиента]])/30</f>
        <v>43.733333333333334</v>
      </c>
      <c r="J393" t="str">
        <f t="shared" si="25"/>
        <v>Князев</v>
      </c>
      <c r="K393" t="str">
        <f t="shared" si="26"/>
        <v>Платон</v>
      </c>
      <c r="L393" t="str">
        <f t="shared" si="27"/>
        <v>Андреевич</v>
      </c>
    </row>
    <row r="394" spans="1:12" x14ac:dyDescent="0.25">
      <c r="A394">
        <v>248</v>
      </c>
      <c r="B394" t="s">
        <v>201</v>
      </c>
      <c r="C394" s="35" t="s">
        <v>200</v>
      </c>
      <c r="D394" t="s">
        <v>140</v>
      </c>
      <c r="E394" s="23">
        <v>44694</v>
      </c>
      <c r="F394" t="str">
        <f>LEFT(Таблица4[[#This Row],[номер телефона клиента]],LEN(Таблица4[[#This Row],[номер телефона клиента]])-13)</f>
        <v>+7</v>
      </c>
      <c r="G394" t="str">
        <f>_xlfn.XLOOKUP(Таблица4[[#This Row],[Коды телефона]],Таблица5[Код],Таблица5[Страна],"Не найдено",0)</f>
        <v>Россия</v>
      </c>
      <c r="H394" s="23">
        <f t="shared" ca="1" si="24"/>
        <v>46020</v>
      </c>
      <c r="I394" s="19">
        <f ca="1">(Таблица4[[#This Row],[Текущая дата]]-Таблица4[[#This Row],[Дата регистрации клиента]])/30</f>
        <v>44.2</v>
      </c>
      <c r="J394" t="str">
        <f t="shared" si="25"/>
        <v>Меркушева</v>
      </c>
      <c r="K394" t="str">
        <f t="shared" si="26"/>
        <v>Марина</v>
      </c>
      <c r="L394" t="str">
        <f t="shared" si="27"/>
        <v>Наумовна</v>
      </c>
    </row>
    <row r="395" spans="1:12" x14ac:dyDescent="0.25">
      <c r="A395">
        <v>3</v>
      </c>
      <c r="B395" t="s">
        <v>199</v>
      </c>
      <c r="C395" s="35" t="s">
        <v>198</v>
      </c>
      <c r="D395" t="s">
        <v>140</v>
      </c>
      <c r="E395" s="23">
        <v>44666</v>
      </c>
      <c r="F395" t="str">
        <f>LEFT(Таблица4[[#This Row],[номер телефона клиента]],LEN(Таблица4[[#This Row],[номер телефона клиента]])-13)</f>
        <v>+380</v>
      </c>
      <c r="G395" t="str">
        <f>_xlfn.XLOOKUP(Таблица4[[#This Row],[Коды телефона]],Таблица5[Код],Таблица5[Страна],"Не найдено",0)</f>
        <v>Украина</v>
      </c>
      <c r="H395" s="23">
        <f t="shared" ca="1" si="24"/>
        <v>46020</v>
      </c>
      <c r="I395" s="19">
        <f ca="1">(Таблица4[[#This Row],[Текущая дата]]-Таблица4[[#This Row],[Дата регистрации клиента]])/30</f>
        <v>45.133333333333333</v>
      </c>
      <c r="J395" t="str">
        <f t="shared" si="25"/>
        <v>Якушева</v>
      </c>
      <c r="K395" t="str">
        <f t="shared" si="26"/>
        <v>Светлана</v>
      </c>
      <c r="L395" t="str">
        <f t="shared" si="27"/>
        <v>Даниловна</v>
      </c>
    </row>
    <row r="396" spans="1:12" x14ac:dyDescent="0.25">
      <c r="A396">
        <v>435</v>
      </c>
      <c r="B396" t="s">
        <v>197</v>
      </c>
      <c r="C396" s="35" t="s">
        <v>196</v>
      </c>
      <c r="D396" t="s">
        <v>140</v>
      </c>
      <c r="E396" s="23">
        <v>44618</v>
      </c>
      <c r="F396" t="str">
        <f>LEFT(Таблица4[[#This Row],[номер телефона клиента]],LEN(Таблица4[[#This Row],[номер телефона клиента]])-13)</f>
        <v>+998</v>
      </c>
      <c r="G396" t="str">
        <f>_xlfn.XLOOKUP(Таблица4[[#This Row],[Коды телефона]],Таблица5[Код],Таблица5[Страна],"Не найдено",0)</f>
        <v>Узбекистан</v>
      </c>
      <c r="H396" s="23">
        <f t="shared" ca="1" si="24"/>
        <v>46020</v>
      </c>
      <c r="I396" s="19">
        <f ca="1">(Таблица4[[#This Row],[Текущая дата]]-Таблица4[[#This Row],[Дата регистрации клиента]])/30</f>
        <v>46.733333333333334</v>
      </c>
      <c r="J396" t="str">
        <f t="shared" si="25"/>
        <v>Тихонова</v>
      </c>
      <c r="K396" t="str">
        <f t="shared" si="26"/>
        <v>Ираида</v>
      </c>
      <c r="L396" t="str">
        <f t="shared" si="27"/>
        <v>Ефимовна</v>
      </c>
    </row>
    <row r="397" spans="1:12" x14ac:dyDescent="0.25">
      <c r="A397">
        <v>262</v>
      </c>
      <c r="B397" t="s">
        <v>195</v>
      </c>
      <c r="C397" s="35" t="s">
        <v>1299</v>
      </c>
      <c r="D397" t="s">
        <v>142</v>
      </c>
      <c r="E397" s="23">
        <v>44778</v>
      </c>
      <c r="F397" t="str">
        <f>LEFT(Таблица4[[#This Row],[номер телефона клиента]],LEN(Таблица4[[#This Row],[номер телефона клиента]])-13)</f>
        <v>+992</v>
      </c>
      <c r="G397" t="str">
        <f>_xlfn.XLOOKUP(Таблица4[[#This Row],[Коды телефона]],Таблица5[Код],Таблица5[Страна],"Не найдено",0)</f>
        <v>Таджикистан</v>
      </c>
      <c r="H397" s="23">
        <f t="shared" ca="1" si="24"/>
        <v>46020</v>
      </c>
      <c r="I397" s="19">
        <f ca="1">(Таблица4[[#This Row],[Текущая дата]]-Таблица4[[#This Row],[Дата регистрации клиента]])/30</f>
        <v>41.4</v>
      </c>
      <c r="J397" t="str">
        <f t="shared" si="25"/>
        <v>Воробьева</v>
      </c>
      <c r="K397" t="str">
        <f t="shared" si="26"/>
        <v>Иванна</v>
      </c>
      <c r="L397" t="str">
        <f t="shared" si="27"/>
        <v>Юрьевна</v>
      </c>
    </row>
    <row r="398" spans="1:12" x14ac:dyDescent="0.25">
      <c r="A398">
        <v>264</v>
      </c>
      <c r="B398" t="s">
        <v>194</v>
      </c>
      <c r="C398" s="35" t="s">
        <v>1300</v>
      </c>
      <c r="D398" t="s">
        <v>140</v>
      </c>
      <c r="E398" s="23">
        <v>44907</v>
      </c>
      <c r="F398" t="str">
        <f>LEFT(Таблица4[[#This Row],[номер телефона клиента]],LEN(Таблица4[[#This Row],[номер телефона клиента]])-13)</f>
        <v>+375</v>
      </c>
      <c r="G398" t="str">
        <f>_xlfn.XLOOKUP(Таблица4[[#This Row],[Коды телефона]],Таблица5[Код],Таблица5[Страна],"Не найдено",0)</f>
        <v>Беларусь</v>
      </c>
      <c r="H398" s="23">
        <f t="shared" ca="1" si="24"/>
        <v>46020</v>
      </c>
      <c r="I398" s="19">
        <f ca="1">(Таблица4[[#This Row],[Текущая дата]]-Таблица4[[#This Row],[Дата регистрации клиента]])/30</f>
        <v>37.1</v>
      </c>
      <c r="J398" t="str">
        <f t="shared" si="25"/>
        <v>Стрелков</v>
      </c>
      <c r="K398" t="str">
        <f t="shared" si="26"/>
        <v>Любомир</v>
      </c>
      <c r="L398" t="str">
        <f t="shared" si="27"/>
        <v>Ермолаевич</v>
      </c>
    </row>
    <row r="399" spans="1:12" x14ac:dyDescent="0.25">
      <c r="A399">
        <v>99</v>
      </c>
      <c r="B399" t="s">
        <v>193</v>
      </c>
      <c r="C399" s="35" t="s">
        <v>1301</v>
      </c>
      <c r="D399" t="s">
        <v>140</v>
      </c>
      <c r="E399" s="23">
        <v>44886</v>
      </c>
      <c r="F399" t="str">
        <f>LEFT(Таблица4[[#This Row],[номер телефона клиента]],LEN(Таблица4[[#This Row],[номер телефона клиента]])-13)</f>
        <v>+7</v>
      </c>
      <c r="G399" t="str">
        <f>_xlfn.XLOOKUP(Таблица4[[#This Row],[Коды телефона]],Таблица5[Код],Таблица5[Страна],"Не найдено",0)</f>
        <v>Россия</v>
      </c>
      <c r="H399" s="23">
        <f t="shared" ca="1" si="24"/>
        <v>46020</v>
      </c>
      <c r="I399" s="19">
        <f ca="1">(Таблица4[[#This Row],[Текущая дата]]-Таблица4[[#This Row],[Дата регистрации клиента]])/30</f>
        <v>37.799999999999997</v>
      </c>
      <c r="J399" t="str">
        <f t="shared" si="25"/>
        <v>Петухова</v>
      </c>
      <c r="K399" t="str">
        <f t="shared" si="26"/>
        <v>Галина</v>
      </c>
      <c r="L399" t="str">
        <f t="shared" si="27"/>
        <v>Семеновна</v>
      </c>
    </row>
    <row r="400" spans="1:12" x14ac:dyDescent="0.25">
      <c r="A400">
        <v>404</v>
      </c>
      <c r="B400" t="s">
        <v>192</v>
      </c>
      <c r="C400" s="35" t="s">
        <v>191</v>
      </c>
      <c r="D400" t="s">
        <v>140</v>
      </c>
      <c r="E400" s="23">
        <v>44913</v>
      </c>
      <c r="F400" t="str">
        <f>LEFT(Таблица4[[#This Row],[номер телефона клиента]],LEN(Таблица4[[#This Row],[номер телефона клиента]])-13)</f>
        <v>+380</v>
      </c>
      <c r="G400" t="str">
        <f>_xlfn.XLOOKUP(Таблица4[[#This Row],[Коды телефона]],Таблица5[Код],Таблица5[Страна],"Не найдено",0)</f>
        <v>Украина</v>
      </c>
      <c r="H400" s="23">
        <f t="shared" ca="1" si="24"/>
        <v>46020</v>
      </c>
      <c r="I400" s="19">
        <f ca="1">(Таблица4[[#This Row],[Текущая дата]]-Таблица4[[#This Row],[Дата регистрации клиента]])/30</f>
        <v>36.9</v>
      </c>
      <c r="J400" t="str">
        <f t="shared" si="25"/>
        <v>Кириллова</v>
      </c>
      <c r="K400" t="str">
        <f t="shared" si="26"/>
        <v>Пелагея</v>
      </c>
      <c r="L400" t="str">
        <f t="shared" si="27"/>
        <v>Юльевна</v>
      </c>
    </row>
    <row r="401" spans="1:12" x14ac:dyDescent="0.25">
      <c r="A401">
        <v>146</v>
      </c>
      <c r="B401" t="s">
        <v>190</v>
      </c>
      <c r="C401" s="35" t="s">
        <v>1302</v>
      </c>
      <c r="D401" t="s">
        <v>140</v>
      </c>
      <c r="E401" s="23">
        <v>44617</v>
      </c>
      <c r="F401" t="str">
        <f>LEFT(Таблица4[[#This Row],[номер телефона клиента]],LEN(Таблица4[[#This Row],[номер телефона клиента]])-13)</f>
        <v>+375</v>
      </c>
      <c r="G401" t="str">
        <f>_xlfn.XLOOKUP(Таблица4[[#This Row],[Коды телефона]],Таблица5[Код],Таблица5[Страна],"Не найдено",0)</f>
        <v>Беларусь</v>
      </c>
      <c r="H401" s="23">
        <f t="shared" ca="1" si="24"/>
        <v>46020</v>
      </c>
      <c r="I401" s="19">
        <f ca="1">(Таблица4[[#This Row],[Текущая дата]]-Таблица4[[#This Row],[Дата регистрации клиента]])/30</f>
        <v>46.766666666666666</v>
      </c>
      <c r="J401" t="str">
        <f t="shared" si="25"/>
        <v>Воронов</v>
      </c>
      <c r="K401" t="str">
        <f t="shared" si="26"/>
        <v>Еремей</v>
      </c>
      <c r="L401" t="str">
        <f t="shared" si="27"/>
        <v>Бориславович</v>
      </c>
    </row>
    <row r="402" spans="1:12" x14ac:dyDescent="0.25">
      <c r="A402">
        <v>338</v>
      </c>
      <c r="B402" t="s">
        <v>189</v>
      </c>
      <c r="C402" s="35" t="s">
        <v>1303</v>
      </c>
      <c r="D402" t="s">
        <v>140</v>
      </c>
      <c r="E402" s="23">
        <v>44577</v>
      </c>
      <c r="F402" t="str">
        <f>LEFT(Таблица4[[#This Row],[номер телефона клиента]],LEN(Таблица4[[#This Row],[номер телефона клиента]])-13)</f>
        <v>+992</v>
      </c>
      <c r="G402" t="str">
        <f>_xlfn.XLOOKUP(Таблица4[[#This Row],[Коды телефона]],Таблица5[Код],Таблица5[Страна],"Не найдено",0)</f>
        <v>Таджикистан</v>
      </c>
      <c r="H402" s="23">
        <f t="shared" ca="1" si="24"/>
        <v>46020</v>
      </c>
      <c r="I402" s="19">
        <f ca="1">(Таблица4[[#This Row],[Текущая дата]]-Таблица4[[#This Row],[Дата регистрации клиента]])/30</f>
        <v>48.1</v>
      </c>
      <c r="J402" t="str">
        <f t="shared" si="25"/>
        <v>Филатова</v>
      </c>
      <c r="K402" t="str">
        <f t="shared" si="26"/>
        <v>Александра</v>
      </c>
      <c r="L402" t="str">
        <f t="shared" si="27"/>
        <v>Геннадиевна</v>
      </c>
    </row>
    <row r="403" spans="1:12" x14ac:dyDescent="0.25">
      <c r="A403">
        <v>445</v>
      </c>
      <c r="B403" t="s">
        <v>188</v>
      </c>
      <c r="C403" s="35" t="s">
        <v>1304</v>
      </c>
      <c r="D403" t="s">
        <v>140</v>
      </c>
      <c r="E403" s="23">
        <v>44676</v>
      </c>
      <c r="F403" t="str">
        <f>LEFT(Таблица4[[#This Row],[номер телефона клиента]],LEN(Таблица4[[#This Row],[номер телефона клиента]])-13)</f>
        <v>+7</v>
      </c>
      <c r="G403" t="str">
        <f>_xlfn.XLOOKUP(Таблица4[[#This Row],[Коды телефона]],Таблица5[Код],Таблица5[Страна],"Не найдено",0)</f>
        <v>Россия</v>
      </c>
      <c r="H403" s="23">
        <f t="shared" ca="1" si="24"/>
        <v>46020</v>
      </c>
      <c r="I403" s="19">
        <f ca="1">(Таблица4[[#This Row],[Текущая дата]]-Таблица4[[#This Row],[Дата регистрации клиента]])/30</f>
        <v>44.8</v>
      </c>
      <c r="J403" t="str">
        <f t="shared" si="25"/>
        <v>Белоусова</v>
      </c>
      <c r="K403" t="str">
        <f t="shared" si="26"/>
        <v>Марфа</v>
      </c>
      <c r="L403" t="str">
        <f t="shared" si="27"/>
        <v>Архиповна</v>
      </c>
    </row>
    <row r="404" spans="1:12" x14ac:dyDescent="0.25">
      <c r="A404">
        <v>208</v>
      </c>
      <c r="B404" t="s">
        <v>187</v>
      </c>
      <c r="C404" s="35" t="s">
        <v>1305</v>
      </c>
      <c r="D404" t="s">
        <v>140</v>
      </c>
      <c r="E404" s="23">
        <v>44736</v>
      </c>
      <c r="F404" t="str">
        <f>LEFT(Таблица4[[#This Row],[номер телефона клиента]],LEN(Таблица4[[#This Row],[номер телефона клиента]])-13)</f>
        <v>+380</v>
      </c>
      <c r="G404" t="str">
        <f>_xlfn.XLOOKUP(Таблица4[[#This Row],[Коды телефона]],Таблица5[Код],Таблица5[Страна],"Не найдено",0)</f>
        <v>Украина</v>
      </c>
      <c r="H404" s="23">
        <f t="shared" ca="1" si="24"/>
        <v>46020</v>
      </c>
      <c r="I404" s="19">
        <f ca="1">(Таблица4[[#This Row],[Текущая дата]]-Таблица4[[#This Row],[Дата регистрации клиента]])/30</f>
        <v>42.8</v>
      </c>
      <c r="J404" t="str">
        <f t="shared" si="25"/>
        <v>Захаров</v>
      </c>
      <c r="K404" t="str">
        <f t="shared" si="26"/>
        <v>Эммануил</v>
      </c>
      <c r="L404" t="str">
        <f t="shared" si="27"/>
        <v>Филимонович</v>
      </c>
    </row>
    <row r="405" spans="1:12" x14ac:dyDescent="0.25">
      <c r="A405">
        <v>343</v>
      </c>
      <c r="B405" t="s">
        <v>186</v>
      </c>
      <c r="C405" s="35" t="s">
        <v>185</v>
      </c>
      <c r="D405" t="s">
        <v>140</v>
      </c>
      <c r="E405" s="23">
        <v>44874</v>
      </c>
      <c r="F405" t="str">
        <f>LEFT(Таблица4[[#This Row],[номер телефона клиента]],LEN(Таблица4[[#This Row],[номер телефона клиента]])-13)</f>
        <v>+380</v>
      </c>
      <c r="G405" t="str">
        <f>_xlfn.XLOOKUP(Таблица4[[#This Row],[Коды телефона]],Таблица5[Код],Таблица5[Страна],"Не найдено",0)</f>
        <v>Украина</v>
      </c>
      <c r="H405" s="23">
        <f t="shared" ca="1" si="24"/>
        <v>46020</v>
      </c>
      <c r="I405" s="19">
        <f ca="1">(Таблица4[[#This Row],[Текущая дата]]-Таблица4[[#This Row],[Дата регистрации клиента]])/30</f>
        <v>38.200000000000003</v>
      </c>
      <c r="J405" t="str">
        <f t="shared" si="25"/>
        <v>Абрамов</v>
      </c>
      <c r="K405" t="str">
        <f t="shared" si="26"/>
        <v>Амвросий</v>
      </c>
      <c r="L405" t="str">
        <f t="shared" si="27"/>
        <v>Богданович</v>
      </c>
    </row>
    <row r="406" spans="1:12" x14ac:dyDescent="0.25">
      <c r="A406">
        <v>486</v>
      </c>
      <c r="B406" t="s">
        <v>184</v>
      </c>
      <c r="C406" s="35" t="s">
        <v>183</v>
      </c>
      <c r="D406" t="s">
        <v>142</v>
      </c>
      <c r="E406" s="23">
        <v>44723</v>
      </c>
      <c r="F406" t="str">
        <f>LEFT(Таблица4[[#This Row],[номер телефона клиента]],LEN(Таблица4[[#This Row],[номер телефона клиента]])-13)</f>
        <v>+7</v>
      </c>
      <c r="G406" t="str">
        <f>_xlfn.XLOOKUP(Таблица4[[#This Row],[Коды телефона]],Таблица5[Код],Таблица5[Страна],"Не найдено",0)</f>
        <v>Россия</v>
      </c>
      <c r="H406" s="23">
        <f t="shared" ca="1" si="24"/>
        <v>46020</v>
      </c>
      <c r="I406" s="19">
        <f ca="1">(Таблица4[[#This Row],[Текущая дата]]-Таблица4[[#This Row],[Дата регистрации клиента]])/30</f>
        <v>43.233333333333334</v>
      </c>
      <c r="J406" t="str">
        <f t="shared" si="25"/>
        <v>Волков</v>
      </c>
      <c r="K406" t="str">
        <f t="shared" si="26"/>
        <v>Викентий</v>
      </c>
      <c r="L406" t="str">
        <f t="shared" si="27"/>
        <v>Герасимович</v>
      </c>
    </row>
    <row r="407" spans="1:12" x14ac:dyDescent="0.25">
      <c r="A407">
        <v>299</v>
      </c>
      <c r="B407" t="s">
        <v>182</v>
      </c>
      <c r="C407" s="35" t="s">
        <v>181</v>
      </c>
      <c r="D407" t="s">
        <v>140</v>
      </c>
      <c r="E407" s="23">
        <v>44666</v>
      </c>
      <c r="F407" t="str">
        <f>LEFT(Таблица4[[#This Row],[номер телефона клиента]],LEN(Таблица4[[#This Row],[номер телефона клиента]])-13)</f>
        <v>+380</v>
      </c>
      <c r="G407" t="str">
        <f>_xlfn.XLOOKUP(Таблица4[[#This Row],[Коды телефона]],Таблица5[Код],Таблица5[Страна],"Не найдено",0)</f>
        <v>Украина</v>
      </c>
      <c r="H407" s="23">
        <f t="shared" ca="1" si="24"/>
        <v>46020</v>
      </c>
      <c r="I407" s="19">
        <f ca="1">(Таблица4[[#This Row],[Текущая дата]]-Таблица4[[#This Row],[Дата регистрации клиента]])/30</f>
        <v>45.133333333333333</v>
      </c>
      <c r="J407" t="str">
        <f t="shared" si="25"/>
        <v>Одинцов</v>
      </c>
      <c r="K407" t="str">
        <f t="shared" si="26"/>
        <v>Анисим</v>
      </c>
      <c r="L407" t="str">
        <f t="shared" si="27"/>
        <v>Евсеевич</v>
      </c>
    </row>
    <row r="408" spans="1:12" x14ac:dyDescent="0.25">
      <c r="A408">
        <v>368</v>
      </c>
      <c r="B408" t="s">
        <v>180</v>
      </c>
      <c r="C408" s="35" t="s">
        <v>1306</v>
      </c>
      <c r="D408" t="s">
        <v>142</v>
      </c>
      <c r="E408" s="23">
        <v>44872</v>
      </c>
      <c r="F408" t="str">
        <f>LEFT(Таблица4[[#This Row],[номер телефона клиента]],LEN(Таблица4[[#This Row],[номер телефона клиента]])-13)</f>
        <v>+998</v>
      </c>
      <c r="G408" t="str">
        <f>_xlfn.XLOOKUP(Таблица4[[#This Row],[Коды телефона]],Таблица5[Код],Таблица5[Страна],"Не найдено",0)</f>
        <v>Узбекистан</v>
      </c>
      <c r="H408" s="23">
        <f t="shared" ca="1" si="24"/>
        <v>46020</v>
      </c>
      <c r="I408" s="19">
        <f ca="1">(Таблица4[[#This Row],[Текущая дата]]-Таблица4[[#This Row],[Дата регистрации клиента]])/30</f>
        <v>38.266666666666666</v>
      </c>
      <c r="J408" t="str">
        <f t="shared" si="25"/>
        <v>Потапов</v>
      </c>
      <c r="K408" t="str">
        <f t="shared" si="26"/>
        <v>Никодим</v>
      </c>
      <c r="L408" t="str">
        <f t="shared" si="27"/>
        <v>Арсенович</v>
      </c>
    </row>
    <row r="409" spans="1:12" x14ac:dyDescent="0.25">
      <c r="A409">
        <v>108</v>
      </c>
      <c r="B409" t="s">
        <v>179</v>
      </c>
      <c r="C409" s="35" t="s">
        <v>1307</v>
      </c>
      <c r="D409" t="s">
        <v>142</v>
      </c>
      <c r="E409" s="23">
        <v>44835</v>
      </c>
      <c r="F409" t="str">
        <f>LEFT(Таблица4[[#This Row],[номер телефона клиента]],LEN(Таблица4[[#This Row],[номер телефона клиента]])-13)</f>
        <v>+998</v>
      </c>
      <c r="G409" t="str">
        <f>_xlfn.XLOOKUP(Таблица4[[#This Row],[Коды телефона]],Таблица5[Код],Таблица5[Страна],"Не найдено",0)</f>
        <v>Узбекистан</v>
      </c>
      <c r="H409" s="23">
        <f t="shared" ca="1" si="24"/>
        <v>46020</v>
      </c>
      <c r="I409" s="19">
        <f ca="1">(Таблица4[[#This Row],[Текущая дата]]-Таблица4[[#This Row],[Дата регистрации клиента]])/30</f>
        <v>39.5</v>
      </c>
      <c r="J409" t="str">
        <f t="shared" si="25"/>
        <v>Сидорова</v>
      </c>
      <c r="K409" t="str">
        <f t="shared" si="26"/>
        <v>Алла</v>
      </c>
      <c r="L409" t="str">
        <f t="shared" si="27"/>
        <v>Рудольфовна</v>
      </c>
    </row>
    <row r="410" spans="1:12" x14ac:dyDescent="0.25">
      <c r="A410">
        <v>443</v>
      </c>
      <c r="B410" t="s">
        <v>178</v>
      </c>
      <c r="C410" s="35" t="s">
        <v>1308</v>
      </c>
      <c r="D410" t="s">
        <v>142</v>
      </c>
      <c r="E410" s="23">
        <v>44649</v>
      </c>
      <c r="F410" t="str">
        <f>LEFT(Таблица4[[#This Row],[номер телефона клиента]],LEN(Таблица4[[#This Row],[номер телефона клиента]])-13)</f>
        <v>+7</v>
      </c>
      <c r="G410" t="str">
        <f>_xlfn.XLOOKUP(Таблица4[[#This Row],[Коды телефона]],Таблица5[Код],Таблица5[Страна],"Не найдено",0)</f>
        <v>Россия</v>
      </c>
      <c r="H410" s="23">
        <f t="shared" ca="1" si="24"/>
        <v>46020</v>
      </c>
      <c r="I410" s="19">
        <f ca="1">(Таблица4[[#This Row],[Текущая дата]]-Таблица4[[#This Row],[Дата регистрации клиента]])/30</f>
        <v>45.7</v>
      </c>
      <c r="J410" t="str">
        <f t="shared" si="25"/>
        <v>Мартынова</v>
      </c>
      <c r="K410" t="str">
        <f t="shared" si="26"/>
        <v>Агата</v>
      </c>
      <c r="L410" t="str">
        <f t="shared" si="27"/>
        <v>Олеговна</v>
      </c>
    </row>
    <row r="411" spans="1:12" x14ac:dyDescent="0.25">
      <c r="A411">
        <v>91</v>
      </c>
      <c r="B411" t="s">
        <v>177</v>
      </c>
      <c r="C411" s="35" t="s">
        <v>176</v>
      </c>
      <c r="D411" t="s">
        <v>140</v>
      </c>
      <c r="E411" s="23">
        <v>44687</v>
      </c>
      <c r="F411" t="str">
        <f>LEFT(Таблица4[[#This Row],[номер телефона клиента]],LEN(Таблица4[[#This Row],[номер телефона клиента]])-13)</f>
        <v>+7</v>
      </c>
      <c r="G411" t="str">
        <f>_xlfn.XLOOKUP(Таблица4[[#This Row],[Коды телефона]],Таблица5[Код],Таблица5[Страна],"Не найдено",0)</f>
        <v>Россия</v>
      </c>
      <c r="H411" s="23">
        <f t="shared" ca="1" si="24"/>
        <v>46020</v>
      </c>
      <c r="I411" s="19">
        <f ca="1">(Таблица4[[#This Row],[Текущая дата]]-Таблица4[[#This Row],[Дата регистрации клиента]])/30</f>
        <v>44.43333333333333</v>
      </c>
      <c r="J411" t="str">
        <f t="shared" si="25"/>
        <v>Стрелкова</v>
      </c>
      <c r="K411" t="str">
        <f t="shared" si="26"/>
        <v>Наина</v>
      </c>
      <c r="L411" t="str">
        <f t="shared" si="27"/>
        <v>Эдуардовна</v>
      </c>
    </row>
    <row r="412" spans="1:12" x14ac:dyDescent="0.25">
      <c r="A412">
        <v>473</v>
      </c>
      <c r="B412" t="s">
        <v>175</v>
      </c>
      <c r="C412" s="35" t="s">
        <v>1309</v>
      </c>
      <c r="D412" t="s">
        <v>142</v>
      </c>
      <c r="E412" s="23">
        <v>44799</v>
      </c>
      <c r="F412" t="str">
        <f>LEFT(Таблица4[[#This Row],[номер телефона клиента]],LEN(Таблица4[[#This Row],[номер телефона клиента]])-13)</f>
        <v>+7</v>
      </c>
      <c r="G412" t="str">
        <f>_xlfn.XLOOKUP(Таблица4[[#This Row],[Коды телефона]],Таблица5[Код],Таблица5[Страна],"Не найдено",0)</f>
        <v>Россия</v>
      </c>
      <c r="H412" s="23">
        <f t="shared" ca="1" si="24"/>
        <v>46020</v>
      </c>
      <c r="I412" s="19">
        <f ca="1">(Таблица4[[#This Row],[Текущая дата]]-Таблица4[[#This Row],[Дата регистрации клиента]])/30</f>
        <v>40.700000000000003</v>
      </c>
      <c r="J412" t="str">
        <f t="shared" si="25"/>
        <v>Панов</v>
      </c>
      <c r="K412" t="str">
        <f t="shared" si="26"/>
        <v>Ипат</v>
      </c>
      <c r="L412" t="str">
        <f t="shared" si="27"/>
        <v>Дмитриевич</v>
      </c>
    </row>
    <row r="413" spans="1:12" x14ac:dyDescent="0.25">
      <c r="A413">
        <v>482</v>
      </c>
      <c r="B413" t="s">
        <v>174</v>
      </c>
      <c r="C413" s="35" t="s">
        <v>1310</v>
      </c>
      <c r="D413" t="s">
        <v>140</v>
      </c>
      <c r="E413" s="23">
        <v>44679</v>
      </c>
      <c r="F413" t="str">
        <f>LEFT(Таблица4[[#This Row],[номер телефона клиента]],LEN(Таблица4[[#This Row],[номер телефона клиента]])-13)</f>
        <v>+380</v>
      </c>
      <c r="G413" t="str">
        <f>_xlfn.XLOOKUP(Таблица4[[#This Row],[Коды телефона]],Таблица5[Код],Таблица5[Страна],"Не найдено",0)</f>
        <v>Украина</v>
      </c>
      <c r="H413" s="23">
        <f t="shared" ca="1" si="24"/>
        <v>46020</v>
      </c>
      <c r="I413" s="19">
        <f ca="1">(Таблица4[[#This Row],[Текущая дата]]-Таблица4[[#This Row],[Дата регистрации клиента]])/30</f>
        <v>44.7</v>
      </c>
      <c r="J413" t="str">
        <f t="shared" si="25"/>
        <v>Гришин</v>
      </c>
      <c r="K413" t="str">
        <f t="shared" si="26"/>
        <v>Творимир</v>
      </c>
      <c r="L413" t="str">
        <f t="shared" si="27"/>
        <v>Артурович</v>
      </c>
    </row>
    <row r="414" spans="1:12" x14ac:dyDescent="0.25">
      <c r="A414">
        <v>48</v>
      </c>
      <c r="B414" t="s">
        <v>173</v>
      </c>
      <c r="C414" s="35" t="s">
        <v>172</v>
      </c>
      <c r="D414" t="s">
        <v>140</v>
      </c>
      <c r="E414" s="23">
        <v>44856</v>
      </c>
      <c r="F414" t="str">
        <f>LEFT(Таблица4[[#This Row],[номер телефона клиента]],LEN(Таблица4[[#This Row],[номер телефона клиента]])-13)</f>
        <v>+998</v>
      </c>
      <c r="G414" t="str">
        <f>_xlfn.XLOOKUP(Таблица4[[#This Row],[Коды телефона]],Таблица5[Код],Таблица5[Страна],"Не найдено",0)</f>
        <v>Узбекистан</v>
      </c>
      <c r="H414" s="23">
        <f t="shared" ca="1" si="24"/>
        <v>46020</v>
      </c>
      <c r="I414" s="19">
        <f ca="1">(Таблица4[[#This Row],[Текущая дата]]-Таблица4[[#This Row],[Дата регистрации клиента]])/30</f>
        <v>38.799999999999997</v>
      </c>
      <c r="J414" t="str">
        <f t="shared" si="25"/>
        <v>Лаврентьева</v>
      </c>
      <c r="K414" t="str">
        <f t="shared" si="26"/>
        <v>Вера</v>
      </c>
      <c r="L414" t="str">
        <f t="shared" si="27"/>
        <v>Владиславовна</v>
      </c>
    </row>
    <row r="415" spans="1:12" x14ac:dyDescent="0.25">
      <c r="A415">
        <v>26</v>
      </c>
      <c r="B415" t="s">
        <v>171</v>
      </c>
      <c r="C415" s="35" t="s">
        <v>170</v>
      </c>
      <c r="D415" t="s">
        <v>142</v>
      </c>
      <c r="E415" s="23">
        <v>44819</v>
      </c>
      <c r="F415" t="str">
        <f>LEFT(Таблица4[[#This Row],[номер телефона клиента]],LEN(Таблица4[[#This Row],[номер телефона клиента]])-13)</f>
        <v>+992</v>
      </c>
      <c r="G415" t="str">
        <f>_xlfn.XLOOKUP(Таблица4[[#This Row],[Коды телефона]],Таблица5[Код],Таблица5[Страна],"Не найдено",0)</f>
        <v>Таджикистан</v>
      </c>
      <c r="H415" s="23">
        <f t="shared" ca="1" si="24"/>
        <v>46020</v>
      </c>
      <c r="I415" s="19">
        <f ca="1">(Таблица4[[#This Row],[Текущая дата]]-Таблица4[[#This Row],[Дата регистрации клиента]])/30</f>
        <v>40.033333333333331</v>
      </c>
      <c r="J415" t="str">
        <f t="shared" si="25"/>
        <v>Корнилов</v>
      </c>
      <c r="K415" t="str">
        <f t="shared" si="26"/>
        <v>Леон</v>
      </c>
      <c r="L415" t="str">
        <f t="shared" si="27"/>
        <v>Иосипович</v>
      </c>
    </row>
    <row r="416" spans="1:12" x14ac:dyDescent="0.25">
      <c r="A416">
        <v>417</v>
      </c>
      <c r="B416" t="s">
        <v>169</v>
      </c>
      <c r="C416" s="35" t="s">
        <v>168</v>
      </c>
      <c r="D416" t="s">
        <v>140</v>
      </c>
      <c r="E416" s="23">
        <v>44608</v>
      </c>
      <c r="F416" t="str">
        <f>LEFT(Таблица4[[#This Row],[номер телефона клиента]],LEN(Таблица4[[#This Row],[номер телефона клиента]])-13)</f>
        <v>+992</v>
      </c>
      <c r="G416" t="str">
        <f>_xlfn.XLOOKUP(Таблица4[[#This Row],[Коды телефона]],Таблица5[Код],Таблица5[Страна],"Не найдено",0)</f>
        <v>Таджикистан</v>
      </c>
      <c r="H416" s="23">
        <f t="shared" ca="1" si="24"/>
        <v>46020</v>
      </c>
      <c r="I416" s="19">
        <f ca="1">(Таблица4[[#This Row],[Текущая дата]]-Таблица4[[#This Row],[Дата регистрации клиента]])/30</f>
        <v>47.06666666666667</v>
      </c>
      <c r="J416" t="str">
        <f t="shared" si="25"/>
        <v>Игнатова</v>
      </c>
      <c r="K416" t="str">
        <f t="shared" si="26"/>
        <v>Вера</v>
      </c>
      <c r="L416" t="str">
        <f t="shared" si="27"/>
        <v>Вячеславовна</v>
      </c>
    </row>
    <row r="417" spans="1:12" x14ac:dyDescent="0.25">
      <c r="A417">
        <v>491</v>
      </c>
      <c r="B417" t="s">
        <v>167</v>
      </c>
      <c r="C417" s="35" t="s">
        <v>166</v>
      </c>
      <c r="D417" t="s">
        <v>142</v>
      </c>
      <c r="E417" s="23">
        <v>44752</v>
      </c>
      <c r="F417" t="str">
        <f>LEFT(Таблица4[[#This Row],[номер телефона клиента]],LEN(Таблица4[[#This Row],[номер телефона клиента]])-13)</f>
        <v>+7</v>
      </c>
      <c r="G417" t="str">
        <f>_xlfn.XLOOKUP(Таблица4[[#This Row],[Коды телефона]],Таблица5[Код],Таблица5[Страна],"Не найдено",0)</f>
        <v>Россия</v>
      </c>
      <c r="H417" s="23">
        <f t="shared" ca="1" si="24"/>
        <v>46020</v>
      </c>
      <c r="I417" s="19">
        <f ca="1">(Таблица4[[#This Row],[Текущая дата]]-Таблица4[[#This Row],[Дата регистрации клиента]])/30</f>
        <v>42.266666666666666</v>
      </c>
      <c r="J417" t="str">
        <f t="shared" si="25"/>
        <v>Михайлова</v>
      </c>
      <c r="K417" t="str">
        <f t="shared" si="26"/>
        <v>Лора</v>
      </c>
      <c r="L417" t="str">
        <f t="shared" si="27"/>
        <v>Наумовна</v>
      </c>
    </row>
    <row r="418" spans="1:12" x14ac:dyDescent="0.25">
      <c r="A418">
        <v>492</v>
      </c>
      <c r="B418" t="s">
        <v>165</v>
      </c>
      <c r="C418" s="35" t="s">
        <v>1311</v>
      </c>
      <c r="D418" t="s">
        <v>142</v>
      </c>
      <c r="E418" s="23">
        <v>44688</v>
      </c>
      <c r="F418" t="str">
        <f>LEFT(Таблица4[[#This Row],[номер телефона клиента]],LEN(Таблица4[[#This Row],[номер телефона клиента]])-13)</f>
        <v>+380</v>
      </c>
      <c r="G418" t="str">
        <f>_xlfn.XLOOKUP(Таблица4[[#This Row],[Коды телефона]],Таблица5[Код],Таблица5[Страна],"Не найдено",0)</f>
        <v>Украина</v>
      </c>
      <c r="H418" s="23">
        <f t="shared" ca="1" si="24"/>
        <v>46020</v>
      </c>
      <c r="I418" s="19">
        <f ca="1">(Таблица4[[#This Row],[Текущая дата]]-Таблица4[[#This Row],[Дата регистрации клиента]])/30</f>
        <v>44.4</v>
      </c>
      <c r="J418" t="str">
        <f t="shared" si="25"/>
        <v>Яковлев</v>
      </c>
      <c r="K418" t="str">
        <f t="shared" si="26"/>
        <v>Феликс</v>
      </c>
      <c r="L418" t="str">
        <f t="shared" si="27"/>
        <v>Ааронович</v>
      </c>
    </row>
    <row r="419" spans="1:12" x14ac:dyDescent="0.25">
      <c r="A419">
        <v>155</v>
      </c>
      <c r="B419" t="s">
        <v>164</v>
      </c>
      <c r="C419" s="35" t="s">
        <v>163</v>
      </c>
      <c r="D419" t="s">
        <v>140</v>
      </c>
      <c r="E419" s="23">
        <v>44564</v>
      </c>
      <c r="F419" t="str">
        <f>LEFT(Таблица4[[#This Row],[номер телефона клиента]],LEN(Таблица4[[#This Row],[номер телефона клиента]])-13)</f>
        <v>+380</v>
      </c>
      <c r="G419" t="str">
        <f>_xlfn.XLOOKUP(Таблица4[[#This Row],[Коды телефона]],Таблица5[Код],Таблица5[Страна],"Не найдено",0)</f>
        <v>Украина</v>
      </c>
      <c r="H419" s="23">
        <f t="shared" ca="1" si="24"/>
        <v>46020</v>
      </c>
      <c r="I419" s="19">
        <f ca="1">(Таблица4[[#This Row],[Текущая дата]]-Таблица4[[#This Row],[Дата регистрации клиента]])/30</f>
        <v>48.533333333333331</v>
      </c>
      <c r="J419" t="str">
        <f t="shared" si="25"/>
        <v>Емельянов</v>
      </c>
      <c r="K419" t="str">
        <f t="shared" si="26"/>
        <v>Игорь</v>
      </c>
      <c r="L419" t="str">
        <f t="shared" si="27"/>
        <v>Андреевич</v>
      </c>
    </row>
    <row r="420" spans="1:12" x14ac:dyDescent="0.25">
      <c r="A420">
        <v>430</v>
      </c>
      <c r="B420" t="s">
        <v>162</v>
      </c>
      <c r="C420" s="35" t="s">
        <v>1312</v>
      </c>
      <c r="D420" t="s">
        <v>140</v>
      </c>
      <c r="E420" s="23">
        <v>44799</v>
      </c>
      <c r="F420" t="str">
        <f>LEFT(Таблица4[[#This Row],[номер телефона клиента]],LEN(Таблица4[[#This Row],[номер телефона клиента]])-13)</f>
        <v>+992</v>
      </c>
      <c r="G420" t="str">
        <f>_xlfn.XLOOKUP(Таблица4[[#This Row],[Коды телефона]],Таблица5[Код],Таблица5[Страна],"Не найдено",0)</f>
        <v>Таджикистан</v>
      </c>
      <c r="H420" s="23">
        <f t="shared" ca="1" si="24"/>
        <v>46020</v>
      </c>
      <c r="I420" s="19">
        <f ca="1">(Таблица4[[#This Row],[Текущая дата]]-Таблица4[[#This Row],[Дата регистрации клиента]])/30</f>
        <v>40.700000000000003</v>
      </c>
      <c r="J420" t="str">
        <f t="shared" si="25"/>
        <v>Веселов</v>
      </c>
      <c r="K420" t="str">
        <f t="shared" si="26"/>
        <v>Любосмысл</v>
      </c>
      <c r="L420" t="str">
        <f t="shared" si="27"/>
        <v>Тихонович</v>
      </c>
    </row>
    <row r="421" spans="1:12" x14ac:dyDescent="0.25">
      <c r="A421">
        <v>488</v>
      </c>
      <c r="B421" t="s">
        <v>161</v>
      </c>
      <c r="C421" s="35" t="s">
        <v>1313</v>
      </c>
      <c r="D421" t="s">
        <v>142</v>
      </c>
      <c r="E421" s="23">
        <v>44738</v>
      </c>
      <c r="F421" t="str">
        <f>LEFT(Таблица4[[#This Row],[номер телефона клиента]],LEN(Таблица4[[#This Row],[номер телефона клиента]])-13)</f>
        <v>+375</v>
      </c>
      <c r="G421" t="str">
        <f>_xlfn.XLOOKUP(Таблица4[[#This Row],[Коды телефона]],Таблица5[Код],Таблица5[Страна],"Не найдено",0)</f>
        <v>Беларусь</v>
      </c>
      <c r="H421" s="23">
        <f t="shared" ca="1" si="24"/>
        <v>46020</v>
      </c>
      <c r="I421" s="19">
        <f ca="1">(Таблица4[[#This Row],[Текущая дата]]-Таблица4[[#This Row],[Дата регистрации клиента]])/30</f>
        <v>42.733333333333334</v>
      </c>
      <c r="J421" t="str">
        <f t="shared" si="25"/>
        <v>Данилова</v>
      </c>
      <c r="K421" t="str">
        <f t="shared" si="26"/>
        <v>Ольга</v>
      </c>
      <c r="L421" t="str">
        <f t="shared" si="27"/>
        <v>Аскольдовна</v>
      </c>
    </row>
    <row r="422" spans="1:12" x14ac:dyDescent="0.25">
      <c r="A422">
        <v>6</v>
      </c>
      <c r="B422" t="s">
        <v>160</v>
      </c>
      <c r="C422" s="35" t="s">
        <v>1314</v>
      </c>
      <c r="D422" t="s">
        <v>140</v>
      </c>
      <c r="E422" s="23">
        <v>44710</v>
      </c>
      <c r="F422" t="str">
        <f>LEFT(Таблица4[[#This Row],[номер телефона клиента]],LEN(Таблица4[[#This Row],[номер телефона клиента]])-13)</f>
        <v>+380</v>
      </c>
      <c r="G422" t="str">
        <f>_xlfn.XLOOKUP(Таблица4[[#This Row],[Коды телефона]],Таблица5[Код],Таблица5[Страна],"Не найдено",0)</f>
        <v>Украина</v>
      </c>
      <c r="H422" s="23">
        <f t="shared" ca="1" si="24"/>
        <v>46020</v>
      </c>
      <c r="I422" s="19">
        <f ca="1">(Таблица4[[#This Row],[Текущая дата]]-Таблица4[[#This Row],[Дата регистрации клиента]])/30</f>
        <v>43.666666666666664</v>
      </c>
      <c r="J422" t="str">
        <f t="shared" si="25"/>
        <v>Цветкова</v>
      </c>
      <c r="K422" t="str">
        <f t="shared" si="26"/>
        <v>Эмилия</v>
      </c>
      <c r="L422" t="str">
        <f t="shared" si="27"/>
        <v>Болеславовна</v>
      </c>
    </row>
    <row r="423" spans="1:12" x14ac:dyDescent="0.25">
      <c r="A423">
        <v>400</v>
      </c>
      <c r="B423" t="s">
        <v>159</v>
      </c>
      <c r="C423" s="35" t="s">
        <v>158</v>
      </c>
      <c r="D423" t="s">
        <v>142</v>
      </c>
      <c r="E423" s="23">
        <v>44765</v>
      </c>
      <c r="F423" t="str">
        <f>LEFT(Таблица4[[#This Row],[номер телефона клиента]],LEN(Таблица4[[#This Row],[номер телефона клиента]])-13)</f>
        <v>+375</v>
      </c>
      <c r="G423" t="str">
        <f>_xlfn.XLOOKUP(Таблица4[[#This Row],[Коды телефона]],Таблица5[Код],Таблица5[Страна],"Не найдено",0)</f>
        <v>Беларусь</v>
      </c>
      <c r="H423" s="23">
        <f t="shared" ca="1" si="24"/>
        <v>46020</v>
      </c>
      <c r="I423" s="19">
        <f ca="1">(Таблица4[[#This Row],[Текущая дата]]-Таблица4[[#This Row],[Дата регистрации клиента]])/30</f>
        <v>41.833333333333336</v>
      </c>
      <c r="J423" t="str">
        <f t="shared" si="25"/>
        <v>Константинов</v>
      </c>
      <c r="K423" t="str">
        <f t="shared" si="26"/>
        <v>Милован</v>
      </c>
      <c r="L423" t="str">
        <f t="shared" si="27"/>
        <v>Денисович</v>
      </c>
    </row>
    <row r="424" spans="1:12" x14ac:dyDescent="0.25">
      <c r="A424">
        <v>282</v>
      </c>
      <c r="B424" t="s">
        <v>157</v>
      </c>
      <c r="C424" s="35" t="s">
        <v>1315</v>
      </c>
      <c r="D424" t="s">
        <v>142</v>
      </c>
      <c r="E424" s="23">
        <v>44735</v>
      </c>
      <c r="F424" t="str">
        <f>LEFT(Таблица4[[#This Row],[номер телефона клиента]],LEN(Таблица4[[#This Row],[номер телефона клиента]])-13)</f>
        <v>+998</v>
      </c>
      <c r="G424" t="str">
        <f>_xlfn.XLOOKUP(Таблица4[[#This Row],[Коды телефона]],Таблица5[Код],Таблица5[Страна],"Не найдено",0)</f>
        <v>Узбекистан</v>
      </c>
      <c r="H424" s="23">
        <f t="shared" ca="1" si="24"/>
        <v>46020</v>
      </c>
      <c r="I424" s="19">
        <f ca="1">(Таблица4[[#This Row],[Текущая дата]]-Таблица4[[#This Row],[Дата регистрации клиента]])/30</f>
        <v>42.833333333333336</v>
      </c>
      <c r="J424" t="str">
        <f t="shared" si="25"/>
        <v>Николаева</v>
      </c>
      <c r="K424" t="str">
        <f t="shared" si="26"/>
        <v>Светлана</v>
      </c>
      <c r="L424" t="str">
        <f t="shared" si="27"/>
        <v>Семеновна</v>
      </c>
    </row>
    <row r="425" spans="1:12" x14ac:dyDescent="0.25">
      <c r="A425">
        <v>433</v>
      </c>
      <c r="B425" t="s">
        <v>156</v>
      </c>
      <c r="C425" s="35" t="s">
        <v>1316</v>
      </c>
      <c r="D425" t="s">
        <v>142</v>
      </c>
      <c r="E425" s="23">
        <v>44832</v>
      </c>
      <c r="F425" t="str">
        <f>LEFT(Таблица4[[#This Row],[номер телефона клиента]],LEN(Таблица4[[#This Row],[номер телефона клиента]])-13)</f>
        <v>+992</v>
      </c>
      <c r="G425" t="str">
        <f>_xlfn.XLOOKUP(Таблица4[[#This Row],[Коды телефона]],Таблица5[Код],Таблица5[Страна],"Не найдено",0)</f>
        <v>Таджикистан</v>
      </c>
      <c r="H425" s="23">
        <f t="shared" ca="1" si="24"/>
        <v>46020</v>
      </c>
      <c r="I425" s="19">
        <f ca="1">(Таблица4[[#This Row],[Текущая дата]]-Таблица4[[#This Row],[Дата регистрации клиента]])/30</f>
        <v>39.6</v>
      </c>
      <c r="J425" t="str">
        <f t="shared" si="25"/>
        <v>Иванова</v>
      </c>
      <c r="K425" t="str">
        <f t="shared" si="26"/>
        <v>Людмила</v>
      </c>
      <c r="L425" t="str">
        <f t="shared" si="27"/>
        <v>Борисовна</v>
      </c>
    </row>
    <row r="426" spans="1:12" x14ac:dyDescent="0.25">
      <c r="A426">
        <v>212</v>
      </c>
      <c r="B426" t="s">
        <v>155</v>
      </c>
      <c r="C426" s="35" t="s">
        <v>1317</v>
      </c>
      <c r="D426" t="s">
        <v>140</v>
      </c>
      <c r="E426" s="23">
        <v>44815</v>
      </c>
      <c r="F426" t="str">
        <f>LEFT(Таблица4[[#This Row],[номер телефона клиента]],LEN(Таблица4[[#This Row],[номер телефона клиента]])-13)</f>
        <v>+998</v>
      </c>
      <c r="G426" t="str">
        <f>_xlfn.XLOOKUP(Таблица4[[#This Row],[Коды телефона]],Таблица5[Код],Таблица5[Страна],"Не найдено",0)</f>
        <v>Узбекистан</v>
      </c>
      <c r="H426" s="23">
        <f t="shared" ca="1" si="24"/>
        <v>46020</v>
      </c>
      <c r="I426" s="19">
        <f ca="1">(Таблица4[[#This Row],[Текущая дата]]-Таблица4[[#This Row],[Дата регистрации клиента]])/30</f>
        <v>40.166666666666664</v>
      </c>
      <c r="J426" t="str">
        <f t="shared" si="25"/>
        <v>Евсеев</v>
      </c>
      <c r="K426" t="str">
        <f t="shared" si="26"/>
        <v>Амос</v>
      </c>
      <c r="L426" t="str">
        <f t="shared" si="27"/>
        <v>Гордеевич</v>
      </c>
    </row>
    <row r="427" spans="1:12" x14ac:dyDescent="0.25">
      <c r="A427">
        <v>499</v>
      </c>
      <c r="B427" t="s">
        <v>154</v>
      </c>
      <c r="C427" s="35" t="s">
        <v>1318</v>
      </c>
      <c r="D427" t="s">
        <v>142</v>
      </c>
      <c r="E427" s="23">
        <v>44798</v>
      </c>
      <c r="F427" t="str">
        <f>LEFT(Таблица4[[#This Row],[номер телефона клиента]],LEN(Таблица4[[#This Row],[номер телефона клиента]])-13)</f>
        <v>+375</v>
      </c>
      <c r="G427" t="str">
        <f>_xlfn.XLOOKUP(Таблица4[[#This Row],[Коды телефона]],Таблица5[Код],Таблица5[Страна],"Не найдено",0)</f>
        <v>Беларусь</v>
      </c>
      <c r="H427" s="23">
        <f t="shared" ca="1" si="24"/>
        <v>46020</v>
      </c>
      <c r="I427" s="19">
        <f ca="1">(Таблица4[[#This Row],[Текущая дата]]-Таблица4[[#This Row],[Дата регистрации клиента]])/30</f>
        <v>40.733333333333334</v>
      </c>
      <c r="J427" t="str">
        <f t="shared" si="25"/>
        <v>Молчанов</v>
      </c>
      <c r="K427" t="str">
        <f t="shared" si="26"/>
        <v>Якуб</v>
      </c>
      <c r="L427" t="str">
        <f t="shared" si="27"/>
        <v>Филатович</v>
      </c>
    </row>
    <row r="428" spans="1:12" x14ac:dyDescent="0.25">
      <c r="A428">
        <v>347</v>
      </c>
      <c r="B428" t="s">
        <v>153</v>
      </c>
      <c r="C428" s="35" t="s">
        <v>152</v>
      </c>
      <c r="D428" t="s">
        <v>142</v>
      </c>
      <c r="E428" s="23">
        <v>44588</v>
      </c>
      <c r="F428" t="str">
        <f>LEFT(Таблица4[[#This Row],[номер телефона клиента]],LEN(Таблица4[[#This Row],[номер телефона клиента]])-13)</f>
        <v>+992</v>
      </c>
      <c r="G428" t="str">
        <f>_xlfn.XLOOKUP(Таблица4[[#This Row],[Коды телефона]],Таблица5[Код],Таблица5[Страна],"Не найдено",0)</f>
        <v>Таджикистан</v>
      </c>
      <c r="H428" s="23">
        <f t="shared" ca="1" si="24"/>
        <v>46020</v>
      </c>
      <c r="I428" s="19">
        <f ca="1">(Таблица4[[#This Row],[Текущая дата]]-Таблица4[[#This Row],[Дата регистрации клиента]])/30</f>
        <v>47.733333333333334</v>
      </c>
      <c r="J428" t="str">
        <f t="shared" si="25"/>
        <v>Афанасьев</v>
      </c>
      <c r="K428" t="str">
        <f t="shared" si="26"/>
        <v>Кузьма</v>
      </c>
      <c r="L428" t="str">
        <f t="shared" si="27"/>
        <v>Исидорович</v>
      </c>
    </row>
    <row r="429" spans="1:12" x14ac:dyDescent="0.25">
      <c r="A429">
        <v>469</v>
      </c>
      <c r="B429" t="s">
        <v>151</v>
      </c>
      <c r="C429" s="35" t="s">
        <v>1319</v>
      </c>
      <c r="D429" t="s">
        <v>142</v>
      </c>
      <c r="E429" s="23">
        <v>44659</v>
      </c>
      <c r="F429" t="str">
        <f>LEFT(Таблица4[[#This Row],[номер телефона клиента]],LEN(Таблица4[[#This Row],[номер телефона клиента]])-13)</f>
        <v>+7</v>
      </c>
      <c r="G429" t="str">
        <f>_xlfn.XLOOKUP(Таблица4[[#This Row],[Коды телефона]],Таблица5[Код],Таблица5[Страна],"Не найдено",0)</f>
        <v>Россия</v>
      </c>
      <c r="H429" s="23">
        <f t="shared" ca="1" si="24"/>
        <v>46020</v>
      </c>
      <c r="I429" s="19">
        <f ca="1">(Таблица4[[#This Row],[Текущая дата]]-Таблица4[[#This Row],[Дата регистрации клиента]])/30</f>
        <v>45.366666666666667</v>
      </c>
      <c r="J429" t="str">
        <f t="shared" si="25"/>
        <v>Крюкова</v>
      </c>
      <c r="K429" t="str">
        <f t="shared" si="26"/>
        <v>Лариса</v>
      </c>
      <c r="L429" t="str">
        <f t="shared" si="27"/>
        <v>Романовна</v>
      </c>
    </row>
    <row r="430" spans="1:12" x14ac:dyDescent="0.25">
      <c r="A430">
        <v>93</v>
      </c>
      <c r="B430" t="s">
        <v>150</v>
      </c>
      <c r="C430" s="35" t="s">
        <v>149</v>
      </c>
      <c r="D430" t="s">
        <v>140</v>
      </c>
      <c r="E430" s="23">
        <v>44905</v>
      </c>
      <c r="F430" t="str">
        <f>LEFT(Таблица4[[#This Row],[номер телефона клиента]],LEN(Таблица4[[#This Row],[номер телефона клиента]])-13)</f>
        <v>+380</v>
      </c>
      <c r="G430" t="str">
        <f>_xlfn.XLOOKUP(Таблица4[[#This Row],[Коды телефона]],Таблица5[Код],Таблица5[Страна],"Не найдено",0)</f>
        <v>Украина</v>
      </c>
      <c r="H430" s="23">
        <f t="shared" ca="1" si="24"/>
        <v>46020</v>
      </c>
      <c r="I430" s="19">
        <f ca="1">(Таблица4[[#This Row],[Текущая дата]]-Таблица4[[#This Row],[Дата регистрации клиента]])/30</f>
        <v>37.166666666666664</v>
      </c>
      <c r="J430" t="str">
        <f t="shared" si="25"/>
        <v>Авдеев</v>
      </c>
      <c r="K430" t="str">
        <f t="shared" si="26"/>
        <v>Олимпий</v>
      </c>
      <c r="L430" t="str">
        <f t="shared" si="27"/>
        <v>Жанович</v>
      </c>
    </row>
    <row r="431" spans="1:12" x14ac:dyDescent="0.25">
      <c r="A431">
        <v>200</v>
      </c>
      <c r="B431" t="s">
        <v>148</v>
      </c>
      <c r="C431" s="35" t="s">
        <v>147</v>
      </c>
      <c r="D431" t="s">
        <v>142</v>
      </c>
      <c r="E431" s="23">
        <v>44783</v>
      </c>
      <c r="F431" t="str">
        <f>LEFT(Таблица4[[#This Row],[номер телефона клиента]],LEN(Таблица4[[#This Row],[номер телефона клиента]])-13)</f>
        <v>+998</v>
      </c>
      <c r="G431" t="str">
        <f>_xlfn.XLOOKUP(Таблица4[[#This Row],[Коды телефона]],Таблица5[Код],Таблица5[Страна],"Не найдено",0)</f>
        <v>Узбекистан</v>
      </c>
      <c r="H431" s="23">
        <f t="shared" ca="1" si="24"/>
        <v>46020</v>
      </c>
      <c r="I431" s="19">
        <f ca="1">(Таблица4[[#This Row],[Текущая дата]]-Таблица4[[#This Row],[Дата регистрации клиента]])/30</f>
        <v>41.233333333333334</v>
      </c>
      <c r="J431" t="str">
        <f t="shared" si="25"/>
        <v>Воробьева</v>
      </c>
      <c r="K431" t="str">
        <f t="shared" si="26"/>
        <v>Анжела</v>
      </c>
      <c r="L431" t="str">
        <f t="shared" si="27"/>
        <v>Аскольдовна</v>
      </c>
    </row>
    <row r="432" spans="1:12" x14ac:dyDescent="0.25">
      <c r="A432">
        <v>95</v>
      </c>
      <c r="B432" t="s">
        <v>146</v>
      </c>
      <c r="C432" s="35" t="s">
        <v>145</v>
      </c>
      <c r="D432" t="s">
        <v>140</v>
      </c>
      <c r="E432" s="23">
        <v>44704</v>
      </c>
      <c r="F432" t="str">
        <f>LEFT(Таблица4[[#This Row],[номер телефона клиента]],LEN(Таблица4[[#This Row],[номер телефона клиента]])-13)</f>
        <v>+998</v>
      </c>
      <c r="G432" t="str">
        <f>_xlfn.XLOOKUP(Таблица4[[#This Row],[Коды телефона]],Таблица5[Код],Таблица5[Страна],"Не найдено",0)</f>
        <v>Узбекистан</v>
      </c>
      <c r="H432" s="23">
        <f t="shared" ca="1" si="24"/>
        <v>46020</v>
      </c>
      <c r="I432" s="19">
        <f ca="1">(Таблица4[[#This Row],[Текущая дата]]-Таблица4[[#This Row],[Дата регистрации клиента]])/30</f>
        <v>43.866666666666667</v>
      </c>
      <c r="J432" t="str">
        <f t="shared" si="25"/>
        <v>Белоусова</v>
      </c>
      <c r="K432" t="str">
        <f t="shared" si="26"/>
        <v>Жанна</v>
      </c>
      <c r="L432" t="str">
        <f t="shared" si="27"/>
        <v>Кузьминична</v>
      </c>
    </row>
    <row r="433" spans="1:12" x14ac:dyDescent="0.25">
      <c r="A433">
        <v>20</v>
      </c>
      <c r="B433" t="s">
        <v>144</v>
      </c>
      <c r="C433" s="35" t="s">
        <v>1320</v>
      </c>
      <c r="D433" t="s">
        <v>140</v>
      </c>
      <c r="E433" s="23">
        <v>44691</v>
      </c>
      <c r="F433" t="str">
        <f>LEFT(Таблица4[[#This Row],[номер телефона клиента]],LEN(Таблица4[[#This Row],[номер телефона клиента]])-13)</f>
        <v>+998</v>
      </c>
      <c r="G433" t="str">
        <f>_xlfn.XLOOKUP(Таблица4[[#This Row],[Коды телефона]],Таблица5[Код],Таблица5[Страна],"Не найдено",0)</f>
        <v>Узбекистан</v>
      </c>
      <c r="H433" s="23">
        <f t="shared" ca="1" si="24"/>
        <v>46020</v>
      </c>
      <c r="I433" s="19">
        <f ca="1">(Таблица4[[#This Row],[Текущая дата]]-Таблица4[[#This Row],[Дата регистрации клиента]])/30</f>
        <v>44.3</v>
      </c>
      <c r="J433" t="str">
        <f t="shared" si="25"/>
        <v>Юдин</v>
      </c>
      <c r="K433" t="str">
        <f t="shared" si="26"/>
        <v>Амвросий</v>
      </c>
      <c r="L433" t="str">
        <f t="shared" si="27"/>
        <v>Игнатович</v>
      </c>
    </row>
    <row r="434" spans="1:12" x14ac:dyDescent="0.25">
      <c r="A434">
        <v>94</v>
      </c>
      <c r="B434" t="s">
        <v>143</v>
      </c>
      <c r="C434" s="35" t="s">
        <v>1321</v>
      </c>
      <c r="D434" t="s">
        <v>142</v>
      </c>
      <c r="E434" s="23">
        <v>44723</v>
      </c>
      <c r="F434" t="str">
        <f>LEFT(Таблица4[[#This Row],[номер телефона клиента]],LEN(Таблица4[[#This Row],[номер телефона клиента]])-13)</f>
        <v>+380</v>
      </c>
      <c r="G434" t="str">
        <f>_xlfn.XLOOKUP(Таблица4[[#This Row],[Коды телефона]],Таблица5[Код],Таблица5[Страна],"Не найдено",0)</f>
        <v>Украина</v>
      </c>
      <c r="H434" s="23">
        <f t="shared" ca="1" si="24"/>
        <v>46020</v>
      </c>
      <c r="I434" s="19">
        <f ca="1">(Таблица4[[#This Row],[Текущая дата]]-Таблица4[[#This Row],[Дата регистрации клиента]])/30</f>
        <v>43.233333333333334</v>
      </c>
      <c r="J434" t="str">
        <f t="shared" si="25"/>
        <v>Соловьева</v>
      </c>
      <c r="K434" t="str">
        <f t="shared" si="26"/>
        <v>Евдокия</v>
      </c>
      <c r="L434" t="str">
        <f t="shared" si="27"/>
        <v>Эдуардовна</v>
      </c>
    </row>
    <row r="435" spans="1:12" x14ac:dyDescent="0.25">
      <c r="A435">
        <v>427</v>
      </c>
      <c r="B435" t="s">
        <v>141</v>
      </c>
      <c r="C435" s="35" t="s">
        <v>1322</v>
      </c>
      <c r="D435" t="s">
        <v>140</v>
      </c>
      <c r="E435" s="23">
        <v>44834</v>
      </c>
      <c r="F435" t="str">
        <f>LEFT(Таблица4[[#This Row],[номер телефона клиента]],LEN(Таблица4[[#This Row],[номер телефона клиента]])-13)</f>
        <v>+7</v>
      </c>
      <c r="G435" t="str">
        <f>_xlfn.XLOOKUP(Таблица4[[#This Row],[Коды телефона]],Таблица5[Код],Таблица5[Страна],"Не найдено",0)</f>
        <v>Россия</v>
      </c>
      <c r="H435" s="23">
        <f t="shared" ca="1" si="24"/>
        <v>46020</v>
      </c>
      <c r="I435" s="19">
        <f ca="1">(Таблица4[[#This Row],[Текущая дата]]-Таблица4[[#This Row],[Дата регистрации клиента]])/30</f>
        <v>39.533333333333331</v>
      </c>
      <c r="J435" t="str">
        <f t="shared" si="25"/>
        <v>Крюкова</v>
      </c>
      <c r="K435" t="str">
        <f t="shared" si="26"/>
        <v>Лидия</v>
      </c>
      <c r="L435" t="str">
        <f t="shared" si="27"/>
        <v>Андреевна</v>
      </c>
    </row>
  </sheetData>
  <phoneticPr fontId="11" type="noConversion"/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E2EA-E4B3-4D1F-BE1F-5BD197B1CFF1}">
  <dimension ref="A3:B9"/>
  <sheetViews>
    <sheetView workbookViewId="0">
      <selection activeCell="B5" sqref="B5"/>
    </sheetView>
  </sheetViews>
  <sheetFormatPr defaultRowHeight="15" x14ac:dyDescent="0.25"/>
  <cols>
    <col min="1" max="1" width="17.28515625" bestFit="1" customWidth="1"/>
    <col min="2" max="2" width="30.42578125" bestFit="1" customWidth="1"/>
  </cols>
  <sheetData>
    <row r="3" spans="1:2" x14ac:dyDescent="0.25">
      <c r="A3" s="14" t="s">
        <v>813</v>
      </c>
      <c r="B3" t="s">
        <v>839</v>
      </c>
    </row>
    <row r="4" spans="1:2" x14ac:dyDescent="0.25">
      <c r="A4" s="15" t="s">
        <v>137</v>
      </c>
      <c r="B4" s="16">
        <v>146</v>
      </c>
    </row>
    <row r="5" spans="1:2" x14ac:dyDescent="0.25">
      <c r="A5" s="15" t="s">
        <v>132</v>
      </c>
      <c r="B5" s="16">
        <v>85</v>
      </c>
    </row>
    <row r="6" spans="1:2" x14ac:dyDescent="0.25">
      <c r="A6" s="15" t="s">
        <v>128</v>
      </c>
      <c r="B6" s="16">
        <v>78</v>
      </c>
    </row>
    <row r="7" spans="1:2" x14ac:dyDescent="0.25">
      <c r="A7" s="15" t="s">
        <v>130</v>
      </c>
      <c r="B7" s="16">
        <v>74</v>
      </c>
    </row>
    <row r="8" spans="1:2" x14ac:dyDescent="0.25">
      <c r="A8" s="15" t="s">
        <v>134</v>
      </c>
      <c r="B8" s="16">
        <v>51</v>
      </c>
    </row>
    <row r="9" spans="1:2" x14ac:dyDescent="0.25">
      <c r="A9" s="15" t="s">
        <v>814</v>
      </c>
      <c r="B9" s="16">
        <v>434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B49-02E6-2448-81DB-FC5F6DC7D67D}">
  <dimension ref="A1:B7"/>
  <sheetViews>
    <sheetView workbookViewId="0">
      <selection activeCell="F12" sqref="F12"/>
    </sheetView>
  </sheetViews>
  <sheetFormatPr defaultColWidth="8.85546875" defaultRowHeight="15" x14ac:dyDescent="0.25"/>
  <cols>
    <col min="1" max="1" width="12.7109375" bestFit="1" customWidth="1"/>
    <col min="2" max="2" width="9.140625" bestFit="1" customWidth="1"/>
  </cols>
  <sheetData>
    <row r="1" spans="1:2" x14ac:dyDescent="0.25">
      <c r="A1" s="13" t="s">
        <v>139</v>
      </c>
      <c r="B1" s="13" t="s">
        <v>138</v>
      </c>
    </row>
    <row r="2" spans="1:2" x14ac:dyDescent="0.25">
      <c r="A2" t="s">
        <v>137</v>
      </c>
      <c r="B2" t="s">
        <v>135</v>
      </c>
    </row>
    <row r="3" spans="1:2" x14ac:dyDescent="0.25">
      <c r="A3" t="s">
        <v>136</v>
      </c>
      <c r="B3" t="s">
        <v>135</v>
      </c>
    </row>
    <row r="4" spans="1:2" x14ac:dyDescent="0.25">
      <c r="A4" t="s">
        <v>134</v>
      </c>
      <c r="B4" t="s">
        <v>133</v>
      </c>
    </row>
    <row r="5" spans="1:2" x14ac:dyDescent="0.25">
      <c r="A5" t="s">
        <v>132</v>
      </c>
      <c r="B5" t="s">
        <v>131</v>
      </c>
    </row>
    <row r="6" spans="1:2" x14ac:dyDescent="0.25">
      <c r="A6" t="s">
        <v>130</v>
      </c>
      <c r="B6" t="s">
        <v>129</v>
      </c>
    </row>
    <row r="7" spans="1:2" x14ac:dyDescent="0.25">
      <c r="A7" t="s">
        <v>128</v>
      </c>
      <c r="B7" t="s">
        <v>127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9C9B-04B5-4A70-BB83-BE1AAE4EE198}">
  <dimension ref="A3:B437"/>
  <sheetViews>
    <sheetView topLeftCell="C1" workbookViewId="0">
      <selection activeCell="L33" sqref="L33"/>
    </sheetView>
  </sheetViews>
  <sheetFormatPr defaultRowHeight="15" x14ac:dyDescent="0.25"/>
  <cols>
    <col min="1" max="1" width="39.28515625" bestFit="1" customWidth="1"/>
    <col min="2" max="2" width="36.28515625" bestFit="1" customWidth="1"/>
  </cols>
  <sheetData>
    <row r="3" spans="1:2" x14ac:dyDescent="0.25">
      <c r="A3" s="14" t="s">
        <v>813</v>
      </c>
      <c r="B3" t="s">
        <v>857</v>
      </c>
    </row>
    <row r="4" spans="1:2" x14ac:dyDescent="0.25">
      <c r="A4" s="15" t="s">
        <v>1193</v>
      </c>
      <c r="B4" s="19">
        <v>48.6</v>
      </c>
    </row>
    <row r="5" spans="1:2" x14ac:dyDescent="0.25">
      <c r="A5" s="15" t="s">
        <v>665</v>
      </c>
      <c r="B5" s="19">
        <v>48.56666666666667</v>
      </c>
    </row>
    <row r="6" spans="1:2" x14ac:dyDescent="0.25">
      <c r="A6" s="15" t="s">
        <v>861</v>
      </c>
      <c r="B6" s="19">
        <v>48.56666666666667</v>
      </c>
    </row>
    <row r="7" spans="1:2" x14ac:dyDescent="0.25">
      <c r="A7" s="15" t="s">
        <v>613</v>
      </c>
      <c r="B7" s="19">
        <v>48.56666666666667</v>
      </c>
    </row>
    <row r="8" spans="1:2" x14ac:dyDescent="0.25">
      <c r="A8" s="15" t="s">
        <v>1107</v>
      </c>
      <c r="B8" s="19">
        <v>48.56666666666667</v>
      </c>
    </row>
    <row r="9" spans="1:2" x14ac:dyDescent="0.25">
      <c r="A9" s="15" t="s">
        <v>163</v>
      </c>
      <c r="B9" s="19">
        <v>48.533333333333331</v>
      </c>
    </row>
    <row r="10" spans="1:2" x14ac:dyDescent="0.25">
      <c r="A10" s="15" t="s">
        <v>1175</v>
      </c>
      <c r="B10" s="19">
        <v>48.5</v>
      </c>
    </row>
    <row r="11" spans="1:2" x14ac:dyDescent="0.25">
      <c r="A11" s="15" t="s">
        <v>513</v>
      </c>
      <c r="B11" s="19">
        <v>48.5</v>
      </c>
    </row>
    <row r="12" spans="1:2" x14ac:dyDescent="0.25">
      <c r="A12" s="15" t="s">
        <v>1195</v>
      </c>
      <c r="B12" s="19">
        <v>48.4</v>
      </c>
    </row>
    <row r="13" spans="1:2" x14ac:dyDescent="0.25">
      <c r="A13" s="15" t="s">
        <v>1127</v>
      </c>
      <c r="B13" s="19">
        <v>48.4</v>
      </c>
    </row>
    <row r="14" spans="1:2" x14ac:dyDescent="0.25">
      <c r="A14" s="15" t="s">
        <v>1264</v>
      </c>
      <c r="B14" s="19">
        <v>48.4</v>
      </c>
    </row>
    <row r="15" spans="1:2" x14ac:dyDescent="0.25">
      <c r="A15" s="15" t="s">
        <v>509</v>
      </c>
      <c r="B15" s="19">
        <v>48.4</v>
      </c>
    </row>
    <row r="16" spans="1:2" x14ac:dyDescent="0.25">
      <c r="A16" s="15" t="s">
        <v>1276</v>
      </c>
      <c r="B16" s="19">
        <v>48.366666666666667</v>
      </c>
    </row>
    <row r="17" spans="1:2" x14ac:dyDescent="0.25">
      <c r="A17" s="15" t="s">
        <v>1263</v>
      </c>
      <c r="B17" s="19">
        <v>48.333333333333336</v>
      </c>
    </row>
    <row r="18" spans="1:2" x14ac:dyDescent="0.25">
      <c r="A18" s="15" t="s">
        <v>644</v>
      </c>
      <c r="B18" s="19">
        <v>48.333333333333336</v>
      </c>
    </row>
    <row r="19" spans="1:2" x14ac:dyDescent="0.25">
      <c r="A19" s="15" t="s">
        <v>1156</v>
      </c>
      <c r="B19" s="19">
        <v>48.333333333333336</v>
      </c>
    </row>
    <row r="20" spans="1:2" x14ac:dyDescent="0.25">
      <c r="A20" s="15" t="s">
        <v>1281</v>
      </c>
      <c r="B20" s="19">
        <v>48.3</v>
      </c>
    </row>
    <row r="21" spans="1:2" x14ac:dyDescent="0.25">
      <c r="A21" s="15" t="s">
        <v>470</v>
      </c>
      <c r="B21" s="19">
        <v>48.266666666666666</v>
      </c>
    </row>
    <row r="22" spans="1:2" x14ac:dyDescent="0.25">
      <c r="A22" s="15" t="s">
        <v>233</v>
      </c>
      <c r="B22" s="19">
        <v>48.233333333333334</v>
      </c>
    </row>
    <row r="23" spans="1:2" x14ac:dyDescent="0.25">
      <c r="A23" s="15" t="s">
        <v>606</v>
      </c>
      <c r="B23" s="19">
        <v>48.233333333333334</v>
      </c>
    </row>
    <row r="24" spans="1:2" x14ac:dyDescent="0.25">
      <c r="A24" s="15" t="s">
        <v>409</v>
      </c>
      <c r="B24" s="19">
        <v>48.166666666666664</v>
      </c>
    </row>
    <row r="25" spans="1:2" x14ac:dyDescent="0.25">
      <c r="A25" s="15" t="s">
        <v>1286</v>
      </c>
      <c r="B25" s="19">
        <v>48.133333333333333</v>
      </c>
    </row>
    <row r="26" spans="1:2" x14ac:dyDescent="0.25">
      <c r="A26" s="15" t="s">
        <v>1159</v>
      </c>
      <c r="B26" s="19">
        <v>48.133333333333333</v>
      </c>
    </row>
    <row r="27" spans="1:2" x14ac:dyDescent="0.25">
      <c r="A27" s="15" t="s">
        <v>1303</v>
      </c>
      <c r="B27" s="19">
        <v>48.1</v>
      </c>
    </row>
    <row r="28" spans="1:2" x14ac:dyDescent="0.25">
      <c r="A28" s="15" t="s">
        <v>1096</v>
      </c>
      <c r="B28" s="19">
        <v>48.1</v>
      </c>
    </row>
    <row r="29" spans="1:2" x14ac:dyDescent="0.25">
      <c r="A29" s="15" t="s">
        <v>1224</v>
      </c>
      <c r="B29" s="19">
        <v>48.06666666666667</v>
      </c>
    </row>
    <row r="30" spans="1:2" x14ac:dyDescent="0.25">
      <c r="A30" s="15" t="s">
        <v>1192</v>
      </c>
      <c r="B30" s="19">
        <v>48</v>
      </c>
    </row>
    <row r="31" spans="1:2" x14ac:dyDescent="0.25">
      <c r="A31" s="15" t="s">
        <v>1247</v>
      </c>
      <c r="B31" s="19">
        <v>48</v>
      </c>
    </row>
    <row r="32" spans="1:2" x14ac:dyDescent="0.25">
      <c r="A32" s="15" t="s">
        <v>600</v>
      </c>
      <c r="B32" s="19">
        <v>47.966666666666669</v>
      </c>
    </row>
    <row r="33" spans="1:2" x14ac:dyDescent="0.25">
      <c r="A33" s="15" t="s">
        <v>258</v>
      </c>
      <c r="B33" s="19">
        <v>47.966666666666669</v>
      </c>
    </row>
    <row r="34" spans="1:2" x14ac:dyDescent="0.25">
      <c r="A34" s="15" t="s">
        <v>770</v>
      </c>
      <c r="B34" s="19">
        <v>47.93333333333333</v>
      </c>
    </row>
    <row r="35" spans="1:2" x14ac:dyDescent="0.25">
      <c r="A35" s="15" t="s">
        <v>1135</v>
      </c>
      <c r="B35" s="19">
        <v>47.93333333333333</v>
      </c>
    </row>
    <row r="36" spans="1:2" x14ac:dyDescent="0.25">
      <c r="A36" s="15" t="s">
        <v>649</v>
      </c>
      <c r="B36" s="19">
        <v>47.866666666666667</v>
      </c>
    </row>
    <row r="37" spans="1:2" x14ac:dyDescent="0.25">
      <c r="A37" s="15" t="s">
        <v>1110</v>
      </c>
      <c r="B37" s="19">
        <v>47.866666666666667</v>
      </c>
    </row>
    <row r="38" spans="1:2" x14ac:dyDescent="0.25">
      <c r="A38" s="15" t="s">
        <v>1201</v>
      </c>
      <c r="B38" s="19">
        <v>47.833333333333336</v>
      </c>
    </row>
    <row r="39" spans="1:2" x14ac:dyDescent="0.25">
      <c r="A39" s="15" t="s">
        <v>1238</v>
      </c>
      <c r="B39" s="19">
        <v>47.833333333333336</v>
      </c>
    </row>
    <row r="40" spans="1:2" x14ac:dyDescent="0.25">
      <c r="A40" s="15" t="s">
        <v>658</v>
      </c>
      <c r="B40" s="19">
        <v>47.833333333333336</v>
      </c>
    </row>
    <row r="41" spans="1:2" x14ac:dyDescent="0.25">
      <c r="A41" s="15" t="s">
        <v>1268</v>
      </c>
      <c r="B41" s="19">
        <v>47.8</v>
      </c>
    </row>
    <row r="42" spans="1:2" x14ac:dyDescent="0.25">
      <c r="A42" s="15" t="s">
        <v>1190</v>
      </c>
      <c r="B42" s="19">
        <v>47.766666666666666</v>
      </c>
    </row>
    <row r="43" spans="1:2" x14ac:dyDescent="0.25">
      <c r="A43" s="15" t="s">
        <v>1236</v>
      </c>
      <c r="B43" s="19">
        <v>47.766666666666666</v>
      </c>
    </row>
    <row r="44" spans="1:2" x14ac:dyDescent="0.25">
      <c r="A44" s="15" t="s">
        <v>152</v>
      </c>
      <c r="B44" s="19">
        <v>47.733333333333334</v>
      </c>
    </row>
    <row r="45" spans="1:2" x14ac:dyDescent="0.25">
      <c r="A45" s="15" t="s">
        <v>1272</v>
      </c>
      <c r="B45" s="19">
        <v>47.733333333333334</v>
      </c>
    </row>
    <row r="46" spans="1:2" x14ac:dyDescent="0.25">
      <c r="A46" s="15" t="s">
        <v>1184</v>
      </c>
      <c r="B46" s="19">
        <v>47.733333333333334</v>
      </c>
    </row>
    <row r="47" spans="1:2" x14ac:dyDescent="0.25">
      <c r="A47" s="15" t="s">
        <v>1291</v>
      </c>
      <c r="B47" s="19">
        <v>47.633333333333333</v>
      </c>
    </row>
    <row r="48" spans="1:2" x14ac:dyDescent="0.25">
      <c r="A48" s="15" t="s">
        <v>1269</v>
      </c>
      <c r="B48" s="19">
        <v>47.56666666666667</v>
      </c>
    </row>
    <row r="49" spans="1:2" x14ac:dyDescent="0.25">
      <c r="A49" s="15" t="s">
        <v>1284</v>
      </c>
      <c r="B49" s="19">
        <v>47.533333333333331</v>
      </c>
    </row>
    <row r="50" spans="1:2" x14ac:dyDescent="0.25">
      <c r="A50" s="15" t="s">
        <v>1173</v>
      </c>
      <c r="B50" s="19">
        <v>47.5</v>
      </c>
    </row>
    <row r="51" spans="1:2" x14ac:dyDescent="0.25">
      <c r="A51" s="15" t="s">
        <v>1275</v>
      </c>
      <c r="B51" s="19">
        <v>47.366666666666667</v>
      </c>
    </row>
    <row r="52" spans="1:2" x14ac:dyDescent="0.25">
      <c r="A52" s="15" t="s">
        <v>629</v>
      </c>
      <c r="B52" s="19">
        <v>47.366666666666667</v>
      </c>
    </row>
    <row r="53" spans="1:2" x14ac:dyDescent="0.25">
      <c r="A53" s="15" t="s">
        <v>225</v>
      </c>
      <c r="B53" s="19">
        <v>47.333333333333336</v>
      </c>
    </row>
    <row r="54" spans="1:2" x14ac:dyDescent="0.25">
      <c r="A54" s="15" t="s">
        <v>635</v>
      </c>
      <c r="B54" s="19">
        <v>47.3</v>
      </c>
    </row>
    <row r="55" spans="1:2" x14ac:dyDescent="0.25">
      <c r="A55" s="15" t="s">
        <v>297</v>
      </c>
      <c r="B55" s="19">
        <v>47.3</v>
      </c>
    </row>
    <row r="56" spans="1:2" x14ac:dyDescent="0.25">
      <c r="A56" s="15" t="s">
        <v>281</v>
      </c>
      <c r="B56" s="19">
        <v>47.3</v>
      </c>
    </row>
    <row r="57" spans="1:2" x14ac:dyDescent="0.25">
      <c r="A57" s="15" t="s">
        <v>1270</v>
      </c>
      <c r="B57" s="19">
        <v>47.266666666666666</v>
      </c>
    </row>
    <row r="58" spans="1:2" x14ac:dyDescent="0.25">
      <c r="A58" s="15" t="s">
        <v>1265</v>
      </c>
      <c r="B58" s="19">
        <v>47.266666666666666</v>
      </c>
    </row>
    <row r="59" spans="1:2" x14ac:dyDescent="0.25">
      <c r="A59" s="15" t="s">
        <v>756</v>
      </c>
      <c r="B59" s="19">
        <v>47.233333333333334</v>
      </c>
    </row>
    <row r="60" spans="1:2" x14ac:dyDescent="0.25">
      <c r="A60" s="15" t="s">
        <v>481</v>
      </c>
      <c r="B60" s="19">
        <v>47.166666666666664</v>
      </c>
    </row>
    <row r="61" spans="1:2" x14ac:dyDescent="0.25">
      <c r="A61" s="15" t="s">
        <v>1148</v>
      </c>
      <c r="B61" s="19">
        <v>47.166666666666664</v>
      </c>
    </row>
    <row r="62" spans="1:2" x14ac:dyDescent="0.25">
      <c r="A62" s="15" t="s">
        <v>535</v>
      </c>
      <c r="B62" s="19">
        <v>47.1</v>
      </c>
    </row>
    <row r="63" spans="1:2" x14ac:dyDescent="0.25">
      <c r="A63" s="15" t="s">
        <v>717</v>
      </c>
      <c r="B63" s="19">
        <v>47.06666666666667</v>
      </c>
    </row>
    <row r="64" spans="1:2" x14ac:dyDescent="0.25">
      <c r="A64" s="15" t="s">
        <v>168</v>
      </c>
      <c r="B64" s="19">
        <v>47.06666666666667</v>
      </c>
    </row>
    <row r="65" spans="1:2" x14ac:dyDescent="0.25">
      <c r="A65" s="15" t="s">
        <v>446</v>
      </c>
      <c r="B65" s="19">
        <v>47.06666666666667</v>
      </c>
    </row>
    <row r="66" spans="1:2" x14ac:dyDescent="0.25">
      <c r="A66" s="15" t="s">
        <v>740</v>
      </c>
      <c r="B66" s="19">
        <v>47.033333333333331</v>
      </c>
    </row>
    <row r="67" spans="1:2" x14ac:dyDescent="0.25">
      <c r="A67" s="15" t="s">
        <v>359</v>
      </c>
      <c r="B67" s="19">
        <v>46.93333333333333</v>
      </c>
    </row>
    <row r="68" spans="1:2" x14ac:dyDescent="0.25">
      <c r="A68" s="15" t="s">
        <v>546</v>
      </c>
      <c r="B68" s="19">
        <v>46.8</v>
      </c>
    </row>
    <row r="69" spans="1:2" x14ac:dyDescent="0.25">
      <c r="A69" s="15" t="s">
        <v>1235</v>
      </c>
      <c r="B69" s="19">
        <v>46.8</v>
      </c>
    </row>
    <row r="70" spans="1:2" x14ac:dyDescent="0.25">
      <c r="A70" s="15" t="s">
        <v>1302</v>
      </c>
      <c r="B70" s="19">
        <v>46.766666666666666</v>
      </c>
    </row>
    <row r="71" spans="1:2" x14ac:dyDescent="0.25">
      <c r="A71" s="15" t="s">
        <v>196</v>
      </c>
      <c r="B71" s="19">
        <v>46.733333333333334</v>
      </c>
    </row>
    <row r="72" spans="1:2" x14ac:dyDescent="0.25">
      <c r="A72" s="15" t="s">
        <v>477</v>
      </c>
      <c r="B72" s="19">
        <v>46.733333333333334</v>
      </c>
    </row>
    <row r="73" spans="1:2" x14ac:dyDescent="0.25">
      <c r="A73" s="15" t="s">
        <v>1253</v>
      </c>
      <c r="B73" s="19">
        <v>46.7</v>
      </c>
    </row>
    <row r="74" spans="1:2" x14ac:dyDescent="0.25">
      <c r="A74" s="15" t="s">
        <v>767</v>
      </c>
      <c r="B74" s="19">
        <v>46.7</v>
      </c>
    </row>
    <row r="75" spans="1:2" x14ac:dyDescent="0.25">
      <c r="A75" s="15" t="s">
        <v>1160</v>
      </c>
      <c r="B75" s="19">
        <v>46.7</v>
      </c>
    </row>
    <row r="76" spans="1:2" x14ac:dyDescent="0.25">
      <c r="A76" s="15" t="s">
        <v>458</v>
      </c>
      <c r="B76" s="19">
        <v>46.666666666666664</v>
      </c>
    </row>
    <row r="77" spans="1:2" x14ac:dyDescent="0.25">
      <c r="A77" s="15" t="s">
        <v>1120</v>
      </c>
      <c r="B77" s="19">
        <v>46.633333333333333</v>
      </c>
    </row>
    <row r="78" spans="1:2" x14ac:dyDescent="0.25">
      <c r="A78" s="15" t="s">
        <v>637</v>
      </c>
      <c r="B78" s="19">
        <v>46.633333333333333</v>
      </c>
    </row>
    <row r="79" spans="1:2" x14ac:dyDescent="0.25">
      <c r="A79" s="15" t="s">
        <v>694</v>
      </c>
      <c r="B79" s="19">
        <v>46.6</v>
      </c>
    </row>
    <row r="80" spans="1:2" x14ac:dyDescent="0.25">
      <c r="A80" s="15" t="s">
        <v>503</v>
      </c>
      <c r="B80" s="19">
        <v>46.56666666666667</v>
      </c>
    </row>
    <row r="81" spans="1:2" x14ac:dyDescent="0.25">
      <c r="A81" s="15" t="s">
        <v>542</v>
      </c>
      <c r="B81" s="19">
        <v>46.56666666666667</v>
      </c>
    </row>
    <row r="82" spans="1:2" x14ac:dyDescent="0.25">
      <c r="A82" s="15" t="s">
        <v>1261</v>
      </c>
      <c r="B82" s="19">
        <v>46.56666666666667</v>
      </c>
    </row>
    <row r="83" spans="1:2" x14ac:dyDescent="0.25">
      <c r="A83" s="15" t="s">
        <v>505</v>
      </c>
      <c r="B83" s="19">
        <v>46.5</v>
      </c>
    </row>
    <row r="84" spans="1:2" x14ac:dyDescent="0.25">
      <c r="A84" s="15" t="s">
        <v>1144</v>
      </c>
      <c r="B84" s="19">
        <v>46.43333333333333</v>
      </c>
    </row>
    <row r="85" spans="1:2" x14ac:dyDescent="0.25">
      <c r="A85" s="15" t="s">
        <v>361</v>
      </c>
      <c r="B85" s="19">
        <v>46.4</v>
      </c>
    </row>
    <row r="86" spans="1:2" x14ac:dyDescent="0.25">
      <c r="A86" s="15" t="s">
        <v>433</v>
      </c>
      <c r="B86" s="19">
        <v>46.4</v>
      </c>
    </row>
    <row r="87" spans="1:2" x14ac:dyDescent="0.25">
      <c r="A87" s="15" t="s">
        <v>392</v>
      </c>
      <c r="B87" s="19">
        <v>46.333333333333336</v>
      </c>
    </row>
    <row r="88" spans="1:2" x14ac:dyDescent="0.25">
      <c r="A88" s="15" t="s">
        <v>423</v>
      </c>
      <c r="B88" s="19">
        <v>46.3</v>
      </c>
    </row>
    <row r="89" spans="1:2" x14ac:dyDescent="0.25">
      <c r="A89" s="15" t="s">
        <v>608</v>
      </c>
      <c r="B89" s="19">
        <v>46.266666666666666</v>
      </c>
    </row>
    <row r="90" spans="1:2" x14ac:dyDescent="0.25">
      <c r="A90" s="15" t="s">
        <v>449</v>
      </c>
      <c r="B90" s="19">
        <v>46.166666666666664</v>
      </c>
    </row>
    <row r="91" spans="1:2" x14ac:dyDescent="0.25">
      <c r="A91" s="15" t="s">
        <v>1185</v>
      </c>
      <c r="B91" s="19">
        <v>46.166666666666664</v>
      </c>
    </row>
    <row r="92" spans="1:2" x14ac:dyDescent="0.25">
      <c r="A92" s="15" t="s">
        <v>862</v>
      </c>
      <c r="B92" s="19">
        <v>46.133333333333333</v>
      </c>
    </row>
    <row r="93" spans="1:2" x14ac:dyDescent="0.25">
      <c r="A93" s="15" t="s">
        <v>1130</v>
      </c>
      <c r="B93" s="19">
        <v>46.133333333333333</v>
      </c>
    </row>
    <row r="94" spans="1:2" x14ac:dyDescent="0.25">
      <c r="A94" s="15" t="s">
        <v>1202</v>
      </c>
      <c r="B94" s="19">
        <v>46.1</v>
      </c>
    </row>
    <row r="95" spans="1:2" x14ac:dyDescent="0.25">
      <c r="A95" s="15" t="s">
        <v>640</v>
      </c>
      <c r="B95" s="19">
        <v>46.033333333333331</v>
      </c>
    </row>
    <row r="96" spans="1:2" x14ac:dyDescent="0.25">
      <c r="A96" s="15" t="s">
        <v>773</v>
      </c>
      <c r="B96" s="19">
        <v>45.9</v>
      </c>
    </row>
    <row r="97" spans="1:2" x14ac:dyDescent="0.25">
      <c r="A97" s="15" t="s">
        <v>1137</v>
      </c>
      <c r="B97" s="19">
        <v>45.9</v>
      </c>
    </row>
    <row r="98" spans="1:2" x14ac:dyDescent="0.25">
      <c r="A98" s="15" t="s">
        <v>472</v>
      </c>
      <c r="B98" s="19">
        <v>45.866666666666667</v>
      </c>
    </row>
    <row r="99" spans="1:2" x14ac:dyDescent="0.25">
      <c r="A99" s="15" t="s">
        <v>682</v>
      </c>
      <c r="B99" s="19">
        <v>45.833333333333336</v>
      </c>
    </row>
    <row r="100" spans="1:2" x14ac:dyDescent="0.25">
      <c r="A100" s="15" t="s">
        <v>581</v>
      </c>
      <c r="B100" s="19">
        <v>45.733333333333334</v>
      </c>
    </row>
    <row r="101" spans="1:2" x14ac:dyDescent="0.25">
      <c r="A101" s="15" t="s">
        <v>1308</v>
      </c>
      <c r="B101" s="19">
        <v>45.7</v>
      </c>
    </row>
    <row r="102" spans="1:2" x14ac:dyDescent="0.25">
      <c r="A102" s="15" t="s">
        <v>1112</v>
      </c>
      <c r="B102" s="19">
        <v>45.7</v>
      </c>
    </row>
    <row r="103" spans="1:2" x14ac:dyDescent="0.25">
      <c r="A103" s="15" t="s">
        <v>1186</v>
      </c>
      <c r="B103" s="19">
        <v>45.633333333333333</v>
      </c>
    </row>
    <row r="104" spans="1:2" x14ac:dyDescent="0.25">
      <c r="A104" s="15" t="s">
        <v>1109</v>
      </c>
      <c r="B104" s="19">
        <v>45.6</v>
      </c>
    </row>
    <row r="105" spans="1:2" x14ac:dyDescent="0.25">
      <c r="A105" s="15" t="s">
        <v>745</v>
      </c>
      <c r="B105" s="19">
        <v>45.56666666666667</v>
      </c>
    </row>
    <row r="106" spans="1:2" x14ac:dyDescent="0.25">
      <c r="A106" s="15" t="s">
        <v>527</v>
      </c>
      <c r="B106" s="19">
        <v>45.56666666666667</v>
      </c>
    </row>
    <row r="107" spans="1:2" x14ac:dyDescent="0.25">
      <c r="A107" s="15" t="s">
        <v>715</v>
      </c>
      <c r="B107" s="19">
        <v>45.56666666666667</v>
      </c>
    </row>
    <row r="108" spans="1:2" x14ac:dyDescent="0.25">
      <c r="A108" s="15" t="s">
        <v>702</v>
      </c>
      <c r="B108" s="19">
        <v>45.533333333333331</v>
      </c>
    </row>
    <row r="109" spans="1:2" x14ac:dyDescent="0.25">
      <c r="A109" s="15" t="s">
        <v>1100</v>
      </c>
      <c r="B109" s="19">
        <v>45.533333333333331</v>
      </c>
    </row>
    <row r="110" spans="1:2" x14ac:dyDescent="0.25">
      <c r="A110" s="15" t="s">
        <v>474</v>
      </c>
      <c r="B110" s="19">
        <v>45.5</v>
      </c>
    </row>
    <row r="111" spans="1:2" x14ac:dyDescent="0.25">
      <c r="A111" s="15" t="s">
        <v>335</v>
      </c>
      <c r="B111" s="19">
        <v>45.5</v>
      </c>
    </row>
    <row r="112" spans="1:2" x14ac:dyDescent="0.25">
      <c r="A112" s="15" t="s">
        <v>762</v>
      </c>
      <c r="B112" s="19">
        <v>45.466666666666669</v>
      </c>
    </row>
    <row r="113" spans="1:2" x14ac:dyDescent="0.25">
      <c r="A113" s="15" t="s">
        <v>416</v>
      </c>
      <c r="B113" s="19">
        <v>45.4</v>
      </c>
    </row>
    <row r="114" spans="1:2" x14ac:dyDescent="0.25">
      <c r="A114" s="15" t="s">
        <v>1319</v>
      </c>
      <c r="B114" s="19">
        <v>45.366666666666667</v>
      </c>
    </row>
    <row r="115" spans="1:2" x14ac:dyDescent="0.25">
      <c r="A115" s="15" t="s">
        <v>1131</v>
      </c>
      <c r="B115" s="19">
        <v>45.3</v>
      </c>
    </row>
    <row r="116" spans="1:2" x14ac:dyDescent="0.25">
      <c r="A116" s="15" t="s">
        <v>1289</v>
      </c>
      <c r="B116" s="19">
        <v>45.266666666666666</v>
      </c>
    </row>
    <row r="117" spans="1:2" x14ac:dyDescent="0.25">
      <c r="A117" s="15" t="s">
        <v>1222</v>
      </c>
      <c r="B117" s="19">
        <v>45.266666666666666</v>
      </c>
    </row>
    <row r="118" spans="1:2" x14ac:dyDescent="0.25">
      <c r="A118" s="15" t="s">
        <v>583</v>
      </c>
      <c r="B118" s="19">
        <v>45.166666666666664</v>
      </c>
    </row>
    <row r="119" spans="1:2" x14ac:dyDescent="0.25">
      <c r="A119" s="15" t="s">
        <v>437</v>
      </c>
      <c r="B119" s="19">
        <v>45.133333333333333</v>
      </c>
    </row>
    <row r="120" spans="1:2" x14ac:dyDescent="0.25">
      <c r="A120" s="15" t="s">
        <v>181</v>
      </c>
      <c r="B120" s="19">
        <v>45.133333333333333</v>
      </c>
    </row>
    <row r="121" spans="1:2" x14ac:dyDescent="0.25">
      <c r="A121" s="15" t="s">
        <v>198</v>
      </c>
      <c r="B121" s="19">
        <v>45.133333333333333</v>
      </c>
    </row>
    <row r="122" spans="1:2" x14ac:dyDescent="0.25">
      <c r="A122" s="15" t="s">
        <v>1227</v>
      </c>
      <c r="B122" s="19">
        <v>45.1</v>
      </c>
    </row>
    <row r="123" spans="1:2" x14ac:dyDescent="0.25">
      <c r="A123" s="15" t="s">
        <v>1274</v>
      </c>
      <c r="B123" s="19">
        <v>45.06666666666667</v>
      </c>
    </row>
    <row r="124" spans="1:2" x14ac:dyDescent="0.25">
      <c r="A124" s="15" t="s">
        <v>1219</v>
      </c>
      <c r="B124" s="19">
        <v>45.033333333333331</v>
      </c>
    </row>
    <row r="125" spans="1:2" x14ac:dyDescent="0.25">
      <c r="A125" s="15" t="s">
        <v>1206</v>
      </c>
      <c r="B125" s="19">
        <v>44.966666666666669</v>
      </c>
    </row>
    <row r="126" spans="1:2" x14ac:dyDescent="0.25">
      <c r="A126" s="15" t="s">
        <v>1183</v>
      </c>
      <c r="B126" s="19">
        <v>44.966666666666669</v>
      </c>
    </row>
    <row r="127" spans="1:2" x14ac:dyDescent="0.25">
      <c r="A127" s="15" t="s">
        <v>1258</v>
      </c>
      <c r="B127" s="19">
        <v>44.966666666666669</v>
      </c>
    </row>
    <row r="128" spans="1:2" x14ac:dyDescent="0.25">
      <c r="A128" s="15" t="s">
        <v>1164</v>
      </c>
      <c r="B128" s="19">
        <v>44.93333333333333</v>
      </c>
    </row>
    <row r="129" spans="1:2" x14ac:dyDescent="0.25">
      <c r="A129" s="15" t="s">
        <v>578</v>
      </c>
      <c r="B129" s="19">
        <v>44.9</v>
      </c>
    </row>
    <row r="130" spans="1:2" x14ac:dyDescent="0.25">
      <c r="A130" s="15" t="s">
        <v>1177</v>
      </c>
      <c r="B130" s="19">
        <v>44.9</v>
      </c>
    </row>
    <row r="131" spans="1:2" x14ac:dyDescent="0.25">
      <c r="A131" s="15" t="s">
        <v>263</v>
      </c>
      <c r="B131" s="19">
        <v>44.9</v>
      </c>
    </row>
    <row r="132" spans="1:2" x14ac:dyDescent="0.25">
      <c r="A132" s="15" t="s">
        <v>454</v>
      </c>
      <c r="B132" s="19">
        <v>44.866666666666667</v>
      </c>
    </row>
    <row r="133" spans="1:2" x14ac:dyDescent="0.25">
      <c r="A133" s="15" t="s">
        <v>1234</v>
      </c>
      <c r="B133" s="19">
        <v>44.866666666666667</v>
      </c>
    </row>
    <row r="134" spans="1:2" x14ac:dyDescent="0.25">
      <c r="A134" s="15" t="s">
        <v>749</v>
      </c>
      <c r="B134" s="19">
        <v>44.833333333333336</v>
      </c>
    </row>
    <row r="135" spans="1:2" x14ac:dyDescent="0.25">
      <c r="A135" s="15" t="s">
        <v>1209</v>
      </c>
      <c r="B135" s="19">
        <v>44.833333333333336</v>
      </c>
    </row>
    <row r="136" spans="1:2" x14ac:dyDescent="0.25">
      <c r="A136" s="15" t="s">
        <v>1304</v>
      </c>
      <c r="B136" s="19">
        <v>44.8</v>
      </c>
    </row>
    <row r="137" spans="1:2" x14ac:dyDescent="0.25">
      <c r="A137" s="15" t="s">
        <v>1212</v>
      </c>
      <c r="B137" s="19">
        <v>44.733333333333334</v>
      </c>
    </row>
    <row r="138" spans="1:2" x14ac:dyDescent="0.25">
      <c r="A138" s="15" t="s">
        <v>1104</v>
      </c>
      <c r="B138" s="19">
        <v>44.733333333333334</v>
      </c>
    </row>
    <row r="139" spans="1:2" x14ac:dyDescent="0.25">
      <c r="A139" s="15" t="s">
        <v>1310</v>
      </c>
      <c r="B139" s="19">
        <v>44.7</v>
      </c>
    </row>
    <row r="140" spans="1:2" x14ac:dyDescent="0.25">
      <c r="A140" s="15" t="s">
        <v>1288</v>
      </c>
      <c r="B140" s="19">
        <v>44.633333333333333</v>
      </c>
    </row>
    <row r="141" spans="1:2" x14ac:dyDescent="0.25">
      <c r="A141" s="15" t="s">
        <v>1279</v>
      </c>
      <c r="B141" s="19">
        <v>44.56666666666667</v>
      </c>
    </row>
    <row r="142" spans="1:2" x14ac:dyDescent="0.25">
      <c r="A142" s="15" t="s">
        <v>1233</v>
      </c>
      <c r="B142" s="19">
        <v>44.56666666666667</v>
      </c>
    </row>
    <row r="143" spans="1:2" x14ac:dyDescent="0.25">
      <c r="A143" s="15" t="s">
        <v>538</v>
      </c>
      <c r="B143" s="19">
        <v>44.56666666666667</v>
      </c>
    </row>
    <row r="144" spans="1:2" x14ac:dyDescent="0.25">
      <c r="A144" s="15" t="s">
        <v>1124</v>
      </c>
      <c r="B144" s="19">
        <v>44.56666666666667</v>
      </c>
    </row>
    <row r="145" spans="1:2" x14ac:dyDescent="0.25">
      <c r="A145" s="15" t="s">
        <v>210</v>
      </c>
      <c r="B145" s="19">
        <v>44.533333333333331</v>
      </c>
    </row>
    <row r="146" spans="1:2" x14ac:dyDescent="0.25">
      <c r="A146" s="15" t="s">
        <v>1098</v>
      </c>
      <c r="B146" s="19">
        <v>44.533333333333331</v>
      </c>
    </row>
    <row r="147" spans="1:2" x14ac:dyDescent="0.25">
      <c r="A147" s="15" t="s">
        <v>465</v>
      </c>
      <c r="B147" s="19">
        <v>44.5</v>
      </c>
    </row>
    <row r="148" spans="1:2" x14ac:dyDescent="0.25">
      <c r="A148" s="15" t="s">
        <v>1171</v>
      </c>
      <c r="B148" s="19">
        <v>44.466666666666669</v>
      </c>
    </row>
    <row r="149" spans="1:2" x14ac:dyDescent="0.25">
      <c r="A149" s="15" t="s">
        <v>176</v>
      </c>
      <c r="B149" s="19">
        <v>44.43333333333333</v>
      </c>
    </row>
    <row r="150" spans="1:2" x14ac:dyDescent="0.25">
      <c r="A150" s="15" t="s">
        <v>291</v>
      </c>
      <c r="B150" s="19">
        <v>44.4</v>
      </c>
    </row>
    <row r="151" spans="1:2" x14ac:dyDescent="0.25">
      <c r="A151" s="15" t="s">
        <v>1311</v>
      </c>
      <c r="B151" s="19">
        <v>44.4</v>
      </c>
    </row>
    <row r="152" spans="1:2" x14ac:dyDescent="0.25">
      <c r="A152" s="15" t="s">
        <v>1121</v>
      </c>
      <c r="B152" s="19">
        <v>44.366666666666667</v>
      </c>
    </row>
    <row r="153" spans="1:2" x14ac:dyDescent="0.25">
      <c r="A153" s="15" t="s">
        <v>1108</v>
      </c>
      <c r="B153" s="19">
        <v>44.366666666666667</v>
      </c>
    </row>
    <row r="154" spans="1:2" x14ac:dyDescent="0.25">
      <c r="A154" s="15" t="s">
        <v>670</v>
      </c>
      <c r="B154" s="19">
        <v>44.333333333333336</v>
      </c>
    </row>
    <row r="155" spans="1:2" x14ac:dyDescent="0.25">
      <c r="A155" s="15" t="s">
        <v>625</v>
      </c>
      <c r="B155" s="19">
        <v>44.333333333333336</v>
      </c>
    </row>
    <row r="156" spans="1:2" x14ac:dyDescent="0.25">
      <c r="A156" s="15" t="s">
        <v>227</v>
      </c>
      <c r="B156" s="19">
        <v>44.333333333333336</v>
      </c>
    </row>
    <row r="157" spans="1:2" x14ac:dyDescent="0.25">
      <c r="A157" s="15" t="s">
        <v>1200</v>
      </c>
      <c r="B157" s="19">
        <v>44.3</v>
      </c>
    </row>
    <row r="158" spans="1:2" x14ac:dyDescent="0.25">
      <c r="A158" s="15" t="s">
        <v>1320</v>
      </c>
      <c r="B158" s="19">
        <v>44.3</v>
      </c>
    </row>
    <row r="159" spans="1:2" x14ac:dyDescent="0.25">
      <c r="A159" s="15" t="s">
        <v>456</v>
      </c>
      <c r="B159" s="19">
        <v>44.266666666666666</v>
      </c>
    </row>
    <row r="160" spans="1:2" x14ac:dyDescent="0.25">
      <c r="A160" s="15" t="s">
        <v>1111</v>
      </c>
      <c r="B160" s="19">
        <v>44.233333333333334</v>
      </c>
    </row>
    <row r="161" spans="1:2" x14ac:dyDescent="0.25">
      <c r="A161" s="15" t="s">
        <v>1257</v>
      </c>
      <c r="B161" s="19">
        <v>44.233333333333334</v>
      </c>
    </row>
    <row r="162" spans="1:2" x14ac:dyDescent="0.25">
      <c r="A162" s="15" t="s">
        <v>719</v>
      </c>
      <c r="B162" s="19">
        <v>44.233333333333334</v>
      </c>
    </row>
    <row r="163" spans="1:2" x14ac:dyDescent="0.25">
      <c r="A163" s="15" t="s">
        <v>1122</v>
      </c>
      <c r="B163" s="19">
        <v>44.2</v>
      </c>
    </row>
    <row r="164" spans="1:2" x14ac:dyDescent="0.25">
      <c r="A164" s="15" t="s">
        <v>1141</v>
      </c>
      <c r="B164" s="19">
        <v>44.2</v>
      </c>
    </row>
    <row r="165" spans="1:2" x14ac:dyDescent="0.25">
      <c r="A165" s="15" t="s">
        <v>200</v>
      </c>
      <c r="B165" s="19">
        <v>44.2</v>
      </c>
    </row>
    <row r="166" spans="1:2" x14ac:dyDescent="0.25">
      <c r="A166" s="15" t="s">
        <v>1278</v>
      </c>
      <c r="B166" s="19">
        <v>44.166666666666664</v>
      </c>
    </row>
    <row r="167" spans="1:2" x14ac:dyDescent="0.25">
      <c r="A167" s="15" t="s">
        <v>567</v>
      </c>
      <c r="B167" s="19">
        <v>44.06666666666667</v>
      </c>
    </row>
    <row r="168" spans="1:2" x14ac:dyDescent="0.25">
      <c r="A168" s="15" t="s">
        <v>1099</v>
      </c>
      <c r="B168" s="19">
        <v>44.033333333333331</v>
      </c>
    </row>
    <row r="169" spans="1:2" x14ac:dyDescent="0.25">
      <c r="A169" s="15" t="s">
        <v>1295</v>
      </c>
      <c r="B169" s="19">
        <v>44</v>
      </c>
    </row>
    <row r="170" spans="1:2" x14ac:dyDescent="0.25">
      <c r="A170" s="15" t="s">
        <v>217</v>
      </c>
      <c r="B170" s="19">
        <v>44</v>
      </c>
    </row>
    <row r="171" spans="1:2" x14ac:dyDescent="0.25">
      <c r="A171" s="15" t="s">
        <v>1243</v>
      </c>
      <c r="B171" s="19">
        <v>44</v>
      </c>
    </row>
    <row r="172" spans="1:2" x14ac:dyDescent="0.25">
      <c r="A172" s="15" t="s">
        <v>355</v>
      </c>
      <c r="B172" s="19">
        <v>43.966666666666669</v>
      </c>
    </row>
    <row r="173" spans="1:2" x14ac:dyDescent="0.25">
      <c r="A173" s="15" t="s">
        <v>1169</v>
      </c>
      <c r="B173" s="19">
        <v>43.966666666666669</v>
      </c>
    </row>
    <row r="174" spans="1:2" x14ac:dyDescent="0.25">
      <c r="A174" s="15" t="s">
        <v>306</v>
      </c>
      <c r="B174" s="19">
        <v>43.966666666666669</v>
      </c>
    </row>
    <row r="175" spans="1:2" x14ac:dyDescent="0.25">
      <c r="A175" s="15" t="s">
        <v>1203</v>
      </c>
      <c r="B175" s="19">
        <v>43.93333333333333</v>
      </c>
    </row>
    <row r="176" spans="1:2" x14ac:dyDescent="0.25">
      <c r="A176" s="15" t="s">
        <v>373</v>
      </c>
      <c r="B176" s="19">
        <v>43.9</v>
      </c>
    </row>
    <row r="177" spans="1:2" x14ac:dyDescent="0.25">
      <c r="A177" s="15" t="s">
        <v>549</v>
      </c>
      <c r="B177" s="19">
        <v>43.9</v>
      </c>
    </row>
    <row r="178" spans="1:2" x14ac:dyDescent="0.25">
      <c r="A178" s="15" t="s">
        <v>439</v>
      </c>
      <c r="B178" s="19">
        <v>43.866666666666667</v>
      </c>
    </row>
    <row r="179" spans="1:2" x14ac:dyDescent="0.25">
      <c r="A179" s="15" t="s">
        <v>145</v>
      </c>
      <c r="B179" s="19">
        <v>43.866666666666667</v>
      </c>
    </row>
    <row r="180" spans="1:2" x14ac:dyDescent="0.25">
      <c r="A180" s="15" t="s">
        <v>241</v>
      </c>
      <c r="B180" s="19">
        <v>43.833333333333336</v>
      </c>
    </row>
    <row r="181" spans="1:2" x14ac:dyDescent="0.25">
      <c r="A181" s="15" t="s">
        <v>1215</v>
      </c>
      <c r="B181" s="19">
        <v>43.833333333333336</v>
      </c>
    </row>
    <row r="182" spans="1:2" x14ac:dyDescent="0.25">
      <c r="A182" s="15" t="s">
        <v>1207</v>
      </c>
      <c r="B182" s="19">
        <v>43.8</v>
      </c>
    </row>
    <row r="183" spans="1:2" x14ac:dyDescent="0.25">
      <c r="A183" s="15" t="s">
        <v>332</v>
      </c>
      <c r="B183" s="19">
        <v>43.8</v>
      </c>
    </row>
    <row r="184" spans="1:2" x14ac:dyDescent="0.25">
      <c r="A184" s="15" t="s">
        <v>492</v>
      </c>
      <c r="B184" s="19">
        <v>43.8</v>
      </c>
    </row>
    <row r="185" spans="1:2" x14ac:dyDescent="0.25">
      <c r="A185" s="15" t="s">
        <v>1178</v>
      </c>
      <c r="B185" s="19">
        <v>43.766666666666666</v>
      </c>
    </row>
    <row r="186" spans="1:2" x14ac:dyDescent="0.25">
      <c r="A186" s="15" t="s">
        <v>1115</v>
      </c>
      <c r="B186" s="19">
        <v>43.766666666666666</v>
      </c>
    </row>
    <row r="187" spans="1:2" x14ac:dyDescent="0.25">
      <c r="A187" s="15" t="s">
        <v>202</v>
      </c>
      <c r="B187" s="19">
        <v>43.733333333333334</v>
      </c>
    </row>
    <row r="188" spans="1:2" x14ac:dyDescent="0.25">
      <c r="A188" s="15" t="s">
        <v>1314</v>
      </c>
      <c r="B188" s="19">
        <v>43.666666666666664</v>
      </c>
    </row>
    <row r="189" spans="1:2" x14ac:dyDescent="0.25">
      <c r="A189" s="15" t="s">
        <v>230</v>
      </c>
      <c r="B189" s="19">
        <v>43.666666666666664</v>
      </c>
    </row>
    <row r="190" spans="1:2" x14ac:dyDescent="0.25">
      <c r="A190" s="15" t="s">
        <v>1134</v>
      </c>
      <c r="B190" s="19">
        <v>43.666666666666664</v>
      </c>
    </row>
    <row r="191" spans="1:2" x14ac:dyDescent="0.25">
      <c r="A191" s="15" t="s">
        <v>1128</v>
      </c>
      <c r="B191" s="19">
        <v>43.666666666666664</v>
      </c>
    </row>
    <row r="192" spans="1:2" x14ac:dyDescent="0.25">
      <c r="A192" s="15" t="s">
        <v>617</v>
      </c>
      <c r="B192" s="19">
        <v>43.633333333333333</v>
      </c>
    </row>
    <row r="193" spans="1:2" x14ac:dyDescent="0.25">
      <c r="A193" s="15" t="s">
        <v>1260</v>
      </c>
      <c r="B193" s="19">
        <v>43.633333333333333</v>
      </c>
    </row>
    <row r="194" spans="1:2" x14ac:dyDescent="0.25">
      <c r="A194" s="15" t="s">
        <v>1246</v>
      </c>
      <c r="B194" s="19">
        <v>43.633333333333333</v>
      </c>
    </row>
    <row r="195" spans="1:2" x14ac:dyDescent="0.25">
      <c r="A195" s="15" t="s">
        <v>619</v>
      </c>
      <c r="B195" s="19">
        <v>43.56666666666667</v>
      </c>
    </row>
    <row r="196" spans="1:2" x14ac:dyDescent="0.25">
      <c r="A196" s="15" t="s">
        <v>1155</v>
      </c>
      <c r="B196" s="19">
        <v>43.533333333333331</v>
      </c>
    </row>
    <row r="197" spans="1:2" x14ac:dyDescent="0.25">
      <c r="A197" s="15" t="s">
        <v>651</v>
      </c>
      <c r="B197" s="19">
        <v>43.533333333333331</v>
      </c>
    </row>
    <row r="198" spans="1:2" x14ac:dyDescent="0.25">
      <c r="A198" s="15" t="s">
        <v>269</v>
      </c>
      <c r="B198" s="19">
        <v>43.5</v>
      </c>
    </row>
    <row r="199" spans="1:2" x14ac:dyDescent="0.25">
      <c r="A199" s="15" t="s">
        <v>244</v>
      </c>
      <c r="B199" s="19">
        <v>43.466666666666669</v>
      </c>
    </row>
    <row r="200" spans="1:2" x14ac:dyDescent="0.25">
      <c r="A200" s="15" t="s">
        <v>1162</v>
      </c>
      <c r="B200" s="19">
        <v>43.43333333333333</v>
      </c>
    </row>
    <row r="201" spans="1:2" x14ac:dyDescent="0.25">
      <c r="A201" s="15" t="s">
        <v>1241</v>
      </c>
      <c r="B201" s="19">
        <v>43.4</v>
      </c>
    </row>
    <row r="202" spans="1:2" x14ac:dyDescent="0.25">
      <c r="A202" s="15" t="s">
        <v>1153</v>
      </c>
      <c r="B202" s="19">
        <v>43.333333333333336</v>
      </c>
    </row>
    <row r="203" spans="1:2" x14ac:dyDescent="0.25">
      <c r="A203" s="15" t="s">
        <v>1297</v>
      </c>
      <c r="B203" s="19">
        <v>43.3</v>
      </c>
    </row>
    <row r="204" spans="1:2" x14ac:dyDescent="0.25">
      <c r="A204" s="15" t="s">
        <v>254</v>
      </c>
      <c r="B204" s="19">
        <v>43.3</v>
      </c>
    </row>
    <row r="205" spans="1:2" x14ac:dyDescent="0.25">
      <c r="A205" s="15" t="s">
        <v>261</v>
      </c>
      <c r="B205" s="19">
        <v>43.233333333333334</v>
      </c>
    </row>
    <row r="206" spans="1:2" x14ac:dyDescent="0.25">
      <c r="A206" s="15" t="s">
        <v>183</v>
      </c>
      <c r="B206" s="19">
        <v>43.233333333333334</v>
      </c>
    </row>
    <row r="207" spans="1:2" x14ac:dyDescent="0.25">
      <c r="A207" s="15" t="s">
        <v>1249</v>
      </c>
      <c r="B207" s="19">
        <v>43.233333333333334</v>
      </c>
    </row>
    <row r="208" spans="1:2" x14ac:dyDescent="0.25">
      <c r="A208" s="15" t="s">
        <v>1250</v>
      </c>
      <c r="B208" s="19">
        <v>43.233333333333334</v>
      </c>
    </row>
    <row r="209" spans="1:2" x14ac:dyDescent="0.25">
      <c r="A209" s="15" t="s">
        <v>1321</v>
      </c>
      <c r="B209" s="19">
        <v>43.233333333333334</v>
      </c>
    </row>
    <row r="210" spans="1:2" x14ac:dyDescent="0.25">
      <c r="A210" s="15" t="s">
        <v>451</v>
      </c>
      <c r="B210" s="19">
        <v>43.2</v>
      </c>
    </row>
    <row r="211" spans="1:2" x14ac:dyDescent="0.25">
      <c r="A211" s="15" t="s">
        <v>1197</v>
      </c>
      <c r="B211" s="19">
        <v>43.2</v>
      </c>
    </row>
    <row r="212" spans="1:2" x14ac:dyDescent="0.25">
      <c r="A212" s="15" t="s">
        <v>318</v>
      </c>
      <c r="B212" s="19">
        <v>43.133333333333333</v>
      </c>
    </row>
    <row r="213" spans="1:2" x14ac:dyDescent="0.25">
      <c r="A213" s="15" t="s">
        <v>507</v>
      </c>
      <c r="B213" s="19">
        <v>43.133333333333333</v>
      </c>
    </row>
    <row r="214" spans="1:2" x14ac:dyDescent="0.25">
      <c r="A214" s="15" t="s">
        <v>1244</v>
      </c>
      <c r="B214" s="19">
        <v>43.1</v>
      </c>
    </row>
    <row r="215" spans="1:2" x14ac:dyDescent="0.25">
      <c r="A215" s="15" t="s">
        <v>1106</v>
      </c>
      <c r="B215" s="19">
        <v>43.06666666666667</v>
      </c>
    </row>
    <row r="216" spans="1:2" x14ac:dyDescent="0.25">
      <c r="A216" s="15" t="s">
        <v>213</v>
      </c>
      <c r="B216" s="19">
        <v>43.06666666666667</v>
      </c>
    </row>
    <row r="217" spans="1:2" x14ac:dyDescent="0.25">
      <c r="A217" s="15" t="s">
        <v>563</v>
      </c>
      <c r="B217" s="19">
        <v>43.06666666666667</v>
      </c>
    </row>
    <row r="218" spans="1:2" x14ac:dyDescent="0.25">
      <c r="A218" s="15" t="s">
        <v>204</v>
      </c>
      <c r="B218" s="19">
        <v>43.033333333333331</v>
      </c>
    </row>
    <row r="219" spans="1:2" x14ac:dyDescent="0.25">
      <c r="A219" s="15" t="s">
        <v>487</v>
      </c>
      <c r="B219" s="19">
        <v>43</v>
      </c>
    </row>
    <row r="220" spans="1:2" x14ac:dyDescent="0.25">
      <c r="A220" s="15" t="s">
        <v>239</v>
      </c>
      <c r="B220" s="19">
        <v>43</v>
      </c>
    </row>
    <row r="221" spans="1:2" x14ac:dyDescent="0.25">
      <c r="A221" s="15" t="s">
        <v>1166</v>
      </c>
      <c r="B221" s="19">
        <v>43</v>
      </c>
    </row>
    <row r="222" spans="1:2" x14ac:dyDescent="0.25">
      <c r="A222" s="15" t="s">
        <v>1266</v>
      </c>
      <c r="B222" s="19">
        <v>42.966666666666669</v>
      </c>
    </row>
    <row r="223" spans="1:2" x14ac:dyDescent="0.25">
      <c r="A223" s="15" t="s">
        <v>419</v>
      </c>
      <c r="B223" s="19">
        <v>42.93333333333333</v>
      </c>
    </row>
    <row r="224" spans="1:2" x14ac:dyDescent="0.25">
      <c r="A224" s="15" t="s">
        <v>304</v>
      </c>
      <c r="B224" s="19">
        <v>42.9</v>
      </c>
    </row>
    <row r="225" spans="1:2" x14ac:dyDescent="0.25">
      <c r="A225" s="15" t="s">
        <v>1157</v>
      </c>
      <c r="B225" s="19">
        <v>42.866666666666667</v>
      </c>
    </row>
    <row r="226" spans="1:2" x14ac:dyDescent="0.25">
      <c r="A226" s="15" t="s">
        <v>1315</v>
      </c>
      <c r="B226" s="19">
        <v>42.833333333333336</v>
      </c>
    </row>
    <row r="227" spans="1:2" x14ac:dyDescent="0.25">
      <c r="A227" s="15" t="s">
        <v>1305</v>
      </c>
      <c r="B227" s="19">
        <v>42.8</v>
      </c>
    </row>
    <row r="228" spans="1:2" x14ac:dyDescent="0.25">
      <c r="A228" s="15" t="s">
        <v>559</v>
      </c>
      <c r="B228" s="19">
        <v>42.766666666666666</v>
      </c>
    </row>
    <row r="229" spans="1:2" x14ac:dyDescent="0.25">
      <c r="A229" s="15" t="s">
        <v>1292</v>
      </c>
      <c r="B229" s="19">
        <v>42.733333333333334</v>
      </c>
    </row>
    <row r="230" spans="1:2" x14ac:dyDescent="0.25">
      <c r="A230" s="15" t="s">
        <v>1097</v>
      </c>
      <c r="B230" s="19">
        <v>42.733333333333334</v>
      </c>
    </row>
    <row r="231" spans="1:2" x14ac:dyDescent="0.25">
      <c r="A231" s="15" t="s">
        <v>1313</v>
      </c>
      <c r="B231" s="19">
        <v>42.733333333333334</v>
      </c>
    </row>
    <row r="232" spans="1:2" x14ac:dyDescent="0.25">
      <c r="A232" s="15" t="s">
        <v>1293</v>
      </c>
      <c r="B232" s="19">
        <v>42.7</v>
      </c>
    </row>
    <row r="233" spans="1:2" x14ac:dyDescent="0.25">
      <c r="A233" s="15" t="s">
        <v>1252</v>
      </c>
      <c r="B233" s="19">
        <v>42.6</v>
      </c>
    </row>
    <row r="234" spans="1:2" x14ac:dyDescent="0.25">
      <c r="A234" s="15" t="s">
        <v>329</v>
      </c>
      <c r="B234" s="19">
        <v>42.56666666666667</v>
      </c>
    </row>
    <row r="235" spans="1:2" x14ac:dyDescent="0.25">
      <c r="A235" s="15" t="s">
        <v>1151</v>
      </c>
      <c r="B235" s="19">
        <v>42.56666666666667</v>
      </c>
    </row>
    <row r="236" spans="1:2" x14ac:dyDescent="0.25">
      <c r="A236" s="15" t="s">
        <v>483</v>
      </c>
      <c r="B236" s="19">
        <v>42.533333333333331</v>
      </c>
    </row>
    <row r="237" spans="1:2" x14ac:dyDescent="0.25">
      <c r="A237" s="15" t="s">
        <v>1296</v>
      </c>
      <c r="B237" s="19">
        <v>42.466666666666669</v>
      </c>
    </row>
    <row r="238" spans="1:2" x14ac:dyDescent="0.25">
      <c r="A238" s="15" t="s">
        <v>1093</v>
      </c>
      <c r="B238" s="19">
        <v>42.43333333333333</v>
      </c>
    </row>
    <row r="239" spans="1:2" x14ac:dyDescent="0.25">
      <c r="A239" s="15" t="s">
        <v>1290</v>
      </c>
      <c r="B239" s="19">
        <v>42.43333333333333</v>
      </c>
    </row>
    <row r="240" spans="1:2" x14ac:dyDescent="0.25">
      <c r="A240" s="15" t="s">
        <v>1094</v>
      </c>
      <c r="B240" s="19">
        <v>42.333333333333336</v>
      </c>
    </row>
    <row r="241" spans="1:2" x14ac:dyDescent="0.25">
      <c r="A241" s="15" t="s">
        <v>1210</v>
      </c>
      <c r="B241" s="19">
        <v>42.333333333333336</v>
      </c>
    </row>
    <row r="242" spans="1:2" x14ac:dyDescent="0.25">
      <c r="A242" s="15" t="s">
        <v>1136</v>
      </c>
      <c r="B242" s="19">
        <v>42.3</v>
      </c>
    </row>
    <row r="243" spans="1:2" x14ac:dyDescent="0.25">
      <c r="A243" s="15" t="s">
        <v>166</v>
      </c>
      <c r="B243" s="19">
        <v>42.266666666666666</v>
      </c>
    </row>
    <row r="244" spans="1:2" x14ac:dyDescent="0.25">
      <c r="A244" s="15" t="s">
        <v>343</v>
      </c>
      <c r="B244" s="19">
        <v>42.266666666666666</v>
      </c>
    </row>
    <row r="245" spans="1:2" x14ac:dyDescent="0.25">
      <c r="A245" s="15" t="s">
        <v>428</v>
      </c>
      <c r="B245" s="19">
        <v>42.266666666666666</v>
      </c>
    </row>
    <row r="246" spans="1:2" x14ac:dyDescent="0.25">
      <c r="A246" s="15" t="s">
        <v>1140</v>
      </c>
      <c r="B246" s="19">
        <v>42.233333333333334</v>
      </c>
    </row>
    <row r="247" spans="1:2" x14ac:dyDescent="0.25">
      <c r="A247" s="15" t="s">
        <v>707</v>
      </c>
      <c r="B247" s="19">
        <v>42.233333333333334</v>
      </c>
    </row>
    <row r="248" spans="1:2" x14ac:dyDescent="0.25">
      <c r="A248" s="15" t="s">
        <v>627</v>
      </c>
      <c r="B248" s="19">
        <v>42.133333333333333</v>
      </c>
    </row>
    <row r="249" spans="1:2" x14ac:dyDescent="0.25">
      <c r="A249" s="15" t="s">
        <v>426</v>
      </c>
      <c r="B249" s="19">
        <v>42.133333333333333</v>
      </c>
    </row>
    <row r="250" spans="1:2" x14ac:dyDescent="0.25">
      <c r="A250" s="15" t="s">
        <v>751</v>
      </c>
      <c r="B250" s="19">
        <v>42.133333333333333</v>
      </c>
    </row>
    <row r="251" spans="1:2" x14ac:dyDescent="0.25">
      <c r="A251" s="15" t="s">
        <v>441</v>
      </c>
      <c r="B251" s="19">
        <v>42.06666666666667</v>
      </c>
    </row>
    <row r="252" spans="1:2" x14ac:dyDescent="0.25">
      <c r="A252" s="15" t="s">
        <v>733</v>
      </c>
      <c r="B252" s="19">
        <v>41.966666666666669</v>
      </c>
    </row>
    <row r="253" spans="1:2" x14ac:dyDescent="0.25">
      <c r="A253" s="15" t="s">
        <v>655</v>
      </c>
      <c r="B253" s="19">
        <v>41.93333333333333</v>
      </c>
    </row>
    <row r="254" spans="1:2" x14ac:dyDescent="0.25">
      <c r="A254" s="15" t="s">
        <v>585</v>
      </c>
      <c r="B254" s="19">
        <v>41.93333333333333</v>
      </c>
    </row>
    <row r="255" spans="1:2" x14ac:dyDescent="0.25">
      <c r="A255" s="15" t="s">
        <v>490</v>
      </c>
      <c r="B255" s="19">
        <v>41.9</v>
      </c>
    </row>
    <row r="256" spans="1:2" x14ac:dyDescent="0.25">
      <c r="A256" s="15" t="s">
        <v>1214</v>
      </c>
      <c r="B256" s="19">
        <v>41.866666666666667</v>
      </c>
    </row>
    <row r="257" spans="1:2" x14ac:dyDescent="0.25">
      <c r="A257" s="15" t="s">
        <v>158</v>
      </c>
      <c r="B257" s="19">
        <v>41.833333333333336</v>
      </c>
    </row>
    <row r="258" spans="1:2" x14ac:dyDescent="0.25">
      <c r="A258" s="15" t="s">
        <v>565</v>
      </c>
      <c r="B258" s="19">
        <v>41.8</v>
      </c>
    </row>
    <row r="259" spans="1:2" x14ac:dyDescent="0.25">
      <c r="A259" s="15" t="s">
        <v>709</v>
      </c>
      <c r="B259" s="19">
        <v>41.8</v>
      </c>
    </row>
    <row r="260" spans="1:2" x14ac:dyDescent="0.25">
      <c r="A260" s="15" t="s">
        <v>725</v>
      </c>
      <c r="B260" s="19">
        <v>41.766666666666666</v>
      </c>
    </row>
    <row r="261" spans="1:2" x14ac:dyDescent="0.25">
      <c r="A261" s="15" t="s">
        <v>678</v>
      </c>
      <c r="B261" s="19">
        <v>41.733333333333334</v>
      </c>
    </row>
    <row r="262" spans="1:2" x14ac:dyDescent="0.25">
      <c r="A262" s="15" t="s">
        <v>1161</v>
      </c>
      <c r="B262" s="19">
        <v>41.7</v>
      </c>
    </row>
    <row r="263" spans="1:2" x14ac:dyDescent="0.25">
      <c r="A263" s="15" t="s">
        <v>1146</v>
      </c>
      <c r="B263" s="19">
        <v>41.7</v>
      </c>
    </row>
    <row r="264" spans="1:2" x14ac:dyDescent="0.25">
      <c r="A264" s="15" t="s">
        <v>680</v>
      </c>
      <c r="B264" s="19">
        <v>41.666666666666664</v>
      </c>
    </row>
    <row r="265" spans="1:2" x14ac:dyDescent="0.25">
      <c r="A265" s="15" t="s">
        <v>1181</v>
      </c>
      <c r="B265" s="19">
        <v>41.666666666666664</v>
      </c>
    </row>
    <row r="266" spans="1:2" x14ac:dyDescent="0.25">
      <c r="A266" s="15" t="s">
        <v>1176</v>
      </c>
      <c r="B266" s="19">
        <v>41.666666666666664</v>
      </c>
    </row>
    <row r="267" spans="1:2" x14ac:dyDescent="0.25">
      <c r="A267" s="15" t="s">
        <v>1168</v>
      </c>
      <c r="B267" s="19">
        <v>41.633333333333333</v>
      </c>
    </row>
    <row r="268" spans="1:2" x14ac:dyDescent="0.25">
      <c r="A268" s="15" t="s">
        <v>272</v>
      </c>
      <c r="B268" s="19">
        <v>41.6</v>
      </c>
    </row>
    <row r="269" spans="1:2" x14ac:dyDescent="0.25">
      <c r="A269" s="15" t="s">
        <v>1240</v>
      </c>
      <c r="B269" s="19">
        <v>41.6</v>
      </c>
    </row>
    <row r="270" spans="1:2" x14ac:dyDescent="0.25">
      <c r="A270" s="15" t="s">
        <v>1211</v>
      </c>
      <c r="B270" s="19">
        <v>41.6</v>
      </c>
    </row>
    <row r="271" spans="1:2" x14ac:dyDescent="0.25">
      <c r="A271" s="15" t="s">
        <v>711</v>
      </c>
      <c r="B271" s="19">
        <v>41.5</v>
      </c>
    </row>
    <row r="272" spans="1:2" x14ac:dyDescent="0.25">
      <c r="A272" s="15" t="s">
        <v>1125</v>
      </c>
      <c r="B272" s="19">
        <v>41.5</v>
      </c>
    </row>
    <row r="273" spans="1:2" x14ac:dyDescent="0.25">
      <c r="A273" s="15" t="s">
        <v>1199</v>
      </c>
      <c r="B273" s="19">
        <v>41.43333333333333</v>
      </c>
    </row>
    <row r="274" spans="1:2" x14ac:dyDescent="0.25">
      <c r="A274" s="15" t="s">
        <v>1213</v>
      </c>
      <c r="B274" s="19">
        <v>41.43333333333333</v>
      </c>
    </row>
    <row r="275" spans="1:2" x14ac:dyDescent="0.25">
      <c r="A275" s="15" t="s">
        <v>1299</v>
      </c>
      <c r="B275" s="19">
        <v>41.4</v>
      </c>
    </row>
    <row r="276" spans="1:2" x14ac:dyDescent="0.25">
      <c r="A276" s="15" t="s">
        <v>398</v>
      </c>
      <c r="B276" s="19">
        <v>41.366666666666667</v>
      </c>
    </row>
    <row r="277" spans="1:2" x14ac:dyDescent="0.25">
      <c r="A277" s="15" t="s">
        <v>494</v>
      </c>
      <c r="B277" s="19">
        <v>41.3</v>
      </c>
    </row>
    <row r="278" spans="1:2" x14ac:dyDescent="0.25">
      <c r="A278" s="15" t="s">
        <v>1251</v>
      </c>
      <c r="B278" s="19">
        <v>41.266666666666666</v>
      </c>
    </row>
    <row r="279" spans="1:2" x14ac:dyDescent="0.25">
      <c r="A279" s="15" t="s">
        <v>147</v>
      </c>
      <c r="B279" s="19">
        <v>41.233333333333334</v>
      </c>
    </row>
    <row r="280" spans="1:2" x14ac:dyDescent="0.25">
      <c r="A280" s="15" t="s">
        <v>1133</v>
      </c>
      <c r="B280" s="19">
        <v>41.233333333333334</v>
      </c>
    </row>
    <row r="281" spans="1:2" x14ac:dyDescent="0.25">
      <c r="A281" s="15" t="s">
        <v>1218</v>
      </c>
      <c r="B281" s="19">
        <v>41.233333333333334</v>
      </c>
    </row>
    <row r="282" spans="1:2" x14ac:dyDescent="0.25">
      <c r="A282" s="15" t="s">
        <v>742</v>
      </c>
      <c r="B282" s="19">
        <v>41.2</v>
      </c>
    </row>
    <row r="283" spans="1:2" x14ac:dyDescent="0.25">
      <c r="A283" s="15" t="s">
        <v>1287</v>
      </c>
      <c r="B283" s="19">
        <v>41.166666666666664</v>
      </c>
    </row>
    <row r="284" spans="1:2" x14ac:dyDescent="0.25">
      <c r="A284" s="15" t="s">
        <v>1271</v>
      </c>
      <c r="B284" s="19">
        <v>41.133333333333333</v>
      </c>
    </row>
    <row r="285" spans="1:2" x14ac:dyDescent="0.25">
      <c r="A285" s="15" t="s">
        <v>352</v>
      </c>
      <c r="B285" s="19">
        <v>41.1</v>
      </c>
    </row>
    <row r="286" spans="1:2" x14ac:dyDescent="0.25">
      <c r="A286" s="15" t="s">
        <v>522</v>
      </c>
      <c r="B286" s="19">
        <v>41.1</v>
      </c>
    </row>
    <row r="287" spans="1:2" x14ac:dyDescent="0.25">
      <c r="A287" s="15" t="s">
        <v>1231</v>
      </c>
      <c r="B287" s="19">
        <v>40.966666666666669</v>
      </c>
    </row>
    <row r="288" spans="1:2" x14ac:dyDescent="0.25">
      <c r="A288" s="15" t="s">
        <v>1220</v>
      </c>
      <c r="B288" s="19">
        <v>40.9</v>
      </c>
    </row>
    <row r="289" spans="1:2" x14ac:dyDescent="0.25">
      <c r="A289" s="15" t="s">
        <v>1174</v>
      </c>
      <c r="B289" s="19">
        <v>40.9</v>
      </c>
    </row>
    <row r="290" spans="1:2" x14ac:dyDescent="0.25">
      <c r="A290" s="15" t="s">
        <v>1102</v>
      </c>
      <c r="B290" s="19">
        <v>40.866666666666667</v>
      </c>
    </row>
    <row r="291" spans="1:2" x14ac:dyDescent="0.25">
      <c r="A291" s="15" t="s">
        <v>1182</v>
      </c>
      <c r="B291" s="19">
        <v>40.866666666666667</v>
      </c>
    </row>
    <row r="292" spans="1:2" x14ac:dyDescent="0.25">
      <c r="A292" s="15" t="s">
        <v>1245</v>
      </c>
      <c r="B292" s="19">
        <v>40.833333333333336</v>
      </c>
    </row>
    <row r="293" spans="1:2" x14ac:dyDescent="0.25">
      <c r="A293" s="15" t="s">
        <v>699</v>
      </c>
      <c r="B293" s="19">
        <v>40.833333333333336</v>
      </c>
    </row>
    <row r="294" spans="1:2" x14ac:dyDescent="0.25">
      <c r="A294" s="15" t="s">
        <v>1147</v>
      </c>
      <c r="B294" s="19">
        <v>40.799999999999997</v>
      </c>
    </row>
    <row r="295" spans="1:2" x14ac:dyDescent="0.25">
      <c r="A295" s="15" t="s">
        <v>642</v>
      </c>
      <c r="B295" s="19">
        <v>40.799999999999997</v>
      </c>
    </row>
    <row r="296" spans="1:2" x14ac:dyDescent="0.25">
      <c r="A296" s="15" t="s">
        <v>1318</v>
      </c>
      <c r="B296" s="19">
        <v>40.733333333333334</v>
      </c>
    </row>
    <row r="297" spans="1:2" x14ac:dyDescent="0.25">
      <c r="A297" s="15" t="s">
        <v>1189</v>
      </c>
      <c r="B297" s="19">
        <v>40.733333333333334</v>
      </c>
    </row>
    <row r="298" spans="1:2" x14ac:dyDescent="0.25">
      <c r="A298" s="15" t="s">
        <v>1312</v>
      </c>
      <c r="B298" s="19">
        <v>40.700000000000003</v>
      </c>
    </row>
    <row r="299" spans="1:2" x14ac:dyDescent="0.25">
      <c r="A299" s="15" t="s">
        <v>1309</v>
      </c>
      <c r="B299" s="19">
        <v>40.700000000000003</v>
      </c>
    </row>
    <row r="300" spans="1:2" x14ac:dyDescent="0.25">
      <c r="A300" s="15" t="s">
        <v>1259</v>
      </c>
      <c r="B300" s="19">
        <v>40.700000000000003</v>
      </c>
    </row>
    <row r="301" spans="1:2" x14ac:dyDescent="0.25">
      <c r="A301" s="15" t="s">
        <v>1298</v>
      </c>
      <c r="B301" s="19">
        <v>40.633333333333333</v>
      </c>
    </row>
    <row r="302" spans="1:2" x14ac:dyDescent="0.25">
      <c r="A302" s="15" t="s">
        <v>573</v>
      </c>
      <c r="B302" s="19">
        <v>40.6</v>
      </c>
    </row>
    <row r="303" spans="1:2" x14ac:dyDescent="0.25">
      <c r="A303" s="15" t="s">
        <v>1149</v>
      </c>
      <c r="B303" s="19">
        <v>40.533333333333331</v>
      </c>
    </row>
    <row r="304" spans="1:2" x14ac:dyDescent="0.25">
      <c r="A304" s="15" t="s">
        <v>1229</v>
      </c>
      <c r="B304" s="19">
        <v>40.5</v>
      </c>
    </row>
    <row r="305" spans="1:2" x14ac:dyDescent="0.25">
      <c r="A305" s="15" t="s">
        <v>1216</v>
      </c>
      <c r="B305" s="19">
        <v>40.5</v>
      </c>
    </row>
    <row r="306" spans="1:2" x14ac:dyDescent="0.25">
      <c r="A306" s="15" t="s">
        <v>1114</v>
      </c>
      <c r="B306" s="19">
        <v>40.43333333333333</v>
      </c>
    </row>
    <row r="307" spans="1:2" x14ac:dyDescent="0.25">
      <c r="A307" s="15" t="s">
        <v>1179</v>
      </c>
      <c r="B307" s="19">
        <v>40.299999999999997</v>
      </c>
    </row>
    <row r="308" spans="1:2" x14ac:dyDescent="0.25">
      <c r="A308" s="15" t="s">
        <v>221</v>
      </c>
      <c r="B308" s="19">
        <v>40.233333333333334</v>
      </c>
    </row>
    <row r="309" spans="1:2" x14ac:dyDescent="0.25">
      <c r="A309" s="15" t="s">
        <v>1143</v>
      </c>
      <c r="B309" s="19">
        <v>40.166666666666664</v>
      </c>
    </row>
    <row r="310" spans="1:2" x14ac:dyDescent="0.25">
      <c r="A310" s="15" t="s">
        <v>1317</v>
      </c>
      <c r="B310" s="19">
        <v>40.166666666666664</v>
      </c>
    </row>
    <row r="311" spans="1:2" x14ac:dyDescent="0.25">
      <c r="A311" s="15" t="s">
        <v>1139</v>
      </c>
      <c r="B311" s="19">
        <v>40.166666666666664</v>
      </c>
    </row>
    <row r="312" spans="1:2" x14ac:dyDescent="0.25">
      <c r="A312" s="15" t="s">
        <v>1223</v>
      </c>
      <c r="B312" s="19">
        <v>40.033333333333331</v>
      </c>
    </row>
    <row r="313" spans="1:2" x14ac:dyDescent="0.25">
      <c r="A313" s="15" t="s">
        <v>170</v>
      </c>
      <c r="B313" s="19">
        <v>40.033333333333331</v>
      </c>
    </row>
    <row r="314" spans="1:2" x14ac:dyDescent="0.25">
      <c r="A314" s="15" t="s">
        <v>1194</v>
      </c>
      <c r="B314" s="19">
        <v>40</v>
      </c>
    </row>
    <row r="315" spans="1:2" x14ac:dyDescent="0.25">
      <c r="A315" s="15" t="s">
        <v>1242</v>
      </c>
      <c r="B315" s="19">
        <v>40</v>
      </c>
    </row>
    <row r="316" spans="1:2" x14ac:dyDescent="0.25">
      <c r="A316" s="15" t="s">
        <v>1103</v>
      </c>
      <c r="B316" s="19">
        <v>40</v>
      </c>
    </row>
    <row r="317" spans="1:2" x14ac:dyDescent="0.25">
      <c r="A317" s="15" t="s">
        <v>631</v>
      </c>
      <c r="B317" s="19">
        <v>39.966666666666669</v>
      </c>
    </row>
    <row r="318" spans="1:2" x14ac:dyDescent="0.25">
      <c r="A318" s="15" t="s">
        <v>1285</v>
      </c>
      <c r="B318" s="19">
        <v>39.966666666666669</v>
      </c>
    </row>
    <row r="319" spans="1:2" x14ac:dyDescent="0.25">
      <c r="A319" s="15" t="s">
        <v>1232</v>
      </c>
      <c r="B319" s="19">
        <v>39.966666666666669</v>
      </c>
    </row>
    <row r="320" spans="1:2" x14ac:dyDescent="0.25">
      <c r="A320" s="15" t="s">
        <v>1150</v>
      </c>
      <c r="B320" s="19">
        <v>39.93333333333333</v>
      </c>
    </row>
    <row r="321" spans="1:2" x14ac:dyDescent="0.25">
      <c r="A321" s="15" t="s">
        <v>288</v>
      </c>
      <c r="B321" s="19">
        <v>39.866666666666667</v>
      </c>
    </row>
    <row r="322" spans="1:2" x14ac:dyDescent="0.25">
      <c r="A322" s="15" t="s">
        <v>1217</v>
      </c>
      <c r="B322" s="19">
        <v>39.833333333333336</v>
      </c>
    </row>
    <row r="323" spans="1:2" x14ac:dyDescent="0.25">
      <c r="A323" s="15" t="s">
        <v>341</v>
      </c>
      <c r="B323" s="19">
        <v>39.799999999999997</v>
      </c>
    </row>
    <row r="324" spans="1:2" x14ac:dyDescent="0.25">
      <c r="A324" s="15" t="s">
        <v>1204</v>
      </c>
      <c r="B324" s="19">
        <v>39.799999999999997</v>
      </c>
    </row>
    <row r="325" spans="1:2" x14ac:dyDescent="0.25">
      <c r="A325" s="15" t="s">
        <v>1254</v>
      </c>
      <c r="B325" s="19">
        <v>39.766666666666666</v>
      </c>
    </row>
    <row r="326" spans="1:2" x14ac:dyDescent="0.25">
      <c r="A326" s="15" t="s">
        <v>589</v>
      </c>
      <c r="B326" s="19">
        <v>39.766666666666666</v>
      </c>
    </row>
    <row r="327" spans="1:2" x14ac:dyDescent="0.25">
      <c r="A327" s="15" t="s">
        <v>1165</v>
      </c>
      <c r="B327" s="19">
        <v>39.766666666666666</v>
      </c>
    </row>
    <row r="328" spans="1:2" x14ac:dyDescent="0.25">
      <c r="A328" s="15" t="s">
        <v>501</v>
      </c>
      <c r="B328" s="19">
        <v>39.766666666666666</v>
      </c>
    </row>
    <row r="329" spans="1:2" x14ac:dyDescent="0.25">
      <c r="A329" s="15" t="s">
        <v>1118</v>
      </c>
      <c r="B329" s="19">
        <v>39.766666666666666</v>
      </c>
    </row>
    <row r="330" spans="1:2" x14ac:dyDescent="0.25">
      <c r="A330" s="15" t="s">
        <v>553</v>
      </c>
      <c r="B330" s="19">
        <v>39.633333333333333</v>
      </c>
    </row>
    <row r="331" spans="1:2" x14ac:dyDescent="0.25">
      <c r="A331" s="15" t="s">
        <v>1132</v>
      </c>
      <c r="B331" s="19">
        <v>39.6</v>
      </c>
    </row>
    <row r="332" spans="1:2" x14ac:dyDescent="0.25">
      <c r="A332" s="15" t="s">
        <v>1316</v>
      </c>
      <c r="B332" s="19">
        <v>39.6</v>
      </c>
    </row>
    <row r="333" spans="1:2" x14ac:dyDescent="0.25">
      <c r="A333" s="15" t="s">
        <v>730</v>
      </c>
      <c r="B333" s="19">
        <v>39.56666666666667</v>
      </c>
    </row>
    <row r="334" spans="1:2" x14ac:dyDescent="0.25">
      <c r="A334" s="15" t="s">
        <v>1322</v>
      </c>
      <c r="B334" s="19">
        <v>39.533333333333331</v>
      </c>
    </row>
    <row r="335" spans="1:2" x14ac:dyDescent="0.25">
      <c r="A335" s="15" t="s">
        <v>1307</v>
      </c>
      <c r="B335" s="19">
        <v>39.5</v>
      </c>
    </row>
    <row r="336" spans="1:2" x14ac:dyDescent="0.25">
      <c r="A336" s="15" t="s">
        <v>219</v>
      </c>
      <c r="B336" s="19">
        <v>39.5</v>
      </c>
    </row>
    <row r="337" spans="1:2" x14ac:dyDescent="0.25">
      <c r="A337" s="15" t="s">
        <v>1145</v>
      </c>
      <c r="B337" s="19">
        <v>39.299999999999997</v>
      </c>
    </row>
    <row r="338" spans="1:2" x14ac:dyDescent="0.25">
      <c r="A338" s="15" t="s">
        <v>661</v>
      </c>
      <c r="B338" s="19">
        <v>39.299999999999997</v>
      </c>
    </row>
    <row r="339" spans="1:2" x14ac:dyDescent="0.25">
      <c r="A339" s="15" t="s">
        <v>497</v>
      </c>
      <c r="B339" s="19">
        <v>39.266666666666666</v>
      </c>
    </row>
    <row r="340" spans="1:2" x14ac:dyDescent="0.25">
      <c r="A340" s="15" t="s">
        <v>1095</v>
      </c>
      <c r="B340" s="19">
        <v>39.266666666666666</v>
      </c>
    </row>
    <row r="341" spans="1:2" x14ac:dyDescent="0.25">
      <c r="A341" s="15" t="s">
        <v>256</v>
      </c>
      <c r="B341" s="19">
        <v>39.233333333333334</v>
      </c>
    </row>
    <row r="342" spans="1:2" x14ac:dyDescent="0.25">
      <c r="A342" s="15" t="s">
        <v>1126</v>
      </c>
      <c r="B342" s="19">
        <v>39.200000000000003</v>
      </c>
    </row>
    <row r="343" spans="1:2" x14ac:dyDescent="0.25">
      <c r="A343" s="15" t="s">
        <v>286</v>
      </c>
      <c r="B343" s="19">
        <v>39.1</v>
      </c>
    </row>
    <row r="344" spans="1:2" x14ac:dyDescent="0.25">
      <c r="A344" s="15" t="s">
        <v>1256</v>
      </c>
      <c r="B344" s="19">
        <v>39.06666666666667</v>
      </c>
    </row>
    <row r="345" spans="1:2" x14ac:dyDescent="0.25">
      <c r="A345" s="15" t="s">
        <v>1208</v>
      </c>
      <c r="B345" s="19">
        <v>39.06666666666667</v>
      </c>
    </row>
    <row r="346" spans="1:2" x14ac:dyDescent="0.25">
      <c r="A346" s="15" t="s">
        <v>413</v>
      </c>
      <c r="B346" s="19">
        <v>39.06666666666667</v>
      </c>
    </row>
    <row r="347" spans="1:2" x14ac:dyDescent="0.25">
      <c r="A347" s="15" t="s">
        <v>1123</v>
      </c>
      <c r="B347" s="19">
        <v>39</v>
      </c>
    </row>
    <row r="348" spans="1:2" x14ac:dyDescent="0.25">
      <c r="A348" s="15" t="s">
        <v>1277</v>
      </c>
      <c r="B348" s="19">
        <v>38.833333333333336</v>
      </c>
    </row>
    <row r="349" spans="1:2" x14ac:dyDescent="0.25">
      <c r="A349" s="15" t="s">
        <v>1191</v>
      </c>
      <c r="B349" s="19">
        <v>38.833333333333336</v>
      </c>
    </row>
    <row r="350" spans="1:2" x14ac:dyDescent="0.25">
      <c r="A350" s="15" t="s">
        <v>704</v>
      </c>
      <c r="B350" s="19">
        <v>38.833333333333336</v>
      </c>
    </row>
    <row r="351" spans="1:2" x14ac:dyDescent="0.25">
      <c r="A351" s="15" t="s">
        <v>172</v>
      </c>
      <c r="B351" s="19">
        <v>38.799999999999997</v>
      </c>
    </row>
    <row r="352" spans="1:2" x14ac:dyDescent="0.25">
      <c r="A352" s="15" t="s">
        <v>327</v>
      </c>
      <c r="B352" s="19">
        <v>38.799999999999997</v>
      </c>
    </row>
    <row r="353" spans="1:2" x14ac:dyDescent="0.25">
      <c r="A353" s="15" t="s">
        <v>302</v>
      </c>
      <c r="B353" s="19">
        <v>38.799999999999997</v>
      </c>
    </row>
    <row r="354" spans="1:2" x14ac:dyDescent="0.25">
      <c r="A354" s="15" t="s">
        <v>1282</v>
      </c>
      <c r="B354" s="19">
        <v>38.799999999999997</v>
      </c>
    </row>
    <row r="355" spans="1:2" x14ac:dyDescent="0.25">
      <c r="A355" s="15" t="s">
        <v>1163</v>
      </c>
      <c r="B355" s="19">
        <v>38.799999999999997</v>
      </c>
    </row>
    <row r="356" spans="1:2" x14ac:dyDescent="0.25">
      <c r="A356" s="15" t="s">
        <v>633</v>
      </c>
      <c r="B356" s="19">
        <v>38.766666666666666</v>
      </c>
    </row>
    <row r="357" spans="1:2" x14ac:dyDescent="0.25">
      <c r="A357" s="15" t="s">
        <v>1170</v>
      </c>
      <c r="B357" s="19">
        <v>38.766666666666666</v>
      </c>
    </row>
    <row r="358" spans="1:2" x14ac:dyDescent="0.25">
      <c r="A358" s="15" t="s">
        <v>1113</v>
      </c>
      <c r="B358" s="19">
        <v>38.766666666666666</v>
      </c>
    </row>
    <row r="359" spans="1:2" x14ac:dyDescent="0.25">
      <c r="A359" s="15" t="s">
        <v>1187</v>
      </c>
      <c r="B359" s="19">
        <v>38.766666666666666</v>
      </c>
    </row>
    <row r="360" spans="1:2" x14ac:dyDescent="0.25">
      <c r="A360" s="15" t="s">
        <v>1101</v>
      </c>
      <c r="B360" s="19">
        <v>38.733333333333334</v>
      </c>
    </row>
    <row r="361" spans="1:2" x14ac:dyDescent="0.25">
      <c r="A361" s="15" t="s">
        <v>1172</v>
      </c>
      <c r="B361" s="19">
        <v>38.733333333333334</v>
      </c>
    </row>
    <row r="362" spans="1:2" x14ac:dyDescent="0.25">
      <c r="A362" s="15" t="s">
        <v>462</v>
      </c>
      <c r="B362" s="19">
        <v>38.700000000000003</v>
      </c>
    </row>
    <row r="363" spans="1:2" x14ac:dyDescent="0.25">
      <c r="A363" s="15" t="s">
        <v>596</v>
      </c>
      <c r="B363" s="19">
        <v>38.666666666666664</v>
      </c>
    </row>
    <row r="364" spans="1:2" x14ac:dyDescent="0.25">
      <c r="A364" s="15" t="s">
        <v>1237</v>
      </c>
      <c r="B364" s="19">
        <v>38.6</v>
      </c>
    </row>
    <row r="365" spans="1:2" x14ac:dyDescent="0.25">
      <c r="A365" s="15" t="s">
        <v>1142</v>
      </c>
      <c r="B365" s="19">
        <v>38.56666666666667</v>
      </c>
    </row>
    <row r="366" spans="1:2" x14ac:dyDescent="0.25">
      <c r="A366" s="15" t="s">
        <v>276</v>
      </c>
      <c r="B366" s="19">
        <v>38.56666666666667</v>
      </c>
    </row>
    <row r="367" spans="1:2" x14ac:dyDescent="0.25">
      <c r="A367" s="15" t="s">
        <v>1205</v>
      </c>
      <c r="B367" s="19">
        <v>38.466666666666669</v>
      </c>
    </row>
    <row r="368" spans="1:2" x14ac:dyDescent="0.25">
      <c r="A368" s="15" t="s">
        <v>1248</v>
      </c>
      <c r="B368" s="19">
        <v>38.43333333333333</v>
      </c>
    </row>
    <row r="369" spans="1:2" x14ac:dyDescent="0.25">
      <c r="A369" s="15" t="s">
        <v>753</v>
      </c>
      <c r="B369" s="19">
        <v>38.43333333333333</v>
      </c>
    </row>
    <row r="370" spans="1:2" x14ac:dyDescent="0.25">
      <c r="A370" s="15" t="s">
        <v>591</v>
      </c>
      <c r="B370" s="19">
        <v>38.43333333333333</v>
      </c>
    </row>
    <row r="371" spans="1:2" x14ac:dyDescent="0.25">
      <c r="A371" s="15" t="s">
        <v>312</v>
      </c>
      <c r="B371" s="19">
        <v>38.43333333333333</v>
      </c>
    </row>
    <row r="372" spans="1:2" x14ac:dyDescent="0.25">
      <c r="A372" s="15" t="s">
        <v>1225</v>
      </c>
      <c r="B372" s="19">
        <v>38.4</v>
      </c>
    </row>
    <row r="373" spans="1:2" x14ac:dyDescent="0.25">
      <c r="A373" s="15" t="s">
        <v>265</v>
      </c>
      <c r="B373" s="19">
        <v>38.366666666666667</v>
      </c>
    </row>
    <row r="374" spans="1:2" x14ac:dyDescent="0.25">
      <c r="A374" s="15" t="s">
        <v>1198</v>
      </c>
      <c r="B374" s="19">
        <v>38.366666666666667</v>
      </c>
    </row>
    <row r="375" spans="1:2" x14ac:dyDescent="0.25">
      <c r="A375" s="15" t="s">
        <v>279</v>
      </c>
      <c r="B375" s="19">
        <v>38.366666666666667</v>
      </c>
    </row>
    <row r="376" spans="1:2" x14ac:dyDescent="0.25">
      <c r="A376" s="15" t="s">
        <v>587</v>
      </c>
      <c r="B376" s="19">
        <v>38.366666666666667</v>
      </c>
    </row>
    <row r="377" spans="1:2" x14ac:dyDescent="0.25">
      <c r="A377" s="15" t="s">
        <v>215</v>
      </c>
      <c r="B377" s="19">
        <v>38.333333333333336</v>
      </c>
    </row>
    <row r="378" spans="1:2" x14ac:dyDescent="0.25">
      <c r="A378" s="15" t="s">
        <v>622</v>
      </c>
      <c r="B378" s="19">
        <v>38.299999999999997</v>
      </c>
    </row>
    <row r="379" spans="1:2" x14ac:dyDescent="0.25">
      <c r="A379" s="15" t="s">
        <v>1306</v>
      </c>
      <c r="B379" s="19">
        <v>38.266666666666666</v>
      </c>
    </row>
    <row r="380" spans="1:2" x14ac:dyDescent="0.25">
      <c r="A380" s="15" t="s">
        <v>349</v>
      </c>
      <c r="B380" s="19">
        <v>38.266666666666666</v>
      </c>
    </row>
    <row r="381" spans="1:2" x14ac:dyDescent="0.25">
      <c r="A381" s="15" t="s">
        <v>185</v>
      </c>
      <c r="B381" s="19">
        <v>38.200000000000003</v>
      </c>
    </row>
    <row r="382" spans="1:2" x14ac:dyDescent="0.25">
      <c r="A382" s="15" t="s">
        <v>576</v>
      </c>
      <c r="B382" s="19">
        <v>38.166666666666664</v>
      </c>
    </row>
    <row r="383" spans="1:2" x14ac:dyDescent="0.25">
      <c r="A383" s="15" t="s">
        <v>530</v>
      </c>
      <c r="B383" s="19">
        <v>38.166666666666664</v>
      </c>
    </row>
    <row r="384" spans="1:2" x14ac:dyDescent="0.25">
      <c r="A384" s="15" t="s">
        <v>1188</v>
      </c>
      <c r="B384" s="19">
        <v>38.133333333333333</v>
      </c>
    </row>
    <row r="385" spans="1:2" x14ac:dyDescent="0.25">
      <c r="A385" s="15" t="s">
        <v>347</v>
      </c>
      <c r="B385" s="19">
        <v>38.133333333333333</v>
      </c>
    </row>
    <row r="386" spans="1:2" x14ac:dyDescent="0.25">
      <c r="A386" s="15" t="s">
        <v>1262</v>
      </c>
      <c r="B386" s="19">
        <v>38.1</v>
      </c>
    </row>
    <row r="387" spans="1:2" x14ac:dyDescent="0.25">
      <c r="A387" s="15" t="s">
        <v>1267</v>
      </c>
      <c r="B387" s="19">
        <v>38.033333333333331</v>
      </c>
    </row>
    <row r="388" spans="1:2" x14ac:dyDescent="0.25">
      <c r="A388" s="15" t="s">
        <v>400</v>
      </c>
      <c r="B388" s="19">
        <v>37.966666666666669</v>
      </c>
    </row>
    <row r="389" spans="1:2" x14ac:dyDescent="0.25">
      <c r="A389" s="15" t="s">
        <v>721</v>
      </c>
      <c r="B389" s="19">
        <v>37.966666666666669</v>
      </c>
    </row>
    <row r="390" spans="1:2" x14ac:dyDescent="0.25">
      <c r="A390" s="15" t="s">
        <v>1196</v>
      </c>
      <c r="B390" s="19">
        <v>37.966666666666669</v>
      </c>
    </row>
    <row r="391" spans="1:2" x14ac:dyDescent="0.25">
      <c r="A391" s="15" t="s">
        <v>1129</v>
      </c>
      <c r="B391" s="19">
        <v>37.93333333333333</v>
      </c>
    </row>
    <row r="392" spans="1:2" x14ac:dyDescent="0.25">
      <c r="A392" s="15" t="s">
        <v>615</v>
      </c>
      <c r="B392" s="19">
        <v>37.93333333333333</v>
      </c>
    </row>
    <row r="393" spans="1:2" x14ac:dyDescent="0.25">
      <c r="A393" s="15" t="s">
        <v>593</v>
      </c>
      <c r="B393" s="19">
        <v>37.9</v>
      </c>
    </row>
    <row r="394" spans="1:2" x14ac:dyDescent="0.25">
      <c r="A394" s="15" t="s">
        <v>1294</v>
      </c>
      <c r="B394" s="19">
        <v>37.9</v>
      </c>
    </row>
    <row r="395" spans="1:2" x14ac:dyDescent="0.25">
      <c r="A395" s="15" t="s">
        <v>1301</v>
      </c>
      <c r="B395" s="19">
        <v>37.799999999999997</v>
      </c>
    </row>
    <row r="396" spans="1:2" x14ac:dyDescent="0.25">
      <c r="A396" s="15" t="s">
        <v>520</v>
      </c>
      <c r="B396" s="19">
        <v>37.799999999999997</v>
      </c>
    </row>
    <row r="397" spans="1:2" x14ac:dyDescent="0.25">
      <c r="A397" s="15" t="s">
        <v>499</v>
      </c>
      <c r="B397" s="19">
        <v>37.799999999999997</v>
      </c>
    </row>
    <row r="398" spans="1:2" x14ac:dyDescent="0.25">
      <c r="A398" s="15" t="s">
        <v>1283</v>
      </c>
      <c r="B398" s="19">
        <v>37.799999999999997</v>
      </c>
    </row>
    <row r="399" spans="1:2" x14ac:dyDescent="0.25">
      <c r="A399" s="15" t="s">
        <v>387</v>
      </c>
      <c r="B399" s="19">
        <v>37.799999999999997</v>
      </c>
    </row>
    <row r="400" spans="1:2" x14ac:dyDescent="0.25">
      <c r="A400" s="15" t="s">
        <v>1154</v>
      </c>
      <c r="B400" s="19">
        <v>37.700000000000003</v>
      </c>
    </row>
    <row r="401" spans="1:2" x14ac:dyDescent="0.25">
      <c r="A401" s="15" t="s">
        <v>602</v>
      </c>
      <c r="B401" s="19">
        <v>37.700000000000003</v>
      </c>
    </row>
    <row r="402" spans="1:2" x14ac:dyDescent="0.25">
      <c r="A402" s="15" t="s">
        <v>556</v>
      </c>
      <c r="B402" s="19">
        <v>37.666666666666664</v>
      </c>
    </row>
    <row r="403" spans="1:2" x14ac:dyDescent="0.25">
      <c r="A403" s="15" t="s">
        <v>293</v>
      </c>
      <c r="B403" s="19">
        <v>37.6</v>
      </c>
    </row>
    <row r="404" spans="1:2" x14ac:dyDescent="0.25">
      <c r="A404" s="15" t="s">
        <v>727</v>
      </c>
      <c r="B404" s="19">
        <v>37.6</v>
      </c>
    </row>
    <row r="405" spans="1:2" x14ac:dyDescent="0.25">
      <c r="A405" s="15" t="s">
        <v>1105</v>
      </c>
      <c r="B405" s="19">
        <v>37.56666666666667</v>
      </c>
    </row>
    <row r="406" spans="1:2" x14ac:dyDescent="0.25">
      <c r="A406" s="15" t="s">
        <v>237</v>
      </c>
      <c r="B406" s="19">
        <v>37.56666666666667</v>
      </c>
    </row>
    <row r="407" spans="1:2" x14ac:dyDescent="0.25">
      <c r="A407" s="15" t="s">
        <v>1221</v>
      </c>
      <c r="B407" s="19">
        <v>37.5</v>
      </c>
    </row>
    <row r="408" spans="1:2" x14ac:dyDescent="0.25">
      <c r="A408" s="15" t="s">
        <v>653</v>
      </c>
      <c r="B408" s="19">
        <v>37.466666666666669</v>
      </c>
    </row>
    <row r="409" spans="1:2" x14ac:dyDescent="0.25">
      <c r="A409" s="15" t="s">
        <v>1273</v>
      </c>
      <c r="B409" s="19">
        <v>37.466666666666669</v>
      </c>
    </row>
    <row r="410" spans="1:2" x14ac:dyDescent="0.25">
      <c r="A410" s="15" t="s">
        <v>1280</v>
      </c>
      <c r="B410" s="19">
        <v>37.4</v>
      </c>
    </row>
    <row r="411" spans="1:2" x14ac:dyDescent="0.25">
      <c r="A411" s="15" t="s">
        <v>375</v>
      </c>
      <c r="B411" s="19">
        <v>37.366666666666667</v>
      </c>
    </row>
    <row r="412" spans="1:2" x14ac:dyDescent="0.25">
      <c r="A412" s="15" t="s">
        <v>479</v>
      </c>
      <c r="B412" s="19">
        <v>37.333333333333336</v>
      </c>
    </row>
    <row r="413" spans="1:2" x14ac:dyDescent="0.25">
      <c r="A413" s="15" t="s">
        <v>1119</v>
      </c>
      <c r="B413" s="19">
        <v>37.333333333333336</v>
      </c>
    </row>
    <row r="414" spans="1:2" x14ac:dyDescent="0.25">
      <c r="A414" s="15" t="s">
        <v>1152</v>
      </c>
      <c r="B414" s="19">
        <v>37.299999999999997</v>
      </c>
    </row>
    <row r="415" spans="1:2" x14ac:dyDescent="0.25">
      <c r="A415" s="15" t="s">
        <v>389</v>
      </c>
      <c r="B415" s="19">
        <v>37.266666666666666</v>
      </c>
    </row>
    <row r="416" spans="1:2" x14ac:dyDescent="0.25">
      <c r="A416" s="15" t="s">
        <v>149</v>
      </c>
      <c r="B416" s="19">
        <v>37.166666666666664</v>
      </c>
    </row>
    <row r="417" spans="1:2" x14ac:dyDescent="0.25">
      <c r="A417" s="15" t="s">
        <v>515</v>
      </c>
      <c r="B417" s="19">
        <v>37.166666666666664</v>
      </c>
    </row>
    <row r="418" spans="1:2" x14ac:dyDescent="0.25">
      <c r="A418" s="15" t="s">
        <v>396</v>
      </c>
      <c r="B418" s="19">
        <v>37.133333333333333</v>
      </c>
    </row>
    <row r="419" spans="1:2" x14ac:dyDescent="0.25">
      <c r="A419" s="15" t="s">
        <v>1300</v>
      </c>
      <c r="B419" s="19">
        <v>37.1</v>
      </c>
    </row>
    <row r="420" spans="1:2" x14ac:dyDescent="0.25">
      <c r="A420" s="15" t="s">
        <v>208</v>
      </c>
      <c r="B420" s="19">
        <v>37.033333333333331</v>
      </c>
    </row>
    <row r="421" spans="1:2" x14ac:dyDescent="0.25">
      <c r="A421" s="15" t="s">
        <v>1117</v>
      </c>
      <c r="B421" s="19">
        <v>37</v>
      </c>
    </row>
    <row r="422" spans="1:2" x14ac:dyDescent="0.25">
      <c r="A422" s="15" t="s">
        <v>337</v>
      </c>
      <c r="B422" s="19">
        <v>36.93333333333333</v>
      </c>
    </row>
    <row r="423" spans="1:2" x14ac:dyDescent="0.25">
      <c r="A423" s="15" t="s">
        <v>191</v>
      </c>
      <c r="B423" s="19">
        <v>36.9</v>
      </c>
    </row>
    <row r="424" spans="1:2" x14ac:dyDescent="0.25">
      <c r="A424" s="15" t="s">
        <v>1230</v>
      </c>
      <c r="B424" s="19">
        <v>36.9</v>
      </c>
    </row>
    <row r="425" spans="1:2" x14ac:dyDescent="0.25">
      <c r="A425" s="15" t="s">
        <v>314</v>
      </c>
      <c r="B425" s="19">
        <v>36.866666666666667</v>
      </c>
    </row>
    <row r="426" spans="1:2" x14ac:dyDescent="0.25">
      <c r="A426" s="15" t="s">
        <v>1180</v>
      </c>
      <c r="B426" s="19">
        <v>36.866666666666667</v>
      </c>
    </row>
    <row r="427" spans="1:2" x14ac:dyDescent="0.25">
      <c r="A427" s="15" t="s">
        <v>1158</v>
      </c>
      <c r="B427" s="19">
        <v>36.799999999999997</v>
      </c>
    </row>
    <row r="428" spans="1:2" x14ac:dyDescent="0.25">
      <c r="A428" s="15" t="s">
        <v>1167</v>
      </c>
      <c r="B428" s="19">
        <v>36.766666666666666</v>
      </c>
    </row>
    <row r="429" spans="1:2" x14ac:dyDescent="0.25">
      <c r="A429" s="15" t="s">
        <v>381</v>
      </c>
      <c r="B429" s="19">
        <v>36.733333333333334</v>
      </c>
    </row>
    <row r="430" spans="1:2" x14ac:dyDescent="0.25">
      <c r="A430" s="15" t="s">
        <v>206</v>
      </c>
      <c r="B430" s="19">
        <v>36.733333333333334</v>
      </c>
    </row>
    <row r="431" spans="1:2" x14ac:dyDescent="0.25">
      <c r="A431" s="15" t="s">
        <v>1138</v>
      </c>
      <c r="B431" s="19">
        <v>36.700000000000003</v>
      </c>
    </row>
    <row r="432" spans="1:2" x14ac:dyDescent="0.25">
      <c r="A432" s="15" t="s">
        <v>1228</v>
      </c>
      <c r="B432" s="19">
        <v>36.666666666666664</v>
      </c>
    </row>
    <row r="433" spans="1:2" x14ac:dyDescent="0.25">
      <c r="A433" s="15" t="s">
        <v>570</v>
      </c>
      <c r="B433" s="19">
        <v>36.6</v>
      </c>
    </row>
    <row r="434" spans="1:2" x14ac:dyDescent="0.25">
      <c r="A434" s="15" t="s">
        <v>1226</v>
      </c>
      <c r="B434" s="19">
        <v>36.6</v>
      </c>
    </row>
    <row r="435" spans="1:2" x14ac:dyDescent="0.25">
      <c r="A435" s="15" t="s">
        <v>1239</v>
      </c>
      <c r="B435" s="19">
        <v>36.56666666666667</v>
      </c>
    </row>
    <row r="436" spans="1:2" x14ac:dyDescent="0.25">
      <c r="A436" s="15" t="s">
        <v>1255</v>
      </c>
      <c r="B436" s="19">
        <v>36.56666666666667</v>
      </c>
    </row>
    <row r="437" spans="1:2" x14ac:dyDescent="0.25">
      <c r="A437" s="15" t="s">
        <v>1116</v>
      </c>
      <c r="B437" s="19">
        <v>36.533333333333331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B818-2B6D-4054-9AFF-4B3F7114A4FD}">
  <dimension ref="A3:B233"/>
  <sheetViews>
    <sheetView workbookViewId="0">
      <selection activeCell="B232" sqref="B232"/>
    </sheetView>
  </sheetViews>
  <sheetFormatPr defaultRowHeight="15" x14ac:dyDescent="0.25"/>
  <cols>
    <col min="1" max="1" width="17.28515625" bestFit="1" customWidth="1"/>
    <col min="2" max="2" width="24.5703125" bestFit="1" customWidth="1"/>
  </cols>
  <sheetData>
    <row r="3" spans="1:2" x14ac:dyDescent="0.25">
      <c r="A3" s="14" t="s">
        <v>813</v>
      </c>
      <c r="B3" t="s">
        <v>1323</v>
      </c>
    </row>
    <row r="4" spans="1:2" x14ac:dyDescent="0.25">
      <c r="A4" s="15" t="s">
        <v>939</v>
      </c>
      <c r="B4" s="16">
        <v>6</v>
      </c>
    </row>
    <row r="5" spans="1:2" x14ac:dyDescent="0.25">
      <c r="A5" s="15" t="s">
        <v>882</v>
      </c>
      <c r="B5" s="16">
        <v>6</v>
      </c>
    </row>
    <row r="6" spans="1:2" x14ac:dyDescent="0.25">
      <c r="A6" s="15" t="s">
        <v>991</v>
      </c>
      <c r="B6" s="16">
        <v>6</v>
      </c>
    </row>
    <row r="7" spans="1:2" x14ac:dyDescent="0.25">
      <c r="A7" s="15" t="s">
        <v>911</v>
      </c>
      <c r="B7" s="16">
        <v>6</v>
      </c>
    </row>
    <row r="8" spans="1:2" x14ac:dyDescent="0.25">
      <c r="A8" s="15" t="s">
        <v>870</v>
      </c>
      <c r="B8" s="16">
        <v>5</v>
      </c>
    </row>
    <row r="9" spans="1:2" x14ac:dyDescent="0.25">
      <c r="A9" s="15" t="s">
        <v>951</v>
      </c>
      <c r="B9" s="16">
        <v>5</v>
      </c>
    </row>
    <row r="10" spans="1:2" x14ac:dyDescent="0.25">
      <c r="A10" s="15" t="s">
        <v>912</v>
      </c>
      <c r="B10" s="16">
        <v>5</v>
      </c>
    </row>
    <row r="11" spans="1:2" x14ac:dyDescent="0.25">
      <c r="A11" s="15" t="s">
        <v>864</v>
      </c>
      <c r="B11" s="16">
        <v>5</v>
      </c>
    </row>
    <row r="12" spans="1:2" x14ac:dyDescent="0.25">
      <c r="A12" s="15" t="s">
        <v>875</v>
      </c>
      <c r="B12" s="16">
        <v>5</v>
      </c>
    </row>
    <row r="13" spans="1:2" x14ac:dyDescent="0.25">
      <c r="A13" s="15" t="s">
        <v>905</v>
      </c>
      <c r="B13" s="16">
        <v>4</v>
      </c>
    </row>
    <row r="14" spans="1:2" x14ac:dyDescent="0.25">
      <c r="A14" s="15" t="s">
        <v>906</v>
      </c>
      <c r="B14" s="16">
        <v>4</v>
      </c>
    </row>
    <row r="15" spans="1:2" x14ac:dyDescent="0.25">
      <c r="A15" s="15" t="s">
        <v>900</v>
      </c>
      <c r="B15" s="16">
        <v>4</v>
      </c>
    </row>
    <row r="16" spans="1:2" x14ac:dyDescent="0.25">
      <c r="A16" s="15" t="s">
        <v>909</v>
      </c>
      <c r="B16" s="16">
        <v>4</v>
      </c>
    </row>
    <row r="17" spans="1:2" x14ac:dyDescent="0.25">
      <c r="A17" s="15" t="s">
        <v>892</v>
      </c>
      <c r="B17" s="16">
        <v>4</v>
      </c>
    </row>
    <row r="18" spans="1:2" x14ac:dyDescent="0.25">
      <c r="A18" s="15" t="s">
        <v>866</v>
      </c>
      <c r="B18" s="16">
        <v>4</v>
      </c>
    </row>
    <row r="19" spans="1:2" x14ac:dyDescent="0.25">
      <c r="A19" s="15" t="s">
        <v>1031</v>
      </c>
      <c r="B19" s="16">
        <v>4</v>
      </c>
    </row>
    <row r="20" spans="1:2" x14ac:dyDescent="0.25">
      <c r="A20" s="15" t="s">
        <v>879</v>
      </c>
      <c r="B20" s="16">
        <v>4</v>
      </c>
    </row>
    <row r="21" spans="1:2" x14ac:dyDescent="0.25">
      <c r="A21" s="15" t="s">
        <v>956</v>
      </c>
      <c r="B21" s="16">
        <v>4</v>
      </c>
    </row>
    <row r="22" spans="1:2" x14ac:dyDescent="0.25">
      <c r="A22" s="15" t="s">
        <v>868</v>
      </c>
      <c r="B22" s="16">
        <v>4</v>
      </c>
    </row>
    <row r="23" spans="1:2" x14ac:dyDescent="0.25">
      <c r="A23" s="15" t="s">
        <v>960</v>
      </c>
      <c r="B23" s="16">
        <v>4</v>
      </c>
    </row>
    <row r="24" spans="1:2" x14ac:dyDescent="0.25">
      <c r="A24" s="15" t="s">
        <v>918</v>
      </c>
      <c r="B24" s="16">
        <v>4</v>
      </c>
    </row>
    <row r="25" spans="1:2" x14ac:dyDescent="0.25">
      <c r="A25" s="15" t="s">
        <v>903</v>
      </c>
      <c r="B25" s="16">
        <v>4</v>
      </c>
    </row>
    <row r="26" spans="1:2" x14ac:dyDescent="0.25">
      <c r="A26" s="15" t="s">
        <v>1040</v>
      </c>
      <c r="B26" s="16">
        <v>4</v>
      </c>
    </row>
    <row r="27" spans="1:2" x14ac:dyDescent="0.25">
      <c r="A27" s="15" t="s">
        <v>996</v>
      </c>
      <c r="B27" s="16">
        <v>4</v>
      </c>
    </row>
    <row r="28" spans="1:2" x14ac:dyDescent="0.25">
      <c r="A28" s="15" t="s">
        <v>953</v>
      </c>
      <c r="B28" s="16">
        <v>3</v>
      </c>
    </row>
    <row r="29" spans="1:2" x14ac:dyDescent="0.25">
      <c r="A29" s="15" t="s">
        <v>966</v>
      </c>
      <c r="B29" s="16">
        <v>3</v>
      </c>
    </row>
    <row r="30" spans="1:2" x14ac:dyDescent="0.25">
      <c r="A30" s="15" t="s">
        <v>922</v>
      </c>
      <c r="B30" s="16">
        <v>3</v>
      </c>
    </row>
    <row r="31" spans="1:2" x14ac:dyDescent="0.25">
      <c r="A31" s="15" t="s">
        <v>928</v>
      </c>
      <c r="B31" s="16">
        <v>3</v>
      </c>
    </row>
    <row r="32" spans="1:2" x14ac:dyDescent="0.25">
      <c r="A32" s="15" t="s">
        <v>965</v>
      </c>
      <c r="B32" s="16">
        <v>3</v>
      </c>
    </row>
    <row r="33" spans="1:2" x14ac:dyDescent="0.25">
      <c r="A33" s="15" t="s">
        <v>978</v>
      </c>
      <c r="B33" s="16">
        <v>3</v>
      </c>
    </row>
    <row r="34" spans="1:2" x14ac:dyDescent="0.25">
      <c r="A34" s="15" t="s">
        <v>942</v>
      </c>
      <c r="B34" s="16">
        <v>3</v>
      </c>
    </row>
    <row r="35" spans="1:2" x14ac:dyDescent="0.25">
      <c r="A35" s="15" t="s">
        <v>933</v>
      </c>
      <c r="B35" s="16">
        <v>3</v>
      </c>
    </row>
    <row r="36" spans="1:2" x14ac:dyDescent="0.25">
      <c r="A36" s="15" t="s">
        <v>874</v>
      </c>
      <c r="B36" s="16">
        <v>3</v>
      </c>
    </row>
    <row r="37" spans="1:2" x14ac:dyDescent="0.25">
      <c r="A37" s="15" t="s">
        <v>949</v>
      </c>
      <c r="B37" s="16">
        <v>3</v>
      </c>
    </row>
    <row r="38" spans="1:2" x14ac:dyDescent="0.25">
      <c r="A38" s="15" t="s">
        <v>910</v>
      </c>
      <c r="B38" s="16">
        <v>3</v>
      </c>
    </row>
    <row r="39" spans="1:2" x14ac:dyDescent="0.25">
      <c r="A39" s="15" t="s">
        <v>981</v>
      </c>
      <c r="B39" s="16">
        <v>3</v>
      </c>
    </row>
    <row r="40" spans="1:2" x14ac:dyDescent="0.25">
      <c r="A40" s="15" t="s">
        <v>1049</v>
      </c>
      <c r="B40" s="16">
        <v>3</v>
      </c>
    </row>
    <row r="41" spans="1:2" x14ac:dyDescent="0.25">
      <c r="A41" s="15" t="s">
        <v>913</v>
      </c>
      <c r="B41" s="16">
        <v>3</v>
      </c>
    </row>
    <row r="42" spans="1:2" x14ac:dyDescent="0.25">
      <c r="A42" s="15" t="s">
        <v>916</v>
      </c>
      <c r="B42" s="16">
        <v>3</v>
      </c>
    </row>
    <row r="43" spans="1:2" x14ac:dyDescent="0.25">
      <c r="A43" s="15" t="s">
        <v>1026</v>
      </c>
      <c r="B43" s="16">
        <v>3</v>
      </c>
    </row>
    <row r="44" spans="1:2" x14ac:dyDescent="0.25">
      <c r="A44" s="15" t="s">
        <v>1008</v>
      </c>
      <c r="B44" s="16">
        <v>3</v>
      </c>
    </row>
    <row r="45" spans="1:2" x14ac:dyDescent="0.25">
      <c r="A45" s="15" t="s">
        <v>889</v>
      </c>
      <c r="B45" s="16">
        <v>3</v>
      </c>
    </row>
    <row r="46" spans="1:2" x14ac:dyDescent="0.25">
      <c r="A46" s="15" t="s">
        <v>971</v>
      </c>
      <c r="B46" s="16">
        <v>3</v>
      </c>
    </row>
    <row r="47" spans="1:2" x14ac:dyDescent="0.25">
      <c r="A47" s="15" t="s">
        <v>957</v>
      </c>
      <c r="B47" s="16">
        <v>3</v>
      </c>
    </row>
    <row r="48" spans="1:2" x14ac:dyDescent="0.25">
      <c r="A48" s="15" t="s">
        <v>914</v>
      </c>
      <c r="B48" s="16">
        <v>3</v>
      </c>
    </row>
    <row r="49" spans="1:2" x14ac:dyDescent="0.25">
      <c r="A49" s="15" t="s">
        <v>1074</v>
      </c>
      <c r="B49" s="16">
        <v>3</v>
      </c>
    </row>
    <row r="50" spans="1:2" x14ac:dyDescent="0.25">
      <c r="A50" s="15" t="s">
        <v>886</v>
      </c>
      <c r="B50" s="16">
        <v>3</v>
      </c>
    </row>
    <row r="51" spans="1:2" x14ac:dyDescent="0.25">
      <c r="A51" s="15" t="s">
        <v>1018</v>
      </c>
      <c r="B51" s="16">
        <v>3</v>
      </c>
    </row>
    <row r="52" spans="1:2" x14ac:dyDescent="0.25">
      <c r="A52" s="15" t="s">
        <v>867</v>
      </c>
      <c r="B52" s="16">
        <v>3</v>
      </c>
    </row>
    <row r="53" spans="1:2" x14ac:dyDescent="0.25">
      <c r="A53" s="15" t="s">
        <v>865</v>
      </c>
      <c r="B53" s="16">
        <v>3</v>
      </c>
    </row>
    <row r="54" spans="1:2" x14ac:dyDescent="0.25">
      <c r="A54" s="15" t="s">
        <v>891</v>
      </c>
      <c r="B54" s="16">
        <v>3</v>
      </c>
    </row>
    <row r="55" spans="1:2" x14ac:dyDescent="0.25">
      <c r="A55" s="15" t="s">
        <v>1041</v>
      </c>
      <c r="B55" s="16">
        <v>3</v>
      </c>
    </row>
    <row r="56" spans="1:2" x14ac:dyDescent="0.25">
      <c r="A56" s="15" t="s">
        <v>1033</v>
      </c>
      <c r="B56" s="16">
        <v>3</v>
      </c>
    </row>
    <row r="57" spans="1:2" x14ac:dyDescent="0.25">
      <c r="A57" s="15" t="s">
        <v>901</v>
      </c>
      <c r="B57" s="16">
        <v>2</v>
      </c>
    </row>
    <row r="58" spans="1:2" x14ac:dyDescent="0.25">
      <c r="A58" s="15" t="s">
        <v>888</v>
      </c>
      <c r="B58" s="16">
        <v>2</v>
      </c>
    </row>
    <row r="59" spans="1:2" x14ac:dyDescent="0.25">
      <c r="A59" s="15" t="s">
        <v>985</v>
      </c>
      <c r="B59" s="16">
        <v>2</v>
      </c>
    </row>
    <row r="60" spans="1:2" x14ac:dyDescent="0.25">
      <c r="A60" s="15" t="s">
        <v>992</v>
      </c>
      <c r="B60" s="16">
        <v>2</v>
      </c>
    </row>
    <row r="61" spans="1:2" x14ac:dyDescent="0.25">
      <c r="A61" s="15" t="s">
        <v>923</v>
      </c>
      <c r="B61" s="16">
        <v>2</v>
      </c>
    </row>
    <row r="62" spans="1:2" x14ac:dyDescent="0.25">
      <c r="A62" s="15" t="s">
        <v>925</v>
      </c>
      <c r="B62" s="16">
        <v>2</v>
      </c>
    </row>
    <row r="63" spans="1:2" x14ac:dyDescent="0.25">
      <c r="A63" s="15" t="s">
        <v>964</v>
      </c>
      <c r="B63" s="16">
        <v>2</v>
      </c>
    </row>
    <row r="64" spans="1:2" x14ac:dyDescent="0.25">
      <c r="A64" s="15" t="s">
        <v>1027</v>
      </c>
      <c r="B64" s="16">
        <v>2</v>
      </c>
    </row>
    <row r="65" spans="1:2" x14ac:dyDescent="0.25">
      <c r="A65" s="15" t="s">
        <v>1017</v>
      </c>
      <c r="B65" s="16">
        <v>2</v>
      </c>
    </row>
    <row r="66" spans="1:2" x14ac:dyDescent="0.25">
      <c r="A66" s="15" t="s">
        <v>1044</v>
      </c>
      <c r="B66" s="16">
        <v>2</v>
      </c>
    </row>
    <row r="67" spans="1:2" x14ac:dyDescent="0.25">
      <c r="A67" s="15" t="s">
        <v>877</v>
      </c>
      <c r="B67" s="16">
        <v>2</v>
      </c>
    </row>
    <row r="68" spans="1:2" x14ac:dyDescent="0.25">
      <c r="A68" s="15" t="s">
        <v>982</v>
      </c>
      <c r="B68" s="16">
        <v>2</v>
      </c>
    </row>
    <row r="69" spans="1:2" x14ac:dyDescent="0.25">
      <c r="A69" s="15" t="s">
        <v>1037</v>
      </c>
      <c r="B69" s="16">
        <v>2</v>
      </c>
    </row>
    <row r="70" spans="1:2" x14ac:dyDescent="0.25">
      <c r="A70" s="15" t="s">
        <v>881</v>
      </c>
      <c r="B70" s="16">
        <v>2</v>
      </c>
    </row>
    <row r="71" spans="1:2" x14ac:dyDescent="0.25">
      <c r="A71" s="15" t="s">
        <v>896</v>
      </c>
      <c r="B71" s="16">
        <v>2</v>
      </c>
    </row>
    <row r="72" spans="1:2" x14ac:dyDescent="0.25">
      <c r="A72" s="15" t="s">
        <v>931</v>
      </c>
      <c r="B72" s="16">
        <v>2</v>
      </c>
    </row>
    <row r="73" spans="1:2" x14ac:dyDescent="0.25">
      <c r="A73" s="15" t="s">
        <v>869</v>
      </c>
      <c r="B73" s="16">
        <v>2</v>
      </c>
    </row>
    <row r="74" spans="1:2" x14ac:dyDescent="0.25">
      <c r="A74" s="15" t="s">
        <v>995</v>
      </c>
      <c r="B74" s="16">
        <v>2</v>
      </c>
    </row>
    <row r="75" spans="1:2" x14ac:dyDescent="0.25">
      <c r="A75" s="15" t="s">
        <v>944</v>
      </c>
      <c r="B75" s="16">
        <v>2</v>
      </c>
    </row>
    <row r="76" spans="1:2" x14ac:dyDescent="0.25">
      <c r="A76" s="15" t="s">
        <v>873</v>
      </c>
      <c r="B76" s="16">
        <v>2</v>
      </c>
    </row>
    <row r="77" spans="1:2" x14ac:dyDescent="0.25">
      <c r="A77" s="15" t="s">
        <v>1068</v>
      </c>
      <c r="B77" s="16">
        <v>2</v>
      </c>
    </row>
    <row r="78" spans="1:2" x14ac:dyDescent="0.25">
      <c r="A78" s="15" t="s">
        <v>920</v>
      </c>
      <c r="B78" s="16">
        <v>2</v>
      </c>
    </row>
    <row r="79" spans="1:2" x14ac:dyDescent="0.25">
      <c r="A79" s="15" t="s">
        <v>954</v>
      </c>
      <c r="B79" s="16">
        <v>2</v>
      </c>
    </row>
    <row r="80" spans="1:2" x14ac:dyDescent="0.25">
      <c r="A80" s="15" t="s">
        <v>987</v>
      </c>
      <c r="B80" s="16">
        <v>2</v>
      </c>
    </row>
    <row r="81" spans="1:2" x14ac:dyDescent="0.25">
      <c r="A81" s="15" t="s">
        <v>902</v>
      </c>
      <c r="B81" s="16">
        <v>2</v>
      </c>
    </row>
    <row r="82" spans="1:2" x14ac:dyDescent="0.25">
      <c r="A82" s="15" t="s">
        <v>1013</v>
      </c>
      <c r="B82" s="16">
        <v>2</v>
      </c>
    </row>
    <row r="83" spans="1:2" x14ac:dyDescent="0.25">
      <c r="A83" s="15" t="s">
        <v>989</v>
      </c>
      <c r="B83" s="16">
        <v>2</v>
      </c>
    </row>
    <row r="84" spans="1:2" x14ac:dyDescent="0.25">
      <c r="A84" s="15" t="s">
        <v>1054</v>
      </c>
      <c r="B84" s="16">
        <v>2</v>
      </c>
    </row>
    <row r="85" spans="1:2" x14ac:dyDescent="0.25">
      <c r="A85" s="15" t="s">
        <v>1039</v>
      </c>
      <c r="B85" s="16">
        <v>2</v>
      </c>
    </row>
    <row r="86" spans="1:2" x14ac:dyDescent="0.25">
      <c r="A86" s="15" t="s">
        <v>1060</v>
      </c>
      <c r="B86" s="16">
        <v>2</v>
      </c>
    </row>
    <row r="87" spans="1:2" x14ac:dyDescent="0.25">
      <c r="A87" s="15" t="s">
        <v>1003</v>
      </c>
      <c r="B87" s="16">
        <v>2</v>
      </c>
    </row>
    <row r="88" spans="1:2" x14ac:dyDescent="0.25">
      <c r="A88" s="15" t="s">
        <v>961</v>
      </c>
      <c r="B88" s="16">
        <v>2</v>
      </c>
    </row>
    <row r="89" spans="1:2" x14ac:dyDescent="0.25">
      <c r="A89" s="15" t="s">
        <v>1020</v>
      </c>
      <c r="B89" s="16">
        <v>2</v>
      </c>
    </row>
    <row r="90" spans="1:2" x14ac:dyDescent="0.25">
      <c r="A90" s="15" t="s">
        <v>878</v>
      </c>
      <c r="B90" s="16">
        <v>2</v>
      </c>
    </row>
    <row r="91" spans="1:2" x14ac:dyDescent="0.25">
      <c r="A91" s="15" t="s">
        <v>1052</v>
      </c>
      <c r="B91" s="16">
        <v>2</v>
      </c>
    </row>
    <row r="92" spans="1:2" x14ac:dyDescent="0.25">
      <c r="A92" s="15" t="s">
        <v>1028</v>
      </c>
      <c r="B92" s="16">
        <v>2</v>
      </c>
    </row>
    <row r="93" spans="1:2" x14ac:dyDescent="0.25">
      <c r="A93" s="15" t="s">
        <v>899</v>
      </c>
      <c r="B93" s="16">
        <v>2</v>
      </c>
    </row>
    <row r="94" spans="1:2" x14ac:dyDescent="0.25">
      <c r="A94" s="15" t="s">
        <v>973</v>
      </c>
      <c r="B94" s="16">
        <v>2</v>
      </c>
    </row>
    <row r="95" spans="1:2" x14ac:dyDescent="0.25">
      <c r="A95" s="15" t="s">
        <v>880</v>
      </c>
      <c r="B95" s="16">
        <v>2</v>
      </c>
    </row>
    <row r="96" spans="1:2" x14ac:dyDescent="0.25">
      <c r="A96" s="15" t="s">
        <v>945</v>
      </c>
      <c r="B96" s="16">
        <v>2</v>
      </c>
    </row>
    <row r="97" spans="1:2" x14ac:dyDescent="0.25">
      <c r="A97" s="15" t="s">
        <v>977</v>
      </c>
      <c r="B97" s="16">
        <v>2</v>
      </c>
    </row>
    <row r="98" spans="1:2" x14ac:dyDescent="0.25">
      <c r="A98" s="15" t="s">
        <v>994</v>
      </c>
      <c r="B98" s="16">
        <v>2</v>
      </c>
    </row>
    <row r="99" spans="1:2" x14ac:dyDescent="0.25">
      <c r="A99" s="15" t="s">
        <v>897</v>
      </c>
      <c r="B99" s="16">
        <v>2</v>
      </c>
    </row>
    <row r="100" spans="1:2" x14ac:dyDescent="0.25">
      <c r="A100" s="15" t="s">
        <v>1006</v>
      </c>
      <c r="B100" s="16">
        <v>2</v>
      </c>
    </row>
    <row r="101" spans="1:2" x14ac:dyDescent="0.25">
      <c r="A101" s="15" t="s">
        <v>1076</v>
      </c>
      <c r="B101" s="16">
        <v>2</v>
      </c>
    </row>
    <row r="102" spans="1:2" x14ac:dyDescent="0.25">
      <c r="A102" s="15" t="s">
        <v>1019</v>
      </c>
      <c r="B102" s="16">
        <v>2</v>
      </c>
    </row>
    <row r="103" spans="1:2" x14ac:dyDescent="0.25">
      <c r="A103" s="15" t="s">
        <v>948</v>
      </c>
      <c r="B103" s="16">
        <v>2</v>
      </c>
    </row>
    <row r="104" spans="1:2" x14ac:dyDescent="0.25">
      <c r="A104" s="15" t="s">
        <v>883</v>
      </c>
      <c r="B104" s="16">
        <v>2</v>
      </c>
    </row>
    <row r="105" spans="1:2" x14ac:dyDescent="0.25">
      <c r="A105" s="15" t="s">
        <v>894</v>
      </c>
      <c r="B105" s="16">
        <v>2</v>
      </c>
    </row>
    <row r="106" spans="1:2" x14ac:dyDescent="0.25">
      <c r="A106" s="15" t="s">
        <v>885</v>
      </c>
      <c r="B106" s="16">
        <v>2</v>
      </c>
    </row>
    <row r="107" spans="1:2" x14ac:dyDescent="0.25">
      <c r="A107" s="15" t="s">
        <v>884</v>
      </c>
      <c r="B107" s="16">
        <v>2</v>
      </c>
    </row>
    <row r="108" spans="1:2" x14ac:dyDescent="0.25">
      <c r="A108" s="15" t="s">
        <v>967</v>
      </c>
      <c r="B108" s="16">
        <v>2</v>
      </c>
    </row>
    <row r="109" spans="1:2" x14ac:dyDescent="0.25">
      <c r="A109" s="15" t="s">
        <v>898</v>
      </c>
      <c r="B109" s="16">
        <v>2</v>
      </c>
    </row>
    <row r="110" spans="1:2" x14ac:dyDescent="0.25">
      <c r="A110" s="15" t="s">
        <v>1043</v>
      </c>
      <c r="B110" s="16">
        <v>2</v>
      </c>
    </row>
    <row r="111" spans="1:2" x14ac:dyDescent="0.25">
      <c r="A111" s="15" t="s">
        <v>976</v>
      </c>
      <c r="B111" s="16">
        <v>2</v>
      </c>
    </row>
    <row r="112" spans="1:2" x14ac:dyDescent="0.25">
      <c r="A112" s="15" t="s">
        <v>969</v>
      </c>
      <c r="B112" s="16">
        <v>2</v>
      </c>
    </row>
    <row r="113" spans="1:2" x14ac:dyDescent="0.25">
      <c r="A113" s="15" t="s">
        <v>959</v>
      </c>
      <c r="B113" s="16">
        <v>2</v>
      </c>
    </row>
    <row r="114" spans="1:2" x14ac:dyDescent="0.25">
      <c r="A114" s="15" t="s">
        <v>1036</v>
      </c>
      <c r="B114" s="16">
        <v>2</v>
      </c>
    </row>
    <row r="115" spans="1:2" x14ac:dyDescent="0.25">
      <c r="A115" s="15" t="s">
        <v>919</v>
      </c>
      <c r="B115" s="16">
        <v>2</v>
      </c>
    </row>
    <row r="116" spans="1:2" x14ac:dyDescent="0.25">
      <c r="A116" s="15" t="s">
        <v>930</v>
      </c>
      <c r="B116" s="16">
        <v>2</v>
      </c>
    </row>
    <row r="117" spans="1:2" x14ac:dyDescent="0.25">
      <c r="A117" s="15" t="s">
        <v>1072</v>
      </c>
      <c r="B117" s="16">
        <v>2</v>
      </c>
    </row>
    <row r="118" spans="1:2" x14ac:dyDescent="0.25">
      <c r="A118" s="15" t="s">
        <v>958</v>
      </c>
      <c r="B118" s="16">
        <v>1</v>
      </c>
    </row>
    <row r="119" spans="1:2" x14ac:dyDescent="0.25">
      <c r="A119" s="15" t="s">
        <v>1088</v>
      </c>
      <c r="B119" s="16">
        <v>1</v>
      </c>
    </row>
    <row r="120" spans="1:2" x14ac:dyDescent="0.25">
      <c r="A120" s="15" t="s">
        <v>940</v>
      </c>
      <c r="B120" s="16">
        <v>1</v>
      </c>
    </row>
    <row r="121" spans="1:2" x14ac:dyDescent="0.25">
      <c r="A121" s="15" t="s">
        <v>935</v>
      </c>
      <c r="B121" s="16">
        <v>1</v>
      </c>
    </row>
    <row r="122" spans="1:2" x14ac:dyDescent="0.25">
      <c r="A122" s="15" t="s">
        <v>983</v>
      </c>
      <c r="B122" s="16">
        <v>1</v>
      </c>
    </row>
    <row r="123" spans="1:2" x14ac:dyDescent="0.25">
      <c r="A123" s="15" t="s">
        <v>1083</v>
      </c>
      <c r="B123" s="16">
        <v>1</v>
      </c>
    </row>
    <row r="124" spans="1:2" x14ac:dyDescent="0.25">
      <c r="A124" s="15" t="s">
        <v>1051</v>
      </c>
      <c r="B124" s="16">
        <v>1</v>
      </c>
    </row>
    <row r="125" spans="1:2" x14ac:dyDescent="0.25">
      <c r="A125" s="15" t="s">
        <v>876</v>
      </c>
      <c r="B125" s="16">
        <v>1</v>
      </c>
    </row>
    <row r="126" spans="1:2" x14ac:dyDescent="0.25">
      <c r="A126" s="15" t="s">
        <v>938</v>
      </c>
      <c r="B126" s="16">
        <v>1</v>
      </c>
    </row>
    <row r="127" spans="1:2" x14ac:dyDescent="0.25">
      <c r="A127" s="15" t="s">
        <v>955</v>
      </c>
      <c r="B127" s="16">
        <v>1</v>
      </c>
    </row>
    <row r="128" spans="1:2" x14ac:dyDescent="0.25">
      <c r="A128" s="15" t="s">
        <v>1016</v>
      </c>
      <c r="B128" s="16">
        <v>1</v>
      </c>
    </row>
    <row r="129" spans="1:2" x14ac:dyDescent="0.25">
      <c r="A129" s="15" t="s">
        <v>1066</v>
      </c>
      <c r="B129" s="16">
        <v>1</v>
      </c>
    </row>
    <row r="130" spans="1:2" x14ac:dyDescent="0.25">
      <c r="A130" s="15" t="s">
        <v>1086</v>
      </c>
      <c r="B130" s="16">
        <v>1</v>
      </c>
    </row>
    <row r="131" spans="1:2" x14ac:dyDescent="0.25">
      <c r="A131" s="15" t="s">
        <v>890</v>
      </c>
      <c r="B131" s="16">
        <v>1</v>
      </c>
    </row>
    <row r="132" spans="1:2" x14ac:dyDescent="0.25">
      <c r="A132" s="15" t="s">
        <v>962</v>
      </c>
      <c r="B132" s="16">
        <v>1</v>
      </c>
    </row>
    <row r="133" spans="1:2" x14ac:dyDescent="0.25">
      <c r="A133" s="15" t="s">
        <v>1048</v>
      </c>
      <c r="B133" s="16">
        <v>1</v>
      </c>
    </row>
    <row r="134" spans="1:2" x14ac:dyDescent="0.25">
      <c r="A134" s="15" t="s">
        <v>1000</v>
      </c>
      <c r="B134" s="16">
        <v>1</v>
      </c>
    </row>
    <row r="135" spans="1:2" x14ac:dyDescent="0.25">
      <c r="A135" s="15" t="s">
        <v>990</v>
      </c>
      <c r="B135" s="16">
        <v>1</v>
      </c>
    </row>
    <row r="136" spans="1:2" x14ac:dyDescent="0.25">
      <c r="A136" s="15" t="s">
        <v>887</v>
      </c>
      <c r="B136" s="16">
        <v>1</v>
      </c>
    </row>
    <row r="137" spans="1:2" x14ac:dyDescent="0.25">
      <c r="A137" s="15" t="s">
        <v>904</v>
      </c>
      <c r="B137" s="16">
        <v>1</v>
      </c>
    </row>
    <row r="138" spans="1:2" x14ac:dyDescent="0.25">
      <c r="A138" s="15" t="s">
        <v>1079</v>
      </c>
      <c r="B138" s="16">
        <v>1</v>
      </c>
    </row>
    <row r="139" spans="1:2" x14ac:dyDescent="0.25">
      <c r="A139" s="15" t="s">
        <v>1090</v>
      </c>
      <c r="B139" s="16">
        <v>1</v>
      </c>
    </row>
    <row r="140" spans="1:2" x14ac:dyDescent="0.25">
      <c r="A140" s="15" t="s">
        <v>993</v>
      </c>
      <c r="B140" s="16">
        <v>1</v>
      </c>
    </row>
    <row r="141" spans="1:2" x14ac:dyDescent="0.25">
      <c r="A141" s="15" t="s">
        <v>917</v>
      </c>
      <c r="B141" s="16">
        <v>1</v>
      </c>
    </row>
    <row r="142" spans="1:2" x14ac:dyDescent="0.25">
      <c r="A142" s="15" t="s">
        <v>974</v>
      </c>
      <c r="B142" s="16">
        <v>1</v>
      </c>
    </row>
    <row r="143" spans="1:2" x14ac:dyDescent="0.25">
      <c r="A143" s="15" t="s">
        <v>1035</v>
      </c>
      <c r="B143" s="16">
        <v>1</v>
      </c>
    </row>
    <row r="144" spans="1:2" x14ac:dyDescent="0.25">
      <c r="A144" s="15" t="s">
        <v>1014</v>
      </c>
      <c r="B144" s="16">
        <v>1</v>
      </c>
    </row>
    <row r="145" spans="1:2" x14ac:dyDescent="0.25">
      <c r="A145" s="15" t="s">
        <v>1075</v>
      </c>
      <c r="B145" s="16">
        <v>1</v>
      </c>
    </row>
    <row r="146" spans="1:2" x14ac:dyDescent="0.25">
      <c r="A146" s="15" t="s">
        <v>1032</v>
      </c>
      <c r="B146" s="16">
        <v>1</v>
      </c>
    </row>
    <row r="147" spans="1:2" x14ac:dyDescent="0.25">
      <c r="A147" s="15" t="s">
        <v>1021</v>
      </c>
      <c r="B147" s="16">
        <v>1</v>
      </c>
    </row>
    <row r="148" spans="1:2" x14ac:dyDescent="0.25">
      <c r="A148" s="15" t="s">
        <v>1065</v>
      </c>
      <c r="B148" s="16">
        <v>1</v>
      </c>
    </row>
    <row r="149" spans="1:2" x14ac:dyDescent="0.25">
      <c r="A149" s="15" t="s">
        <v>1015</v>
      </c>
      <c r="B149" s="16">
        <v>1</v>
      </c>
    </row>
    <row r="150" spans="1:2" x14ac:dyDescent="0.25">
      <c r="A150" s="15" t="s">
        <v>915</v>
      </c>
      <c r="B150" s="16">
        <v>1</v>
      </c>
    </row>
    <row r="151" spans="1:2" x14ac:dyDescent="0.25">
      <c r="A151" s="15" t="s">
        <v>1009</v>
      </c>
      <c r="B151" s="16">
        <v>1</v>
      </c>
    </row>
    <row r="152" spans="1:2" x14ac:dyDescent="0.25">
      <c r="A152" s="15" t="s">
        <v>1025</v>
      </c>
      <c r="B152" s="16">
        <v>1</v>
      </c>
    </row>
    <row r="153" spans="1:2" x14ac:dyDescent="0.25">
      <c r="A153" s="15" t="s">
        <v>988</v>
      </c>
      <c r="B153" s="16">
        <v>1</v>
      </c>
    </row>
    <row r="154" spans="1:2" x14ac:dyDescent="0.25">
      <c r="A154" s="15" t="s">
        <v>1056</v>
      </c>
      <c r="B154" s="16">
        <v>1</v>
      </c>
    </row>
    <row r="155" spans="1:2" x14ac:dyDescent="0.25">
      <c r="A155" s="15" t="s">
        <v>1067</v>
      </c>
      <c r="B155" s="16">
        <v>1</v>
      </c>
    </row>
    <row r="156" spans="1:2" x14ac:dyDescent="0.25">
      <c r="A156" s="15" t="s">
        <v>1059</v>
      </c>
      <c r="B156" s="16">
        <v>1</v>
      </c>
    </row>
    <row r="157" spans="1:2" x14ac:dyDescent="0.25">
      <c r="A157" s="15" t="s">
        <v>1071</v>
      </c>
      <c r="B157" s="16">
        <v>1</v>
      </c>
    </row>
    <row r="158" spans="1:2" x14ac:dyDescent="0.25">
      <c r="A158" s="15" t="s">
        <v>908</v>
      </c>
      <c r="B158" s="16">
        <v>1</v>
      </c>
    </row>
    <row r="159" spans="1:2" x14ac:dyDescent="0.25">
      <c r="A159" s="15" t="s">
        <v>1007</v>
      </c>
      <c r="B159" s="16">
        <v>1</v>
      </c>
    </row>
    <row r="160" spans="1:2" x14ac:dyDescent="0.25">
      <c r="A160" s="15" t="s">
        <v>986</v>
      </c>
      <c r="B160" s="16">
        <v>1</v>
      </c>
    </row>
    <row r="161" spans="1:2" x14ac:dyDescent="0.25">
      <c r="A161" s="15" t="s">
        <v>950</v>
      </c>
      <c r="B161" s="16">
        <v>1</v>
      </c>
    </row>
    <row r="162" spans="1:2" x14ac:dyDescent="0.25">
      <c r="A162" s="15" t="s">
        <v>975</v>
      </c>
      <c r="B162" s="16">
        <v>1</v>
      </c>
    </row>
    <row r="163" spans="1:2" x14ac:dyDescent="0.25">
      <c r="A163" s="15" t="s">
        <v>872</v>
      </c>
      <c r="B163" s="16">
        <v>1</v>
      </c>
    </row>
    <row r="164" spans="1:2" x14ac:dyDescent="0.25">
      <c r="A164" s="15" t="s">
        <v>998</v>
      </c>
      <c r="B164" s="16">
        <v>1</v>
      </c>
    </row>
    <row r="165" spans="1:2" x14ac:dyDescent="0.25">
      <c r="A165" s="15" t="s">
        <v>1012</v>
      </c>
      <c r="B165" s="16">
        <v>1</v>
      </c>
    </row>
    <row r="166" spans="1:2" x14ac:dyDescent="0.25">
      <c r="A166" s="15" t="s">
        <v>947</v>
      </c>
      <c r="B166" s="16">
        <v>1</v>
      </c>
    </row>
    <row r="167" spans="1:2" x14ac:dyDescent="0.25">
      <c r="A167" s="15" t="s">
        <v>924</v>
      </c>
      <c r="B167" s="16">
        <v>1</v>
      </c>
    </row>
    <row r="168" spans="1:2" x14ac:dyDescent="0.25">
      <c r="A168" s="15" t="s">
        <v>1053</v>
      </c>
      <c r="B168" s="16">
        <v>1</v>
      </c>
    </row>
    <row r="169" spans="1:2" x14ac:dyDescent="0.25">
      <c r="A169" s="15" t="s">
        <v>1078</v>
      </c>
      <c r="B169" s="16">
        <v>1</v>
      </c>
    </row>
    <row r="170" spans="1:2" x14ac:dyDescent="0.25">
      <c r="A170" s="15" t="s">
        <v>1030</v>
      </c>
      <c r="B170" s="16">
        <v>1</v>
      </c>
    </row>
    <row r="171" spans="1:2" x14ac:dyDescent="0.25">
      <c r="A171" s="15" t="s">
        <v>984</v>
      </c>
      <c r="B171" s="16">
        <v>1</v>
      </c>
    </row>
    <row r="172" spans="1:2" x14ac:dyDescent="0.25">
      <c r="A172" s="15" t="s">
        <v>1091</v>
      </c>
      <c r="B172" s="16">
        <v>1</v>
      </c>
    </row>
    <row r="173" spans="1:2" x14ac:dyDescent="0.25">
      <c r="A173" s="15" t="s">
        <v>1029</v>
      </c>
      <c r="B173" s="16">
        <v>1</v>
      </c>
    </row>
    <row r="174" spans="1:2" x14ac:dyDescent="0.25">
      <c r="A174" s="15" t="s">
        <v>1004</v>
      </c>
      <c r="B174" s="16">
        <v>1</v>
      </c>
    </row>
    <row r="175" spans="1:2" x14ac:dyDescent="0.25">
      <c r="A175" s="15" t="s">
        <v>1055</v>
      </c>
      <c r="B175" s="16">
        <v>1</v>
      </c>
    </row>
    <row r="176" spans="1:2" x14ac:dyDescent="0.25">
      <c r="A176" s="15" t="s">
        <v>1085</v>
      </c>
      <c r="B176" s="16">
        <v>1</v>
      </c>
    </row>
    <row r="177" spans="1:2" x14ac:dyDescent="0.25">
      <c r="A177" s="15" t="s">
        <v>1002</v>
      </c>
      <c r="B177" s="16">
        <v>1</v>
      </c>
    </row>
    <row r="178" spans="1:2" x14ac:dyDescent="0.25">
      <c r="A178" s="15" t="s">
        <v>1089</v>
      </c>
      <c r="B178" s="16">
        <v>1</v>
      </c>
    </row>
    <row r="179" spans="1:2" x14ac:dyDescent="0.25">
      <c r="A179" s="15" t="s">
        <v>943</v>
      </c>
      <c r="B179" s="16">
        <v>1</v>
      </c>
    </row>
    <row r="180" spans="1:2" x14ac:dyDescent="0.25">
      <c r="A180" s="15" t="s">
        <v>1077</v>
      </c>
      <c r="B180" s="16">
        <v>1</v>
      </c>
    </row>
    <row r="181" spans="1:2" x14ac:dyDescent="0.25">
      <c r="A181" s="15" t="s">
        <v>1011</v>
      </c>
      <c r="B181" s="16">
        <v>1</v>
      </c>
    </row>
    <row r="182" spans="1:2" x14ac:dyDescent="0.25">
      <c r="A182" s="15" t="s">
        <v>1046</v>
      </c>
      <c r="B182" s="16">
        <v>1</v>
      </c>
    </row>
    <row r="183" spans="1:2" x14ac:dyDescent="0.25">
      <c r="A183" s="15" t="s">
        <v>1069</v>
      </c>
      <c r="B183" s="16">
        <v>1</v>
      </c>
    </row>
    <row r="184" spans="1:2" x14ac:dyDescent="0.25">
      <c r="A184" s="15" t="s">
        <v>1087</v>
      </c>
      <c r="B184" s="16">
        <v>1</v>
      </c>
    </row>
    <row r="185" spans="1:2" x14ac:dyDescent="0.25">
      <c r="A185" s="15" t="s">
        <v>946</v>
      </c>
      <c r="B185" s="16">
        <v>1</v>
      </c>
    </row>
    <row r="186" spans="1:2" x14ac:dyDescent="0.25">
      <c r="A186" s="15" t="s">
        <v>1042</v>
      </c>
      <c r="B186" s="16">
        <v>1</v>
      </c>
    </row>
    <row r="187" spans="1:2" x14ac:dyDescent="0.25">
      <c r="A187" s="15" t="s">
        <v>1010</v>
      </c>
      <c r="B187" s="16">
        <v>1</v>
      </c>
    </row>
    <row r="188" spans="1:2" x14ac:dyDescent="0.25">
      <c r="A188" s="15" t="s">
        <v>929</v>
      </c>
      <c r="B188" s="16">
        <v>1</v>
      </c>
    </row>
    <row r="189" spans="1:2" x14ac:dyDescent="0.25">
      <c r="A189" s="15" t="s">
        <v>936</v>
      </c>
      <c r="B189" s="16">
        <v>1</v>
      </c>
    </row>
    <row r="190" spans="1:2" x14ac:dyDescent="0.25">
      <c r="A190" s="15" t="s">
        <v>1058</v>
      </c>
      <c r="B190" s="16">
        <v>1</v>
      </c>
    </row>
    <row r="191" spans="1:2" x14ac:dyDescent="0.25">
      <c r="A191" s="15" t="s">
        <v>932</v>
      </c>
      <c r="B191" s="16">
        <v>1</v>
      </c>
    </row>
    <row r="192" spans="1:2" x14ac:dyDescent="0.25">
      <c r="A192" s="15" t="s">
        <v>926</v>
      </c>
      <c r="B192" s="16">
        <v>1</v>
      </c>
    </row>
    <row r="193" spans="1:2" x14ac:dyDescent="0.25">
      <c r="A193" s="15" t="s">
        <v>1001</v>
      </c>
      <c r="B193" s="16">
        <v>1</v>
      </c>
    </row>
    <row r="194" spans="1:2" x14ac:dyDescent="0.25">
      <c r="A194" s="15" t="s">
        <v>1050</v>
      </c>
      <c r="B194" s="16">
        <v>1</v>
      </c>
    </row>
    <row r="195" spans="1:2" x14ac:dyDescent="0.25">
      <c r="A195" s="15" t="s">
        <v>1073</v>
      </c>
      <c r="B195" s="16">
        <v>1</v>
      </c>
    </row>
    <row r="196" spans="1:2" x14ac:dyDescent="0.25">
      <c r="A196" s="15" t="s">
        <v>1082</v>
      </c>
      <c r="B196" s="16">
        <v>1</v>
      </c>
    </row>
    <row r="197" spans="1:2" x14ac:dyDescent="0.25">
      <c r="A197" s="15" t="s">
        <v>980</v>
      </c>
      <c r="B197" s="16">
        <v>1</v>
      </c>
    </row>
    <row r="198" spans="1:2" x14ac:dyDescent="0.25">
      <c r="A198" s="15" t="s">
        <v>1070</v>
      </c>
      <c r="B198" s="16">
        <v>1</v>
      </c>
    </row>
    <row r="199" spans="1:2" x14ac:dyDescent="0.25">
      <c r="A199" s="15" t="s">
        <v>968</v>
      </c>
      <c r="B199" s="16">
        <v>1</v>
      </c>
    </row>
    <row r="200" spans="1:2" x14ac:dyDescent="0.25">
      <c r="A200" s="15" t="s">
        <v>895</v>
      </c>
      <c r="B200" s="16">
        <v>1</v>
      </c>
    </row>
    <row r="201" spans="1:2" x14ac:dyDescent="0.25">
      <c r="A201" s="15" t="s">
        <v>979</v>
      </c>
      <c r="B201" s="16">
        <v>1</v>
      </c>
    </row>
    <row r="202" spans="1:2" x14ac:dyDescent="0.25">
      <c r="A202" s="15" t="s">
        <v>893</v>
      </c>
      <c r="B202" s="16">
        <v>1</v>
      </c>
    </row>
    <row r="203" spans="1:2" x14ac:dyDescent="0.25">
      <c r="A203" s="15" t="s">
        <v>1080</v>
      </c>
      <c r="B203" s="16">
        <v>1</v>
      </c>
    </row>
    <row r="204" spans="1:2" x14ac:dyDescent="0.25">
      <c r="A204" s="15" t="s">
        <v>1081</v>
      </c>
      <c r="B204" s="16">
        <v>1</v>
      </c>
    </row>
    <row r="205" spans="1:2" x14ac:dyDescent="0.25">
      <c r="A205" s="15" t="s">
        <v>1045</v>
      </c>
      <c r="B205" s="16">
        <v>1</v>
      </c>
    </row>
    <row r="206" spans="1:2" x14ac:dyDescent="0.25">
      <c r="A206" s="15" t="s">
        <v>863</v>
      </c>
      <c r="B206" s="16">
        <v>1</v>
      </c>
    </row>
    <row r="207" spans="1:2" x14ac:dyDescent="0.25">
      <c r="A207" s="15" t="s">
        <v>999</v>
      </c>
      <c r="B207" s="16">
        <v>1</v>
      </c>
    </row>
    <row r="208" spans="1:2" x14ac:dyDescent="0.25">
      <c r="A208" s="15" t="s">
        <v>1023</v>
      </c>
      <c r="B208" s="16">
        <v>1</v>
      </c>
    </row>
    <row r="209" spans="1:2" x14ac:dyDescent="0.25">
      <c r="A209" s="15" t="s">
        <v>934</v>
      </c>
      <c r="B209" s="16">
        <v>1</v>
      </c>
    </row>
    <row r="210" spans="1:2" x14ac:dyDescent="0.25">
      <c r="A210" s="15" t="s">
        <v>907</v>
      </c>
      <c r="B210" s="16">
        <v>1</v>
      </c>
    </row>
    <row r="211" spans="1:2" x14ac:dyDescent="0.25">
      <c r="A211" s="15" t="s">
        <v>1064</v>
      </c>
      <c r="B211" s="16">
        <v>1</v>
      </c>
    </row>
    <row r="212" spans="1:2" x14ac:dyDescent="0.25">
      <c r="A212" s="15" t="s">
        <v>1005</v>
      </c>
      <c r="B212" s="16">
        <v>1</v>
      </c>
    </row>
    <row r="213" spans="1:2" x14ac:dyDescent="0.25">
      <c r="A213" s="15" t="s">
        <v>963</v>
      </c>
      <c r="B213" s="16">
        <v>1</v>
      </c>
    </row>
    <row r="214" spans="1:2" x14ac:dyDescent="0.25">
      <c r="A214" s="15" t="s">
        <v>972</v>
      </c>
      <c r="B214" s="16">
        <v>1</v>
      </c>
    </row>
    <row r="215" spans="1:2" x14ac:dyDescent="0.25">
      <c r="A215" s="15" t="s">
        <v>1057</v>
      </c>
      <c r="B215" s="16">
        <v>1</v>
      </c>
    </row>
    <row r="216" spans="1:2" x14ac:dyDescent="0.25">
      <c r="A216" s="15" t="s">
        <v>1034</v>
      </c>
      <c r="B216" s="16">
        <v>1</v>
      </c>
    </row>
    <row r="217" spans="1:2" x14ac:dyDescent="0.25">
      <c r="A217" s="15" t="s">
        <v>1047</v>
      </c>
      <c r="B217" s="16">
        <v>1</v>
      </c>
    </row>
    <row r="218" spans="1:2" x14ac:dyDescent="0.25">
      <c r="A218" s="15" t="s">
        <v>1063</v>
      </c>
      <c r="B218" s="16">
        <v>1</v>
      </c>
    </row>
    <row r="219" spans="1:2" x14ac:dyDescent="0.25">
      <c r="A219" s="15" t="s">
        <v>921</v>
      </c>
      <c r="B219" s="16">
        <v>1</v>
      </c>
    </row>
    <row r="220" spans="1:2" x14ac:dyDescent="0.25">
      <c r="A220" s="15" t="s">
        <v>1092</v>
      </c>
      <c r="B220" s="16">
        <v>1</v>
      </c>
    </row>
    <row r="221" spans="1:2" x14ac:dyDescent="0.25">
      <c r="A221" s="15" t="s">
        <v>1061</v>
      </c>
      <c r="B221" s="16">
        <v>1</v>
      </c>
    </row>
    <row r="222" spans="1:2" x14ac:dyDescent="0.25">
      <c r="A222" s="15" t="s">
        <v>1062</v>
      </c>
      <c r="B222" s="16">
        <v>1</v>
      </c>
    </row>
    <row r="223" spans="1:2" x14ac:dyDescent="0.25">
      <c r="A223" s="15" t="s">
        <v>1022</v>
      </c>
      <c r="B223" s="16">
        <v>1</v>
      </c>
    </row>
    <row r="224" spans="1:2" x14ac:dyDescent="0.25">
      <c r="A224" s="15" t="s">
        <v>927</v>
      </c>
      <c r="B224" s="16">
        <v>1</v>
      </c>
    </row>
    <row r="225" spans="1:2" x14ac:dyDescent="0.25">
      <c r="A225" s="15" t="s">
        <v>1084</v>
      </c>
      <c r="B225" s="16">
        <v>1</v>
      </c>
    </row>
    <row r="226" spans="1:2" x14ac:dyDescent="0.25">
      <c r="A226" s="15" t="s">
        <v>970</v>
      </c>
      <c r="B226" s="16">
        <v>1</v>
      </c>
    </row>
    <row r="227" spans="1:2" x14ac:dyDescent="0.25">
      <c r="A227" s="15" t="s">
        <v>1038</v>
      </c>
      <c r="B227" s="16">
        <v>1</v>
      </c>
    </row>
    <row r="228" spans="1:2" x14ac:dyDescent="0.25">
      <c r="A228" s="15" t="s">
        <v>997</v>
      </c>
      <c r="B228" s="16">
        <v>1</v>
      </c>
    </row>
    <row r="229" spans="1:2" x14ac:dyDescent="0.25">
      <c r="A229" s="15" t="s">
        <v>1024</v>
      </c>
      <c r="B229" s="16">
        <v>1</v>
      </c>
    </row>
    <row r="230" spans="1:2" x14ac:dyDescent="0.25">
      <c r="A230" s="15" t="s">
        <v>941</v>
      </c>
      <c r="B230" s="16">
        <v>1</v>
      </c>
    </row>
    <row r="231" spans="1:2" x14ac:dyDescent="0.25">
      <c r="A231" s="15" t="s">
        <v>937</v>
      </c>
      <c r="B231" s="16">
        <v>1</v>
      </c>
    </row>
    <row r="232" spans="1:2" x14ac:dyDescent="0.25">
      <c r="A232" s="15" t="s">
        <v>871</v>
      </c>
      <c r="B232" s="16">
        <v>1</v>
      </c>
    </row>
    <row r="233" spans="1:2" x14ac:dyDescent="0.25">
      <c r="A233" s="15" t="s">
        <v>952</v>
      </c>
      <c r="B233" s="1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</vt:i4>
      </vt:variant>
    </vt:vector>
  </HeadingPairs>
  <TitlesOfParts>
    <vt:vector size="18" baseType="lpstr">
      <vt:lpstr>интро</vt:lpstr>
      <vt:lpstr>продажи</vt:lpstr>
      <vt:lpstr>Платежеспособность стран</vt:lpstr>
      <vt:lpstr>Продажи магазинов</vt:lpstr>
      <vt:lpstr>Выгода клиентам</vt:lpstr>
      <vt:lpstr>Суммарные продажи по магазинам</vt:lpstr>
      <vt:lpstr>Анализ цен по поставщикам </vt:lpstr>
      <vt:lpstr>Суммарные продажи по поставщика</vt:lpstr>
      <vt:lpstr>Суммарные продажи по категориям</vt:lpstr>
      <vt:lpstr>Среднее количество по категория</vt:lpstr>
      <vt:lpstr>товар</vt:lpstr>
      <vt:lpstr>Лояльность клиентов</vt:lpstr>
      <vt:lpstr>клиенты</vt:lpstr>
      <vt:lpstr>География клиентов</vt:lpstr>
      <vt:lpstr>коды стран</vt:lpstr>
      <vt:lpstr>Продолжит.нахождения клиентов</vt:lpstr>
      <vt:lpstr>Частотность имен</vt:lpstr>
      <vt:lpstr>Клиенты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Артем Золотухин</cp:lastModifiedBy>
  <dcterms:created xsi:type="dcterms:W3CDTF">2024-05-23T18:05:44Z</dcterms:created>
  <dcterms:modified xsi:type="dcterms:W3CDTF">2025-12-29T16:56:12Z</dcterms:modified>
</cp:coreProperties>
</file>